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RAMIREZ\Documents\"/>
    </mc:Choice>
  </mc:AlternateContent>
  <workbookProtection workbookAlgorithmName="SHA-512" workbookHashValue="gZ2tjv3aveCK5yy1tbwUr5wUTBRtyfBL5fPLMoCJbsEyfcwd9w+kjv7N6DFvWbfx+3f1hNMWB4a8m0q1ckJ6Jg==" workbookSaltValue="F/a1GMEnx+2dT13rEnU5Eg==" workbookSpinCount="100000" lockStructure="1"/>
  <bookViews>
    <workbookView xWindow="0" yWindow="0" windowWidth="20490" windowHeight="7755" tabRatio="679" firstSheet="17" activeTab="17"/>
  </bookViews>
  <sheets>
    <sheet name="INDICE" sheetId="5" state="hidden" r:id="rId1"/>
    <sheet name="SUMAS" sheetId="1" r:id="rId2"/>
    <sheet name="RESTAS" sheetId="2" r:id="rId3"/>
    <sheet name="MULTIPLICACION" sheetId="3" r:id="rId4"/>
    <sheet name="POTENCIAS" sheetId="4" r:id="rId5"/>
    <sheet name="DIVISION" sheetId="6" r:id="rId6"/>
    <sheet name="PROMEDIO" sheetId="7" r:id="rId7"/>
    <sheet name="EJERCICIO" sheetId="9" r:id="rId8"/>
    <sheet name="BECAS" sheetId="10" r:id="rId9"/>
    <sheet name="EJERCICIOS SI Y O" sheetId="31" r:id="rId10"/>
    <sheet name="ESQUEMA GENERAL" sheetId="8" r:id="rId11"/>
    <sheet name="PAQUETES" sheetId="30" r:id="rId12"/>
    <sheet name="BASEDATA" sheetId="28" r:id="rId13"/>
    <sheet name="INVENTARIO EMPRESA" sheetId="29" r:id="rId14"/>
    <sheet name="NOMINA" sheetId="34" r:id="rId15"/>
    <sheet name="SUELDOS" sheetId="11" r:id="rId16"/>
    <sheet name="GRAFICO SUELDOS " sheetId="33" r:id="rId17"/>
    <sheet name="HORAS TRABAJADAS" sheetId="25" r:id="rId18"/>
    <sheet name="Datos" sheetId="26" r:id="rId19"/>
    <sheet name="BASE DE DATOS COLABORADORES" sheetId="27" r:id="rId20"/>
    <sheet name="INVENTARIO PRODUCTOS" sheetId="21" r:id="rId21"/>
    <sheet name="CONFIG INV" sheetId="22" r:id="rId22"/>
    <sheet name="AUDITORIA TESORERIA " sheetId="20" r:id="rId23"/>
    <sheet name="FACTURAS" sheetId="23" r:id="rId24"/>
    <sheet name="Ejercicio sueldos" sheetId="35" r:id="rId25"/>
    <sheet name="GráficoSueldos2" sheetId="41" r:id="rId26"/>
    <sheet name="Datos Sueldos" sheetId="37" r:id="rId27"/>
    <sheet name="DEPARTAMENTOS" sheetId="38" r:id="rId28"/>
    <sheet name="GráficoDepartamentos" sheetId="40" r:id="rId29"/>
    <sheet name="Funcion=O()" sheetId="42" r:id="rId30"/>
    <sheet name="Ejemplo" sheetId="43" r:id="rId31"/>
    <sheet name="sub y filtros" sheetId="44" r:id="rId32"/>
    <sheet name="Subtotales" sheetId="45" r:id="rId33"/>
  </sheets>
  <externalReferences>
    <externalReference r:id="rId34"/>
    <externalReference r:id="rId35"/>
  </externalReferences>
  <definedNames>
    <definedName name="_xlnm._FilterDatabase" localSheetId="31" hidden="1">'sub y filtros'!$B$2:$F$9</definedName>
    <definedName name="ABRIL">SUELDOS!$A$41:$T$52</definedName>
    <definedName name="_xlnm.Print_Area" localSheetId="14">NOMINA!$B$2:$V$88</definedName>
    <definedName name="cliente">Datos!$1:$1048576</definedName>
    <definedName name="Código">'BASE DE DATOS COLABORADORES'!$A$2:$A$490</definedName>
    <definedName name="CODIGOS" localSheetId="9">'[1]CONFIG INV'!$A$2:$A$21</definedName>
    <definedName name="CODIGOS">'CONFIG INV'!$A$2:$A$21</definedName>
    <definedName name="DIA">'HORAS TRABAJADAS'!$T$8:$U$24</definedName>
    <definedName name="ENERO">SUELDOS!$A$2:$U$13</definedName>
    <definedName name="FEBRERO">SUELDOS!$A$15:$T$26</definedName>
    <definedName name="MaCOD">'CONFIG INV'!$A$2:$C$21</definedName>
    <definedName name="MARZO">SUELDOS!$A$28:$T$39</definedName>
    <definedName name="NIP">'BASE DE DATOS COLABORADORES'!$A$2:$A$24</definedName>
    <definedName name="NOCHE" localSheetId="9">'[1]HORAS TRABAJADAS'!$T$25:$U$27,'[1]HORAS TRABAJADAS'!$T$2:$U$8</definedName>
    <definedName name="NOCHE">'HORAS TRABAJADAS'!$T$25:$U$27,'HORAS TRABAJADAS'!$T$2:$U$8</definedName>
    <definedName name="PRODUCTOS" localSheetId="9">'[1]INVENTARIO UTILES'!#REF!</definedName>
    <definedName name="PRODUCTOS">'INVENTARIO EMPRESA'!#REF!</definedName>
    <definedName name="REF" localSheetId="9">'[2]Listado articulos'!#REF!</definedName>
    <definedName name="REF">'[2]Listado articulos'!#REF!</definedName>
    <definedName name="Ref." localSheetId="9">[1]Listado!$A$1</definedName>
    <definedName name="Ref.">'BASE DE DATOS COLABORADORES'!$A$1</definedName>
    <definedName name="Relación" localSheetId="19">OFFSET(Ref.,1,0,COUNTA('BASE DE DATOS COLABORADORES'!$A:$A)-COUNTA('BASE DE DATOS COLABORADORES'!$A$1:Ref.),1)</definedName>
    <definedName name="Relación" localSheetId="18">OFFSET(Ref.,1,0,COUNTA(#REF!)-COUNTA(#REF!:Ref.),1)</definedName>
    <definedName name="Relación" localSheetId="9">OFFSET('EJERCICIOS SI Y O'!Ref.,1,0,COUNTA(#REF!)-COUNTA(#REF!:'EJERCICIOS SI Y O'!Ref.),1)</definedName>
    <definedName name="Relación">OFFSET(Ref.,1,0,COUNTA(#REF!)-COUNTA(#REF!:Ref.),1)</definedName>
    <definedName name="TIEMPO">'HORAS TRABAJADAS'!$T$2:$U$27</definedName>
    <definedName name="valResaltado" localSheetId="9">IFERROR(IF('[1]INVENTARIO UTILES'!$H$2="sí", TRUE, FALSE),FALSE)</definedName>
    <definedName name="valResaltado">IFERROR(IF('INVENTARIO EMPRESA'!$H$2="sí", TRUE, FALSE),FALSE)</definedName>
  </definedNames>
  <calcPr calcId="152511"/>
  <pivotCaches>
    <pivotCache cacheId="0" r:id="rId3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8" l="1"/>
  <c r="D19" i="8"/>
  <c r="D18" i="8"/>
  <c r="D10" i="8"/>
  <c r="E7" i="45"/>
  <c r="D7" i="45" l="1"/>
  <c r="F7" i="45"/>
  <c r="D10" i="45"/>
  <c r="E10" i="45"/>
  <c r="F10" i="45"/>
  <c r="D14" i="45"/>
  <c r="E14" i="45"/>
  <c r="F14" i="45"/>
  <c r="C17" i="45"/>
  <c r="C18" i="45"/>
  <c r="C19" i="45"/>
  <c r="C20" i="45"/>
  <c r="F3" i="44"/>
  <c r="F9" i="44" s="1"/>
  <c r="F4" i="44"/>
  <c r="F5" i="44"/>
  <c r="F6" i="44"/>
  <c r="F7" i="44"/>
  <c r="F8" i="44"/>
  <c r="M5" i="42" l="1"/>
  <c r="M6" i="42"/>
  <c r="M7" i="42"/>
  <c r="M8" i="42"/>
  <c r="M9" i="42"/>
  <c r="M10" i="42"/>
  <c r="M11" i="42"/>
  <c r="M12" i="42"/>
  <c r="D5" i="38" l="1"/>
  <c r="I5" i="38" s="1"/>
  <c r="F5" i="38"/>
  <c r="F17" i="38" s="1"/>
  <c r="G5" i="38"/>
  <c r="L5" i="38" s="1"/>
  <c r="H5" i="38"/>
  <c r="H17" i="38" s="1"/>
  <c r="D6" i="38"/>
  <c r="I6" i="38" s="1"/>
  <c r="F6" i="38"/>
  <c r="K6" i="38" s="1"/>
  <c r="G6" i="38"/>
  <c r="L6" i="38" s="1"/>
  <c r="H6" i="38"/>
  <c r="D7" i="38"/>
  <c r="I7" i="38" s="1"/>
  <c r="F7" i="38"/>
  <c r="K7" i="38" s="1"/>
  <c r="G7" i="38"/>
  <c r="L7" i="38" s="1"/>
  <c r="H7" i="38"/>
  <c r="D8" i="38"/>
  <c r="I8" i="38" s="1"/>
  <c r="F8" i="38"/>
  <c r="K8" i="38" s="1"/>
  <c r="G8" i="38"/>
  <c r="L8" i="38" s="1"/>
  <c r="H8" i="38"/>
  <c r="D9" i="38"/>
  <c r="I9" i="38" s="1"/>
  <c r="F9" i="38"/>
  <c r="K9" i="38" s="1"/>
  <c r="G9" i="38"/>
  <c r="L9" i="38" s="1"/>
  <c r="H9" i="38"/>
  <c r="D10" i="38"/>
  <c r="I10" i="38" s="1"/>
  <c r="F10" i="38"/>
  <c r="K10" i="38" s="1"/>
  <c r="G10" i="38"/>
  <c r="L10" i="38" s="1"/>
  <c r="H10" i="38"/>
  <c r="D11" i="38"/>
  <c r="I11" i="38" s="1"/>
  <c r="F11" i="38"/>
  <c r="K11" i="38" s="1"/>
  <c r="G11" i="38"/>
  <c r="L11" i="38" s="1"/>
  <c r="H11" i="38"/>
  <c r="D12" i="38"/>
  <c r="I12" i="38" s="1"/>
  <c r="F12" i="38"/>
  <c r="K12" i="38" s="1"/>
  <c r="G12" i="38"/>
  <c r="L12" i="38" s="1"/>
  <c r="H12" i="38"/>
  <c r="D13" i="38"/>
  <c r="I13" i="38" s="1"/>
  <c r="F13" i="38"/>
  <c r="K13" i="38" s="1"/>
  <c r="G13" i="38"/>
  <c r="L13" i="38" s="1"/>
  <c r="H13" i="38"/>
  <c r="D14" i="38"/>
  <c r="I14" i="38" s="1"/>
  <c r="F14" i="38"/>
  <c r="K14" i="38" s="1"/>
  <c r="G14" i="38"/>
  <c r="L14" i="38" s="1"/>
  <c r="H14" i="38"/>
  <c r="D15" i="38"/>
  <c r="I15" i="38" s="1"/>
  <c r="F15" i="38"/>
  <c r="K15" i="38" s="1"/>
  <c r="G15" i="38"/>
  <c r="L15" i="38" s="1"/>
  <c r="H15" i="38"/>
  <c r="D16" i="38"/>
  <c r="I16" i="38" s="1"/>
  <c r="F16" i="38"/>
  <c r="K16" i="38" s="1"/>
  <c r="G16" i="38"/>
  <c r="L16" i="38" s="1"/>
  <c r="H16" i="38"/>
  <c r="J17" i="38"/>
  <c r="J18" i="38"/>
  <c r="J19" i="38"/>
  <c r="J20" i="38"/>
  <c r="M16" i="38" l="1"/>
  <c r="M12" i="38"/>
  <c r="M8" i="38"/>
  <c r="M15" i="38"/>
  <c r="M13" i="38"/>
  <c r="M9" i="38"/>
  <c r="M7" i="38"/>
  <c r="E25" i="38" s="1"/>
  <c r="M14" i="38"/>
  <c r="M10" i="38"/>
  <c r="M6" i="38"/>
  <c r="L17" i="38"/>
  <c r="L18" i="38"/>
  <c r="L19" i="38"/>
  <c r="L20" i="38"/>
  <c r="M11" i="38"/>
  <c r="I17" i="38"/>
  <c r="I18" i="38"/>
  <c r="I20" i="38"/>
  <c r="I19" i="38"/>
  <c r="H20" i="38"/>
  <c r="H18" i="38"/>
  <c r="G20" i="38"/>
  <c r="G19" i="38"/>
  <c r="G18" i="38"/>
  <c r="G17" i="38"/>
  <c r="K5" i="38"/>
  <c r="H19" i="38"/>
  <c r="F20" i="38"/>
  <c r="F19" i="38"/>
  <c r="F18" i="38"/>
  <c r="H26" i="35"/>
  <c r="J26" i="35"/>
  <c r="J38" i="35" s="1"/>
  <c r="K26" i="35"/>
  <c r="Q26" i="35"/>
  <c r="R26" i="35"/>
  <c r="H27" i="35"/>
  <c r="L27" i="35" s="1"/>
  <c r="J27" i="35"/>
  <c r="K27" i="35"/>
  <c r="Q27" i="35"/>
  <c r="R27" i="35"/>
  <c r="H28" i="35"/>
  <c r="L28" i="35" s="1"/>
  <c r="M28" i="35" s="1"/>
  <c r="J28" i="35"/>
  <c r="K28" i="35"/>
  <c r="Q28" i="35"/>
  <c r="R28" i="35"/>
  <c r="H29" i="35"/>
  <c r="J29" i="35"/>
  <c r="L29" i="35" s="1"/>
  <c r="K29" i="35"/>
  <c r="Q29" i="35"/>
  <c r="R29" i="35"/>
  <c r="H30" i="35"/>
  <c r="J30" i="35"/>
  <c r="K30" i="35"/>
  <c r="Q30" i="35"/>
  <c r="R30" i="35"/>
  <c r="H31" i="35"/>
  <c r="L31" i="35" s="1"/>
  <c r="J31" i="35"/>
  <c r="K31" i="35"/>
  <c r="Q31" i="35"/>
  <c r="R31" i="35"/>
  <c r="H32" i="35"/>
  <c r="L32" i="35" s="1"/>
  <c r="M32" i="35" s="1"/>
  <c r="J32" i="35"/>
  <c r="K32" i="35"/>
  <c r="Q32" i="35"/>
  <c r="R32" i="35"/>
  <c r="H33" i="35"/>
  <c r="J33" i="35"/>
  <c r="K33" i="35"/>
  <c r="Q33" i="35"/>
  <c r="R33" i="35"/>
  <c r="H34" i="35"/>
  <c r="L34" i="35" s="1"/>
  <c r="J34" i="35"/>
  <c r="K34" i="35"/>
  <c r="Q34" i="35"/>
  <c r="R34" i="35"/>
  <c r="H35" i="35"/>
  <c r="L35" i="35" s="1"/>
  <c r="J35" i="35"/>
  <c r="K35" i="35"/>
  <c r="Q35" i="35"/>
  <c r="R35" i="35"/>
  <c r="J37" i="35"/>
  <c r="L33" i="35" l="1"/>
  <c r="M33" i="35" s="1"/>
  <c r="L30" i="35"/>
  <c r="N30" i="35" s="1"/>
  <c r="E24" i="38"/>
  <c r="K17" i="38"/>
  <c r="K18" i="38"/>
  <c r="K19" i="38"/>
  <c r="K20" i="38"/>
  <c r="M5" i="38"/>
  <c r="N35" i="35"/>
  <c r="M35" i="35"/>
  <c r="M27" i="35"/>
  <c r="N27" i="35"/>
  <c r="M34" i="35"/>
  <c r="N34" i="35"/>
  <c r="M31" i="35"/>
  <c r="N31" i="35"/>
  <c r="M29" i="35"/>
  <c r="N29" i="35"/>
  <c r="J39" i="35"/>
  <c r="J36" i="35"/>
  <c r="L26" i="35"/>
  <c r="N32" i="35"/>
  <c r="O32" i="35" s="1"/>
  <c r="P32" i="35" s="1"/>
  <c r="N28" i="35"/>
  <c r="O28" i="35" s="1"/>
  <c r="P28" i="35" s="1"/>
  <c r="D5" i="8"/>
  <c r="U4" i="11"/>
  <c r="U5" i="11"/>
  <c r="U6" i="11"/>
  <c r="U7" i="11"/>
  <c r="U8" i="11"/>
  <c r="U9" i="11"/>
  <c r="U10" i="11"/>
  <c r="U11" i="11"/>
  <c r="U12" i="11"/>
  <c r="U13" i="11"/>
  <c r="U3" i="11"/>
  <c r="T4" i="11"/>
  <c r="T5" i="11"/>
  <c r="T6" i="11"/>
  <c r="T7" i="11"/>
  <c r="T8" i="11"/>
  <c r="T9" i="11"/>
  <c r="T10" i="11"/>
  <c r="T11" i="11"/>
  <c r="T12" i="11"/>
  <c r="T13" i="11"/>
  <c r="T3" i="11"/>
  <c r="J4" i="11"/>
  <c r="J5" i="11"/>
  <c r="J6" i="11"/>
  <c r="J7" i="11"/>
  <c r="J8" i="11"/>
  <c r="J9" i="11"/>
  <c r="J10" i="11"/>
  <c r="J11" i="11"/>
  <c r="J12" i="11"/>
  <c r="J13" i="11"/>
  <c r="J3" i="11"/>
  <c r="D8" i="8"/>
  <c r="N33" i="35" l="1"/>
  <c r="O33" i="35" s="1"/>
  <c r="P33" i="35" s="1"/>
  <c r="M30" i="35"/>
  <c r="O30" i="35" s="1"/>
  <c r="P30" i="35" s="1"/>
  <c r="O35" i="35"/>
  <c r="P35" i="35" s="1"/>
  <c r="E23" i="38"/>
  <c r="M17" i="38"/>
  <c r="M18" i="38"/>
  <c r="M19" i="38"/>
  <c r="M20" i="38"/>
  <c r="O27" i="35"/>
  <c r="P27" i="35" s="1"/>
  <c r="L38" i="35"/>
  <c r="L37" i="35"/>
  <c r="L39" i="35"/>
  <c r="M26" i="35"/>
  <c r="N26" i="35"/>
  <c r="L36" i="35"/>
  <c r="O34" i="35"/>
  <c r="P34" i="35" s="1"/>
  <c r="O29" i="35"/>
  <c r="P29" i="35" s="1"/>
  <c r="O31" i="35"/>
  <c r="P31" i="35" s="1"/>
  <c r="O79" i="34"/>
  <c r="S64" i="34"/>
  <c r="O57" i="34"/>
  <c r="S46" i="34"/>
  <c r="S66" i="34" s="1"/>
  <c r="N39" i="35" l="1"/>
  <c r="N38" i="35"/>
  <c r="N37" i="35"/>
  <c r="N36" i="35"/>
  <c r="M39" i="35"/>
  <c r="M36" i="35"/>
  <c r="M37" i="35"/>
  <c r="O26" i="35"/>
  <c r="M38" i="35"/>
  <c r="AK3" i="11"/>
  <c r="AJ3" i="11"/>
  <c r="AI3" i="11"/>
  <c r="AH3" i="11"/>
  <c r="AG3" i="11"/>
  <c r="AF3" i="11"/>
  <c r="AE3" i="11"/>
  <c r="AD3" i="11"/>
  <c r="O36" i="35" l="1"/>
  <c r="O39" i="35"/>
  <c r="O38" i="35"/>
  <c r="O37" i="35"/>
  <c r="P26" i="35"/>
  <c r="AC3" i="11"/>
  <c r="S156" i="11"/>
  <c r="R156" i="11"/>
  <c r="Q156" i="11"/>
  <c r="K156" i="11"/>
  <c r="J156" i="11"/>
  <c r="F156" i="11"/>
  <c r="S155" i="11"/>
  <c r="R155" i="11"/>
  <c r="Q155" i="11"/>
  <c r="K155" i="11"/>
  <c r="J155" i="11"/>
  <c r="F155" i="11"/>
  <c r="S154" i="11"/>
  <c r="R154" i="11"/>
  <c r="Q154" i="11"/>
  <c r="K154" i="11"/>
  <c r="J154" i="11"/>
  <c r="F154" i="11"/>
  <c r="S153" i="11"/>
  <c r="R153" i="11"/>
  <c r="Q153" i="11"/>
  <c r="K153" i="11"/>
  <c r="J153" i="11"/>
  <c r="F153" i="11"/>
  <c r="S152" i="11"/>
  <c r="R152" i="11"/>
  <c r="Q152" i="11"/>
  <c r="K152" i="11"/>
  <c r="J152" i="11"/>
  <c r="F152" i="11"/>
  <c r="S151" i="11"/>
  <c r="R151" i="11"/>
  <c r="Q151" i="11"/>
  <c r="K151" i="11"/>
  <c r="J151" i="11"/>
  <c r="F151" i="11"/>
  <c r="S150" i="11"/>
  <c r="R150" i="11"/>
  <c r="Q150" i="11"/>
  <c r="K150" i="11"/>
  <c r="J150" i="11"/>
  <c r="F150" i="11"/>
  <c r="S149" i="11"/>
  <c r="R149" i="11"/>
  <c r="Q149" i="11"/>
  <c r="L149" i="11"/>
  <c r="K149" i="11"/>
  <c r="J149" i="11"/>
  <c r="F149" i="11"/>
  <c r="S148" i="11"/>
  <c r="R148" i="11"/>
  <c r="Q148" i="11"/>
  <c r="L148" i="11"/>
  <c r="K148" i="11"/>
  <c r="J148" i="11"/>
  <c r="F148" i="11"/>
  <c r="S147" i="11"/>
  <c r="R147" i="11"/>
  <c r="Q147" i="11"/>
  <c r="L147" i="11"/>
  <c r="K147" i="11"/>
  <c r="J147" i="11"/>
  <c r="F147" i="11"/>
  <c r="S146" i="11"/>
  <c r="R146" i="11"/>
  <c r="Q146" i="11"/>
  <c r="L146" i="11"/>
  <c r="K146" i="11"/>
  <c r="J146" i="11"/>
  <c r="F146" i="11"/>
  <c r="S143" i="11"/>
  <c r="R143" i="11"/>
  <c r="Q143" i="11"/>
  <c r="K143" i="11"/>
  <c r="J143" i="11"/>
  <c r="F143" i="11"/>
  <c r="S142" i="11"/>
  <c r="R142" i="11"/>
  <c r="Q142" i="11"/>
  <c r="K142" i="11"/>
  <c r="J142" i="11"/>
  <c r="F142" i="11"/>
  <c r="S141" i="11"/>
  <c r="R141" i="11"/>
  <c r="Q141" i="11"/>
  <c r="K141" i="11"/>
  <c r="J141" i="11"/>
  <c r="F141" i="11"/>
  <c r="S140" i="11"/>
  <c r="R140" i="11"/>
  <c r="Q140" i="11"/>
  <c r="K140" i="11"/>
  <c r="J140" i="11"/>
  <c r="F140" i="11"/>
  <c r="S139" i="11"/>
  <c r="R139" i="11"/>
  <c r="Q139" i="11"/>
  <c r="K139" i="11"/>
  <c r="J139" i="11"/>
  <c r="F139" i="11"/>
  <c r="S138" i="11"/>
  <c r="R138" i="11"/>
  <c r="Q138" i="11"/>
  <c r="K138" i="11"/>
  <c r="J138" i="11"/>
  <c r="F138" i="11"/>
  <c r="S137" i="11"/>
  <c r="R137" i="11"/>
  <c r="Q137" i="11"/>
  <c r="K137" i="11"/>
  <c r="J137" i="11"/>
  <c r="F137" i="11"/>
  <c r="S136" i="11"/>
  <c r="R136" i="11"/>
  <c r="Q136" i="11"/>
  <c r="L136" i="11"/>
  <c r="K136" i="11"/>
  <c r="J136" i="11"/>
  <c r="F136" i="11"/>
  <c r="S135" i="11"/>
  <c r="R135" i="11"/>
  <c r="Q135" i="11"/>
  <c r="L135" i="11"/>
  <c r="K135" i="11"/>
  <c r="J135" i="11"/>
  <c r="F135" i="11"/>
  <c r="S134" i="11"/>
  <c r="R134" i="11"/>
  <c r="Q134" i="11"/>
  <c r="L134" i="11"/>
  <c r="K134" i="11"/>
  <c r="J134" i="11"/>
  <c r="F134" i="11"/>
  <c r="S133" i="11"/>
  <c r="R133" i="11"/>
  <c r="Q133" i="11"/>
  <c r="L133" i="11"/>
  <c r="K133" i="11"/>
  <c r="J133" i="11"/>
  <c r="F133" i="11"/>
  <c r="S130" i="11"/>
  <c r="R130" i="11"/>
  <c r="Q130" i="11"/>
  <c r="K130" i="11"/>
  <c r="J130" i="11"/>
  <c r="F130" i="11"/>
  <c r="S129" i="11"/>
  <c r="R129" i="11"/>
  <c r="Q129" i="11"/>
  <c r="K129" i="11"/>
  <c r="J129" i="11"/>
  <c r="F129" i="11"/>
  <c r="S128" i="11"/>
  <c r="R128" i="11"/>
  <c r="Q128" i="11"/>
  <c r="K128" i="11"/>
  <c r="J128" i="11"/>
  <c r="F128" i="11"/>
  <c r="S127" i="11"/>
  <c r="R127" i="11"/>
  <c r="Q127" i="11"/>
  <c r="K127" i="11"/>
  <c r="J127" i="11"/>
  <c r="F127" i="11"/>
  <c r="S126" i="11"/>
  <c r="R126" i="11"/>
  <c r="Q126" i="11"/>
  <c r="K126" i="11"/>
  <c r="J126" i="11"/>
  <c r="F126" i="11"/>
  <c r="S125" i="11"/>
  <c r="R125" i="11"/>
  <c r="Q125" i="11"/>
  <c r="K125" i="11"/>
  <c r="J125" i="11"/>
  <c r="F125" i="11"/>
  <c r="S124" i="11"/>
  <c r="R124" i="11"/>
  <c r="Q124" i="11"/>
  <c r="K124" i="11"/>
  <c r="J124" i="11"/>
  <c r="F124" i="11"/>
  <c r="S123" i="11"/>
  <c r="R123" i="11"/>
  <c r="Q123" i="11"/>
  <c r="L123" i="11"/>
  <c r="K123" i="11"/>
  <c r="J123" i="11"/>
  <c r="F123" i="11"/>
  <c r="S122" i="11"/>
  <c r="R122" i="11"/>
  <c r="Q122" i="11"/>
  <c r="L122" i="11"/>
  <c r="K122" i="11"/>
  <c r="J122" i="11"/>
  <c r="F122" i="11"/>
  <c r="S121" i="11"/>
  <c r="R121" i="11"/>
  <c r="Q121" i="11"/>
  <c r="L121" i="11"/>
  <c r="K121" i="11"/>
  <c r="J121" i="11"/>
  <c r="F121" i="11"/>
  <c r="S120" i="11"/>
  <c r="R120" i="11"/>
  <c r="Q120" i="11"/>
  <c r="L120" i="11"/>
  <c r="K120" i="11"/>
  <c r="J120" i="11"/>
  <c r="F120" i="11"/>
  <c r="S117" i="11"/>
  <c r="R117" i="11"/>
  <c r="Q117" i="11"/>
  <c r="K117" i="11"/>
  <c r="J117" i="11"/>
  <c r="F117" i="11"/>
  <c r="S116" i="11"/>
  <c r="R116" i="11"/>
  <c r="Q116" i="11"/>
  <c r="K116" i="11"/>
  <c r="J116" i="11"/>
  <c r="F116" i="11"/>
  <c r="S115" i="11"/>
  <c r="R115" i="11"/>
  <c r="Q115" i="11"/>
  <c r="K115" i="11"/>
  <c r="J115" i="11"/>
  <c r="F115" i="11"/>
  <c r="S114" i="11"/>
  <c r="R114" i="11"/>
  <c r="Q114" i="11"/>
  <c r="K114" i="11"/>
  <c r="J114" i="11"/>
  <c r="F114" i="11"/>
  <c r="S113" i="11"/>
  <c r="R113" i="11"/>
  <c r="Q113" i="11"/>
  <c r="K113" i="11"/>
  <c r="J113" i="11"/>
  <c r="F113" i="11"/>
  <c r="S112" i="11"/>
  <c r="R112" i="11"/>
  <c r="Q112" i="11"/>
  <c r="K112" i="11"/>
  <c r="J112" i="11"/>
  <c r="F112" i="11"/>
  <c r="S111" i="11"/>
  <c r="R111" i="11"/>
  <c r="Q111" i="11"/>
  <c r="K111" i="11"/>
  <c r="J111" i="11"/>
  <c r="F111" i="11"/>
  <c r="S110" i="11"/>
  <c r="R110" i="11"/>
  <c r="Q110" i="11"/>
  <c r="L110" i="11"/>
  <c r="K110" i="11"/>
  <c r="J110" i="11"/>
  <c r="F110" i="11"/>
  <c r="S109" i="11"/>
  <c r="R109" i="11"/>
  <c r="Q109" i="11"/>
  <c r="L109" i="11"/>
  <c r="K109" i="11"/>
  <c r="J109" i="11"/>
  <c r="F109" i="11"/>
  <c r="S108" i="11"/>
  <c r="R108" i="11"/>
  <c r="Q108" i="11"/>
  <c r="L108" i="11"/>
  <c r="K108" i="11"/>
  <c r="J108" i="11"/>
  <c r="F108" i="11"/>
  <c r="S107" i="11"/>
  <c r="R107" i="11"/>
  <c r="Q107" i="11"/>
  <c r="L107" i="11"/>
  <c r="K107" i="11"/>
  <c r="J107" i="11"/>
  <c r="F107" i="11"/>
  <c r="S104" i="11"/>
  <c r="R104" i="11"/>
  <c r="Q104" i="11"/>
  <c r="K104" i="11"/>
  <c r="J104" i="11"/>
  <c r="F104" i="11"/>
  <c r="S103" i="11"/>
  <c r="R103" i="11"/>
  <c r="Q103" i="11"/>
  <c r="K103" i="11"/>
  <c r="J103" i="11"/>
  <c r="F103" i="11"/>
  <c r="S102" i="11"/>
  <c r="R102" i="11"/>
  <c r="Q102" i="11"/>
  <c r="K102" i="11"/>
  <c r="J102" i="11"/>
  <c r="F102" i="11"/>
  <c r="S101" i="11"/>
  <c r="R101" i="11"/>
  <c r="Q101" i="11"/>
  <c r="K101" i="11"/>
  <c r="J101" i="11"/>
  <c r="F101" i="11"/>
  <c r="S100" i="11"/>
  <c r="R100" i="11"/>
  <c r="Q100" i="11"/>
  <c r="K100" i="11"/>
  <c r="J100" i="11"/>
  <c r="F100" i="11"/>
  <c r="S99" i="11"/>
  <c r="R99" i="11"/>
  <c r="Q99" i="11"/>
  <c r="K99" i="11"/>
  <c r="J99" i="11"/>
  <c r="F99" i="11"/>
  <c r="S98" i="11"/>
  <c r="R98" i="11"/>
  <c r="Q98" i="11"/>
  <c r="K98" i="11"/>
  <c r="J98" i="11"/>
  <c r="F98" i="11"/>
  <c r="S97" i="11"/>
  <c r="R97" i="11"/>
  <c r="Q97" i="11"/>
  <c r="L97" i="11"/>
  <c r="K97" i="11"/>
  <c r="J97" i="11"/>
  <c r="F97" i="11"/>
  <c r="S96" i="11"/>
  <c r="R96" i="11"/>
  <c r="Q96" i="11"/>
  <c r="L96" i="11"/>
  <c r="K96" i="11"/>
  <c r="J96" i="11"/>
  <c r="F96" i="11"/>
  <c r="S95" i="11"/>
  <c r="R95" i="11"/>
  <c r="Q95" i="11"/>
  <c r="L95" i="11"/>
  <c r="K95" i="11"/>
  <c r="J95" i="11"/>
  <c r="F95" i="11"/>
  <c r="S94" i="11"/>
  <c r="R94" i="11"/>
  <c r="Q94" i="11"/>
  <c r="L94" i="11"/>
  <c r="K94" i="11"/>
  <c r="J94" i="11"/>
  <c r="F94" i="11"/>
  <c r="S91" i="11"/>
  <c r="R91" i="11"/>
  <c r="Q91" i="11"/>
  <c r="K91" i="11"/>
  <c r="J91" i="11"/>
  <c r="F91" i="11"/>
  <c r="S90" i="11"/>
  <c r="R90" i="11"/>
  <c r="Q90" i="11"/>
  <c r="K90" i="11"/>
  <c r="J90" i="11"/>
  <c r="F90" i="11"/>
  <c r="S89" i="11"/>
  <c r="R89" i="11"/>
  <c r="Q89" i="11"/>
  <c r="K89" i="11"/>
  <c r="J89" i="11"/>
  <c r="F89" i="11"/>
  <c r="S88" i="11"/>
  <c r="R88" i="11"/>
  <c r="Q88" i="11"/>
  <c r="K88" i="11"/>
  <c r="J88" i="11"/>
  <c r="F88" i="11"/>
  <c r="S87" i="11"/>
  <c r="R87" i="11"/>
  <c r="Q87" i="11"/>
  <c r="K87" i="11"/>
  <c r="J87" i="11"/>
  <c r="F87" i="11"/>
  <c r="S86" i="11"/>
  <c r="R86" i="11"/>
  <c r="Q86" i="11"/>
  <c r="K86" i="11"/>
  <c r="J86" i="11"/>
  <c r="F86" i="11"/>
  <c r="S85" i="11"/>
  <c r="R85" i="11"/>
  <c r="Q85" i="11"/>
  <c r="K85" i="11"/>
  <c r="J85" i="11"/>
  <c r="F85" i="11"/>
  <c r="S84" i="11"/>
  <c r="R84" i="11"/>
  <c r="Q84" i="11"/>
  <c r="L84" i="11"/>
  <c r="K84" i="11"/>
  <c r="J84" i="11"/>
  <c r="F84" i="11"/>
  <c r="S83" i="11"/>
  <c r="R83" i="11"/>
  <c r="Q83" i="11"/>
  <c r="L83" i="11"/>
  <c r="K83" i="11"/>
  <c r="J83" i="11"/>
  <c r="F83" i="11"/>
  <c r="S82" i="11"/>
  <c r="R82" i="11"/>
  <c r="Q82" i="11"/>
  <c r="L82" i="11"/>
  <c r="K82" i="11"/>
  <c r="J82" i="11"/>
  <c r="F82" i="11"/>
  <c r="S81" i="11"/>
  <c r="R81" i="11"/>
  <c r="Q81" i="11"/>
  <c r="L81" i="11"/>
  <c r="K81" i="11"/>
  <c r="J81" i="11"/>
  <c r="F81" i="11"/>
  <c r="S78" i="11"/>
  <c r="R78" i="11"/>
  <c r="Q78" i="11"/>
  <c r="K78" i="11"/>
  <c r="J78" i="11"/>
  <c r="F78" i="11"/>
  <c r="S77" i="11"/>
  <c r="R77" i="11"/>
  <c r="Q77" i="11"/>
  <c r="K77" i="11"/>
  <c r="J77" i="11"/>
  <c r="F77" i="11"/>
  <c r="S76" i="11"/>
  <c r="R76" i="11"/>
  <c r="Q76" i="11"/>
  <c r="K76" i="11"/>
  <c r="J76" i="11"/>
  <c r="F76" i="11"/>
  <c r="S75" i="11"/>
  <c r="R75" i="11"/>
  <c r="Q75" i="11"/>
  <c r="K75" i="11"/>
  <c r="J75" i="11"/>
  <c r="F75" i="11"/>
  <c r="S74" i="11"/>
  <c r="R74" i="11"/>
  <c r="Q74" i="11"/>
  <c r="K74" i="11"/>
  <c r="J74" i="11"/>
  <c r="F74" i="11"/>
  <c r="S73" i="11"/>
  <c r="R73" i="11"/>
  <c r="Q73" i="11"/>
  <c r="K73" i="11"/>
  <c r="J73" i="11"/>
  <c r="F73" i="11"/>
  <c r="S72" i="11"/>
  <c r="R72" i="11"/>
  <c r="Q72" i="11"/>
  <c r="K72" i="11"/>
  <c r="J72" i="11"/>
  <c r="F72" i="11"/>
  <c r="S71" i="11"/>
  <c r="R71" i="11"/>
  <c r="Q71" i="11"/>
  <c r="L71" i="11"/>
  <c r="K71" i="11"/>
  <c r="J71" i="11"/>
  <c r="F71" i="11"/>
  <c r="S70" i="11"/>
  <c r="R70" i="11"/>
  <c r="Q70" i="11"/>
  <c r="L70" i="11"/>
  <c r="K70" i="11"/>
  <c r="J70" i="11"/>
  <c r="F70" i="11"/>
  <c r="S69" i="11"/>
  <c r="R69" i="11"/>
  <c r="Q69" i="11"/>
  <c r="L69" i="11"/>
  <c r="K69" i="11"/>
  <c r="J69" i="11"/>
  <c r="F69" i="11"/>
  <c r="S68" i="11"/>
  <c r="R68" i="11"/>
  <c r="Q68" i="11"/>
  <c r="L68" i="11"/>
  <c r="K68" i="11"/>
  <c r="J68" i="11"/>
  <c r="F68" i="11"/>
  <c r="S65" i="11"/>
  <c r="R65" i="11"/>
  <c r="Q65" i="11"/>
  <c r="K65" i="11"/>
  <c r="J65" i="11"/>
  <c r="F65" i="11"/>
  <c r="S64" i="11"/>
  <c r="R64" i="11"/>
  <c r="Q64" i="11"/>
  <c r="K64" i="11"/>
  <c r="J64" i="11"/>
  <c r="F64" i="11"/>
  <c r="S63" i="11"/>
  <c r="T63" i="11" s="1"/>
  <c r="R63" i="11"/>
  <c r="Q63" i="11"/>
  <c r="K63" i="11"/>
  <c r="J63" i="11"/>
  <c r="F63" i="11"/>
  <c r="S62" i="11"/>
  <c r="R62" i="11"/>
  <c r="Q62" i="11"/>
  <c r="K62" i="11"/>
  <c r="J62" i="11"/>
  <c r="F62" i="11"/>
  <c r="S61" i="11"/>
  <c r="R61" i="11"/>
  <c r="Q61" i="11"/>
  <c r="K61" i="11"/>
  <c r="J61" i="11"/>
  <c r="F61" i="11"/>
  <c r="S60" i="11"/>
  <c r="R60" i="11"/>
  <c r="Q60" i="11"/>
  <c r="K60" i="11"/>
  <c r="J60" i="11"/>
  <c r="F60" i="11"/>
  <c r="S59" i="11"/>
  <c r="R59" i="11"/>
  <c r="Q59" i="11"/>
  <c r="K59" i="11"/>
  <c r="J59" i="11"/>
  <c r="F59" i="11"/>
  <c r="S58" i="11"/>
  <c r="R58" i="11"/>
  <c r="Q58" i="11"/>
  <c r="L58" i="11"/>
  <c r="K58" i="11"/>
  <c r="J58" i="11"/>
  <c r="F58" i="11"/>
  <c r="S57" i="11"/>
  <c r="R57" i="11"/>
  <c r="Q57" i="11"/>
  <c r="L57" i="11"/>
  <c r="K57" i="11"/>
  <c r="J57" i="11"/>
  <c r="F57" i="11"/>
  <c r="S56" i="11"/>
  <c r="R56" i="11"/>
  <c r="Q56" i="11"/>
  <c r="L56" i="11"/>
  <c r="K56" i="11"/>
  <c r="J56" i="11"/>
  <c r="F56" i="11"/>
  <c r="S55" i="11"/>
  <c r="R55" i="11"/>
  <c r="Q55" i="11"/>
  <c r="L55" i="11"/>
  <c r="K55" i="11"/>
  <c r="J55" i="11"/>
  <c r="F55" i="11"/>
  <c r="M26" i="26"/>
  <c r="L26" i="26" s="1"/>
  <c r="M27" i="26"/>
  <c r="L27" i="26" s="1"/>
  <c r="M28" i="26"/>
  <c r="L28" i="26" s="1"/>
  <c r="M29" i="26"/>
  <c r="L29" i="26" s="1"/>
  <c r="M30" i="26"/>
  <c r="L30" i="26" s="1"/>
  <c r="M31" i="26"/>
  <c r="L31" i="26" s="1"/>
  <c r="M32" i="26"/>
  <c r="L32" i="26" s="1"/>
  <c r="M33" i="26"/>
  <c r="L33" i="26" s="1"/>
  <c r="M34" i="26"/>
  <c r="L34" i="26" s="1"/>
  <c r="M35" i="26"/>
  <c r="L35" i="26" s="1"/>
  <c r="M36" i="26"/>
  <c r="L36" i="26" s="1"/>
  <c r="M37" i="26"/>
  <c r="L37" i="26" s="1"/>
  <c r="M38" i="26"/>
  <c r="L38" i="26" s="1"/>
  <c r="M39" i="26"/>
  <c r="L39" i="26" s="1"/>
  <c r="M40" i="26"/>
  <c r="L40" i="26" s="1"/>
  <c r="M41" i="26"/>
  <c r="L41" i="26" s="1"/>
  <c r="M42" i="26"/>
  <c r="L42" i="26" s="1"/>
  <c r="M43" i="26"/>
  <c r="L43" i="26" s="1"/>
  <c r="M44" i="26"/>
  <c r="L44" i="26" s="1"/>
  <c r="M45" i="26"/>
  <c r="L45" i="26" s="1"/>
  <c r="M46" i="26"/>
  <c r="L46" i="26" s="1"/>
  <c r="M47" i="26"/>
  <c r="L47" i="26" s="1"/>
  <c r="M48" i="26"/>
  <c r="L48" i="26" s="1"/>
  <c r="M49" i="26"/>
  <c r="L49" i="26" s="1"/>
  <c r="M50" i="26"/>
  <c r="L50" i="26" s="1"/>
  <c r="M51" i="26"/>
  <c r="L51" i="26" s="1"/>
  <c r="M52" i="26"/>
  <c r="L52" i="26" s="1"/>
  <c r="M53" i="26"/>
  <c r="L53" i="26" s="1"/>
  <c r="M54" i="26"/>
  <c r="L54" i="26" s="1"/>
  <c r="M55" i="26"/>
  <c r="L55" i="26" s="1"/>
  <c r="M56" i="26"/>
  <c r="L56" i="26" s="1"/>
  <c r="M57" i="26"/>
  <c r="L57" i="26" s="1"/>
  <c r="M58" i="26"/>
  <c r="L58" i="26" s="1"/>
  <c r="M59" i="26"/>
  <c r="L59" i="26" s="1"/>
  <c r="M60" i="26"/>
  <c r="L60" i="26" s="1"/>
  <c r="M61" i="26"/>
  <c r="L61" i="26" s="1"/>
  <c r="M62" i="26"/>
  <c r="L62" i="26" s="1"/>
  <c r="M63" i="26"/>
  <c r="L63" i="26" s="1"/>
  <c r="M64" i="26"/>
  <c r="L64" i="26" s="1"/>
  <c r="M65" i="26"/>
  <c r="L65" i="26" s="1"/>
  <c r="M66" i="26"/>
  <c r="L66" i="26" s="1"/>
  <c r="M67" i="26"/>
  <c r="L67" i="26" s="1"/>
  <c r="M68" i="26"/>
  <c r="L68" i="26" s="1"/>
  <c r="M69" i="26"/>
  <c r="L69" i="26" s="1"/>
  <c r="M70" i="26"/>
  <c r="L70" i="26" s="1"/>
  <c r="M71" i="26"/>
  <c r="L71" i="26" s="1"/>
  <c r="M72" i="26"/>
  <c r="L72" i="26" s="1"/>
  <c r="M73" i="26"/>
  <c r="L73" i="26" s="1"/>
  <c r="M74" i="26"/>
  <c r="L74" i="26" s="1"/>
  <c r="M75" i="26"/>
  <c r="L75" i="26" s="1"/>
  <c r="M76" i="26"/>
  <c r="L76" i="26" s="1"/>
  <c r="M77" i="26"/>
  <c r="L77" i="26" s="1"/>
  <c r="M78" i="26"/>
  <c r="L78" i="26" s="1"/>
  <c r="M79" i="26"/>
  <c r="L79" i="26" s="1"/>
  <c r="M80" i="26"/>
  <c r="L80" i="26" s="1"/>
  <c r="M81" i="26"/>
  <c r="L81" i="26" s="1"/>
  <c r="M82" i="26"/>
  <c r="L82" i="26" s="1"/>
  <c r="M83" i="26"/>
  <c r="L83" i="26" s="1"/>
  <c r="M84" i="26"/>
  <c r="L84" i="26" s="1"/>
  <c r="M85" i="26"/>
  <c r="L85" i="26" s="1"/>
  <c r="M86" i="26"/>
  <c r="L86" i="26" s="1"/>
  <c r="M87" i="26"/>
  <c r="L87" i="26" s="1"/>
  <c r="M88" i="26"/>
  <c r="L88" i="26" s="1"/>
  <c r="M89" i="26"/>
  <c r="L89" i="26" s="1"/>
  <c r="M90" i="26"/>
  <c r="L90" i="26" s="1"/>
  <c r="M91" i="26"/>
  <c r="L91" i="26" s="1"/>
  <c r="M92" i="26"/>
  <c r="L92" i="26" s="1"/>
  <c r="M93" i="26"/>
  <c r="L93" i="26" s="1"/>
  <c r="M94" i="26"/>
  <c r="L94" i="26" s="1"/>
  <c r="M95" i="26"/>
  <c r="L95" i="26" s="1"/>
  <c r="M96" i="26"/>
  <c r="L96" i="26" s="1"/>
  <c r="M97" i="26"/>
  <c r="L97" i="26" s="1"/>
  <c r="M98" i="26"/>
  <c r="L98" i="26" s="1"/>
  <c r="M99" i="26"/>
  <c r="L99" i="26" s="1"/>
  <c r="M100" i="26"/>
  <c r="L100" i="26" s="1"/>
  <c r="M101" i="26"/>
  <c r="L101" i="26" s="1"/>
  <c r="M102" i="26"/>
  <c r="L102" i="26" s="1"/>
  <c r="M103" i="26"/>
  <c r="L103" i="26" s="1"/>
  <c r="M104" i="26"/>
  <c r="L104" i="26" s="1"/>
  <c r="M105" i="26"/>
  <c r="L105" i="26" s="1"/>
  <c r="M106" i="26"/>
  <c r="L106" i="26" s="1"/>
  <c r="M107" i="26"/>
  <c r="L107" i="26" s="1"/>
  <c r="M108" i="26"/>
  <c r="L108" i="26" s="1"/>
  <c r="M109" i="26"/>
  <c r="L109" i="26" s="1"/>
  <c r="M110" i="26"/>
  <c r="L110" i="26" s="1"/>
  <c r="M111" i="26"/>
  <c r="L111" i="26" s="1"/>
  <c r="M113" i="26"/>
  <c r="L113" i="26" s="1"/>
  <c r="M114" i="26"/>
  <c r="L114" i="26" s="1"/>
  <c r="M115" i="26"/>
  <c r="L115" i="26" s="1"/>
  <c r="M116" i="26"/>
  <c r="L116" i="26" s="1"/>
  <c r="M117" i="26"/>
  <c r="L117" i="26" s="1"/>
  <c r="M118" i="26"/>
  <c r="L118" i="26" s="1"/>
  <c r="M119" i="26"/>
  <c r="L119" i="26" s="1"/>
  <c r="M120" i="26"/>
  <c r="L120" i="26" s="1"/>
  <c r="M121" i="26"/>
  <c r="L121" i="26" s="1"/>
  <c r="M122" i="26"/>
  <c r="L122" i="26" s="1"/>
  <c r="M123" i="26"/>
  <c r="L123" i="26" s="1"/>
  <c r="M124" i="26"/>
  <c r="L124" i="26" s="1"/>
  <c r="M125" i="26"/>
  <c r="L125" i="26" s="1"/>
  <c r="M126" i="26"/>
  <c r="L126" i="26" s="1"/>
  <c r="M127" i="26"/>
  <c r="L127" i="26" s="1"/>
  <c r="M128" i="26"/>
  <c r="L128" i="26" s="1"/>
  <c r="M129" i="26"/>
  <c r="L129" i="26" s="1"/>
  <c r="M130" i="26"/>
  <c r="L130" i="26" s="1"/>
  <c r="M131" i="26"/>
  <c r="L131" i="26" s="1"/>
  <c r="M132" i="26"/>
  <c r="L132" i="26" s="1"/>
  <c r="M133" i="26"/>
  <c r="L133" i="26" s="1"/>
  <c r="M134" i="26"/>
  <c r="L134" i="26" s="1"/>
  <c r="M135" i="26"/>
  <c r="L135" i="26" s="1"/>
  <c r="M136" i="26"/>
  <c r="L136" i="26" s="1"/>
  <c r="M138" i="26"/>
  <c r="L138" i="26" s="1"/>
  <c r="M139" i="26"/>
  <c r="L139" i="26" s="1"/>
  <c r="M140" i="26"/>
  <c r="L140" i="26" s="1"/>
  <c r="M141" i="26"/>
  <c r="L141" i="26" s="1"/>
  <c r="M142" i="26"/>
  <c r="L142" i="26" s="1"/>
  <c r="M143" i="26"/>
  <c r="L143" i="26" s="1"/>
  <c r="M144" i="26"/>
  <c r="L144" i="26" s="1"/>
  <c r="K13" i="26"/>
  <c r="K14" i="26"/>
  <c r="K15" i="26"/>
  <c r="K16" i="26"/>
  <c r="K17" i="26"/>
  <c r="K18" i="26"/>
  <c r="K19" i="26"/>
  <c r="K20" i="26"/>
  <c r="K21" i="26"/>
  <c r="K22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K52" i="26"/>
  <c r="K53" i="26"/>
  <c r="K54" i="26"/>
  <c r="K55" i="26"/>
  <c r="K56" i="26"/>
  <c r="K57" i="26"/>
  <c r="K58" i="26"/>
  <c r="K59" i="26"/>
  <c r="K60" i="26"/>
  <c r="K61" i="26"/>
  <c r="K62" i="26"/>
  <c r="K63" i="26"/>
  <c r="K64" i="26"/>
  <c r="K65" i="26"/>
  <c r="K66" i="26"/>
  <c r="K67" i="26"/>
  <c r="K68" i="26"/>
  <c r="K69" i="26"/>
  <c r="K70" i="26"/>
  <c r="K71" i="26"/>
  <c r="K72" i="26"/>
  <c r="K73" i="26"/>
  <c r="K74" i="26"/>
  <c r="K75" i="26"/>
  <c r="K76" i="26"/>
  <c r="K77" i="26"/>
  <c r="K78" i="26"/>
  <c r="K79" i="26"/>
  <c r="K80" i="26"/>
  <c r="K81" i="26"/>
  <c r="K82" i="26"/>
  <c r="K83" i="26"/>
  <c r="K84" i="26"/>
  <c r="K85" i="26"/>
  <c r="K86" i="26"/>
  <c r="K87" i="26"/>
  <c r="K88" i="26"/>
  <c r="K89" i="26"/>
  <c r="K90" i="26"/>
  <c r="K91" i="26"/>
  <c r="K92" i="26"/>
  <c r="K93" i="26"/>
  <c r="K94" i="26"/>
  <c r="K95" i="26"/>
  <c r="K96" i="26"/>
  <c r="K97" i="26"/>
  <c r="K98" i="26"/>
  <c r="K99" i="26"/>
  <c r="K100" i="26"/>
  <c r="K101" i="26"/>
  <c r="K102" i="26"/>
  <c r="K103" i="26"/>
  <c r="K104" i="26"/>
  <c r="K105" i="26"/>
  <c r="K106" i="26"/>
  <c r="K107" i="26"/>
  <c r="K108" i="26"/>
  <c r="K109" i="26"/>
  <c r="K110" i="26"/>
  <c r="K111" i="26"/>
  <c r="K112" i="26"/>
  <c r="K113" i="26"/>
  <c r="K114" i="26"/>
  <c r="K115" i="26"/>
  <c r="K116" i="26"/>
  <c r="K117" i="26"/>
  <c r="K118" i="26"/>
  <c r="K119" i="26"/>
  <c r="K120" i="26"/>
  <c r="K121" i="26"/>
  <c r="K122" i="26"/>
  <c r="K123" i="26"/>
  <c r="K124" i="26"/>
  <c r="K125" i="26"/>
  <c r="K126" i="26"/>
  <c r="K127" i="26"/>
  <c r="K128" i="26"/>
  <c r="K129" i="26"/>
  <c r="K130" i="26"/>
  <c r="K131" i="26"/>
  <c r="K132" i="26"/>
  <c r="K133" i="26"/>
  <c r="K134" i="26"/>
  <c r="K135" i="26"/>
  <c r="K136" i="26"/>
  <c r="K137" i="26"/>
  <c r="K138" i="26"/>
  <c r="K139" i="26"/>
  <c r="K140" i="26"/>
  <c r="K141" i="26"/>
  <c r="K142" i="26"/>
  <c r="K143" i="26"/>
  <c r="K144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J37" i="26"/>
  <c r="J38" i="26"/>
  <c r="J39" i="26"/>
  <c r="J40" i="26"/>
  <c r="J41" i="26"/>
  <c r="J42" i="26"/>
  <c r="J43" i="26"/>
  <c r="J44" i="26"/>
  <c r="J45" i="26"/>
  <c r="J46" i="26"/>
  <c r="J47" i="26"/>
  <c r="J48" i="26"/>
  <c r="J49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104" i="26"/>
  <c r="J105" i="26"/>
  <c r="J106" i="26"/>
  <c r="J107" i="26"/>
  <c r="J108" i="26"/>
  <c r="J109" i="26"/>
  <c r="J110" i="26"/>
  <c r="J111" i="26"/>
  <c r="J112" i="26"/>
  <c r="J113" i="26"/>
  <c r="J114" i="26"/>
  <c r="J115" i="26"/>
  <c r="J116" i="26"/>
  <c r="J117" i="26"/>
  <c r="J118" i="26"/>
  <c r="J119" i="26"/>
  <c r="J120" i="26"/>
  <c r="J121" i="26"/>
  <c r="J122" i="26"/>
  <c r="J123" i="26"/>
  <c r="J124" i="26"/>
  <c r="J125" i="26"/>
  <c r="J126" i="26"/>
  <c r="J127" i="26"/>
  <c r="J128" i="26"/>
  <c r="J129" i="26"/>
  <c r="J130" i="26"/>
  <c r="J131" i="26"/>
  <c r="J132" i="26"/>
  <c r="J133" i="26"/>
  <c r="J134" i="26"/>
  <c r="J135" i="26"/>
  <c r="J136" i="26"/>
  <c r="J137" i="26"/>
  <c r="J138" i="26"/>
  <c r="J139" i="26"/>
  <c r="J140" i="26"/>
  <c r="J141" i="26"/>
  <c r="J142" i="26"/>
  <c r="J143" i="26"/>
  <c r="J144" i="26"/>
  <c r="I13" i="26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I124" i="26"/>
  <c r="I125" i="26"/>
  <c r="I126" i="26"/>
  <c r="I127" i="26"/>
  <c r="I128" i="26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37" i="26"/>
  <c r="G138" i="26"/>
  <c r="G139" i="26"/>
  <c r="G140" i="26"/>
  <c r="G141" i="26"/>
  <c r="G142" i="26"/>
  <c r="G143" i="26"/>
  <c r="G144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E54" i="26"/>
  <c r="E55" i="26"/>
  <c r="E56" i="26"/>
  <c r="E5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E98" i="26"/>
  <c r="E99" i="26"/>
  <c r="E100" i="26"/>
  <c r="E101" i="26"/>
  <c r="E102" i="26"/>
  <c r="E103" i="26"/>
  <c r="E104" i="26"/>
  <c r="E105" i="26"/>
  <c r="E106" i="26"/>
  <c r="E107" i="26"/>
  <c r="E108" i="26"/>
  <c r="E109" i="26"/>
  <c r="E110" i="26"/>
  <c r="E111" i="26"/>
  <c r="E112" i="26"/>
  <c r="E113" i="26"/>
  <c r="E114" i="26"/>
  <c r="E115" i="26"/>
  <c r="E116" i="26"/>
  <c r="E117" i="26"/>
  <c r="E118" i="26"/>
  <c r="E119" i="26"/>
  <c r="E120" i="26"/>
  <c r="E121" i="26"/>
  <c r="E122" i="26"/>
  <c r="E123" i="26"/>
  <c r="E124" i="26"/>
  <c r="E125" i="26"/>
  <c r="E126" i="26"/>
  <c r="E127" i="26"/>
  <c r="E128" i="26"/>
  <c r="E129" i="26"/>
  <c r="E130" i="26"/>
  <c r="E131" i="26"/>
  <c r="E132" i="26"/>
  <c r="E133" i="26"/>
  <c r="E134" i="26"/>
  <c r="E135" i="26"/>
  <c r="E136" i="26"/>
  <c r="E137" i="26"/>
  <c r="E138" i="26"/>
  <c r="E139" i="26"/>
  <c r="E140" i="26"/>
  <c r="E141" i="26"/>
  <c r="E142" i="26"/>
  <c r="E143" i="26"/>
  <c r="E144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73" i="26"/>
  <c r="D74" i="26"/>
  <c r="D75" i="26"/>
  <c r="D76" i="26"/>
  <c r="D7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91" i="26"/>
  <c r="D92" i="26"/>
  <c r="D93" i="26"/>
  <c r="D94" i="26"/>
  <c r="D95" i="26"/>
  <c r="D96" i="26"/>
  <c r="D97" i="26"/>
  <c r="D98" i="26"/>
  <c r="D99" i="26"/>
  <c r="D100" i="26"/>
  <c r="D101" i="26"/>
  <c r="D102" i="26"/>
  <c r="D103" i="26"/>
  <c r="D104" i="26"/>
  <c r="D105" i="26"/>
  <c r="D106" i="26"/>
  <c r="D107" i="26"/>
  <c r="D108" i="26"/>
  <c r="D109" i="26"/>
  <c r="D110" i="26"/>
  <c r="D111" i="26"/>
  <c r="D112" i="26"/>
  <c r="D113" i="26"/>
  <c r="D114" i="26"/>
  <c r="D115" i="26"/>
  <c r="D116" i="26"/>
  <c r="D117" i="26"/>
  <c r="D118" i="26"/>
  <c r="D119" i="26"/>
  <c r="D120" i="26"/>
  <c r="D121" i="26"/>
  <c r="D122" i="26"/>
  <c r="D123" i="26"/>
  <c r="D124" i="26"/>
  <c r="D125" i="26"/>
  <c r="D126" i="26"/>
  <c r="D127" i="26"/>
  <c r="D128" i="26"/>
  <c r="D129" i="26"/>
  <c r="D130" i="26"/>
  <c r="D131" i="26"/>
  <c r="D132" i="26"/>
  <c r="D133" i="26"/>
  <c r="D134" i="26"/>
  <c r="D135" i="26"/>
  <c r="D136" i="26"/>
  <c r="D137" i="26"/>
  <c r="D138" i="26"/>
  <c r="D139" i="26"/>
  <c r="D140" i="26"/>
  <c r="D141" i="26"/>
  <c r="D142" i="26"/>
  <c r="D143" i="26"/>
  <c r="D144" i="26"/>
  <c r="M13" i="26"/>
  <c r="L13" i="26" s="1"/>
  <c r="M14" i="26"/>
  <c r="L14" i="26" s="1"/>
  <c r="M15" i="26"/>
  <c r="L15" i="26" s="1"/>
  <c r="M16" i="26"/>
  <c r="L16" i="26" s="1"/>
  <c r="M17" i="26"/>
  <c r="L17" i="26" s="1"/>
  <c r="M18" i="26"/>
  <c r="L18" i="26" s="1"/>
  <c r="M19" i="26"/>
  <c r="L19" i="26" s="1"/>
  <c r="M20" i="26"/>
  <c r="L20" i="26" s="1"/>
  <c r="M21" i="26"/>
  <c r="L21" i="26" s="1"/>
  <c r="M22" i="26"/>
  <c r="L22" i="26" s="1"/>
  <c r="M23" i="26"/>
  <c r="L23" i="26" s="1"/>
  <c r="M24" i="26"/>
  <c r="L24" i="26" s="1"/>
  <c r="M25" i="26"/>
  <c r="L25" i="26" s="1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O16" i="25"/>
  <c r="Q16" i="25" s="1"/>
  <c r="M112" i="26" s="1"/>
  <c r="L112" i="26" s="1"/>
  <c r="O17" i="25"/>
  <c r="O18" i="25"/>
  <c r="Q18" i="25" s="1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O33" i="25"/>
  <c r="O34" i="25"/>
  <c r="O35" i="25"/>
  <c r="O36" i="25"/>
  <c r="O37" i="25"/>
  <c r="O38" i="25"/>
  <c r="O39" i="25"/>
  <c r="O40" i="25"/>
  <c r="O41" i="25"/>
  <c r="O42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100" i="25"/>
  <c r="O101" i="25"/>
  <c r="O102" i="25"/>
  <c r="O103" i="25"/>
  <c r="O104" i="25"/>
  <c r="O105" i="25"/>
  <c r="O106" i="25"/>
  <c r="O107" i="25"/>
  <c r="O108" i="25"/>
  <c r="O109" i="25"/>
  <c r="O110" i="25"/>
  <c r="O111" i="25"/>
  <c r="O112" i="25"/>
  <c r="O113" i="25"/>
  <c r="O114" i="25"/>
  <c r="O115" i="25"/>
  <c r="O116" i="25"/>
  <c r="O117" i="25"/>
  <c r="O118" i="25"/>
  <c r="O119" i="25"/>
  <c r="O120" i="25"/>
  <c r="O121" i="25"/>
  <c r="O122" i="25"/>
  <c r="O123" i="25"/>
  <c r="O124" i="25"/>
  <c r="O125" i="25"/>
  <c r="O126" i="25"/>
  <c r="O127" i="25"/>
  <c r="O128" i="25"/>
  <c r="O129" i="25"/>
  <c r="O130" i="25"/>
  <c r="O131" i="25"/>
  <c r="O132" i="25"/>
  <c r="O133" i="25"/>
  <c r="O134" i="25"/>
  <c r="O135" i="25"/>
  <c r="O136" i="25"/>
  <c r="O137" i="25"/>
  <c r="O138" i="25"/>
  <c r="O139" i="25"/>
  <c r="O140" i="25"/>
  <c r="O141" i="25"/>
  <c r="O142" i="25"/>
  <c r="O143" i="25"/>
  <c r="O144" i="25"/>
  <c r="O145" i="25"/>
  <c r="O146" i="25"/>
  <c r="O147" i="25"/>
  <c r="O148" i="25"/>
  <c r="O149" i="25"/>
  <c r="O150" i="25"/>
  <c r="O151" i="25"/>
  <c r="O152" i="25"/>
  <c r="O153" i="25"/>
  <c r="O154" i="25"/>
  <c r="O155" i="25"/>
  <c r="O156" i="25"/>
  <c r="O157" i="25"/>
  <c r="O158" i="25"/>
  <c r="O159" i="25"/>
  <c r="O160" i="25"/>
  <c r="O161" i="25"/>
  <c r="O162" i="25"/>
  <c r="O163" i="25"/>
  <c r="O164" i="25"/>
  <c r="O165" i="25"/>
  <c r="O166" i="25"/>
  <c r="O167" i="25"/>
  <c r="O168" i="25"/>
  <c r="O169" i="25"/>
  <c r="O170" i="25"/>
  <c r="O171" i="25"/>
  <c r="O172" i="25"/>
  <c r="O173" i="25"/>
  <c r="O174" i="25"/>
  <c r="O175" i="25"/>
  <c r="O176" i="25"/>
  <c r="O177" i="25"/>
  <c r="O178" i="25"/>
  <c r="O179" i="25"/>
  <c r="O180" i="25"/>
  <c r="O181" i="25"/>
  <c r="O182" i="25"/>
  <c r="O183" i="25"/>
  <c r="O184" i="25"/>
  <c r="O185" i="25"/>
  <c r="O186" i="25"/>
  <c r="O187" i="25"/>
  <c r="O188" i="25"/>
  <c r="O189" i="25"/>
  <c r="O190" i="25"/>
  <c r="O191" i="25"/>
  <c r="O192" i="25"/>
  <c r="O193" i="25"/>
  <c r="O194" i="25"/>
  <c r="O195" i="25"/>
  <c r="O196" i="25"/>
  <c r="O197" i="25"/>
  <c r="O198" i="25"/>
  <c r="O199" i="25"/>
  <c r="O200" i="25"/>
  <c r="O15" i="25"/>
  <c r="N70" i="26" l="1"/>
  <c r="N62" i="26"/>
  <c r="N54" i="26"/>
  <c r="N46" i="26"/>
  <c r="N38" i="26"/>
  <c r="N30" i="26"/>
  <c r="N22" i="26"/>
  <c r="N14" i="26"/>
  <c r="N105" i="26"/>
  <c r="N81" i="26"/>
  <c r="N49" i="26"/>
  <c r="N17" i="26"/>
  <c r="N97" i="26"/>
  <c r="N89" i="26"/>
  <c r="N33" i="26"/>
  <c r="P36" i="35"/>
  <c r="P39" i="35"/>
  <c r="P37" i="35"/>
  <c r="P38" i="35"/>
  <c r="N67" i="26"/>
  <c r="N51" i="26"/>
  <c r="N43" i="26"/>
  <c r="N35" i="26"/>
  <c r="N27" i="26"/>
  <c r="N19" i="26"/>
  <c r="N73" i="26"/>
  <c r="N57" i="26"/>
  <c r="N41" i="26"/>
  <c r="N25" i="26"/>
  <c r="N113" i="26"/>
  <c r="N111" i="26"/>
  <c r="N103" i="26"/>
  <c r="N95" i="26"/>
  <c r="N87" i="26"/>
  <c r="N79" i="26"/>
  <c r="N71" i="26"/>
  <c r="N63" i="26"/>
  <c r="N55" i="26"/>
  <c r="N47" i="26"/>
  <c r="N39" i="26"/>
  <c r="N31" i="26"/>
  <c r="N23" i="26"/>
  <c r="N15" i="26"/>
  <c r="N32" i="26"/>
  <c r="N24" i="26"/>
  <c r="N16" i="26"/>
  <c r="N40" i="26"/>
  <c r="N99" i="26"/>
  <c r="N83" i="26"/>
  <c r="N59" i="26"/>
  <c r="N107" i="26"/>
  <c r="N91" i="26"/>
  <c r="N75" i="26"/>
  <c r="N112" i="26"/>
  <c r="N104" i="26"/>
  <c r="N96" i="26"/>
  <c r="N88" i="26"/>
  <c r="N80" i="26"/>
  <c r="N72" i="26"/>
  <c r="N64" i="26"/>
  <c r="N56" i="26"/>
  <c r="N48" i="26"/>
  <c r="N115" i="26"/>
  <c r="N121" i="26"/>
  <c r="N65" i="26"/>
  <c r="N129" i="26"/>
  <c r="N123" i="26"/>
  <c r="N136" i="26"/>
  <c r="N120" i="26"/>
  <c r="N128" i="26"/>
  <c r="N137" i="26"/>
  <c r="N135" i="26"/>
  <c r="N143" i="26"/>
  <c r="N127" i="26"/>
  <c r="N119" i="26"/>
  <c r="N139" i="26"/>
  <c r="N131" i="26"/>
  <c r="N144" i="26"/>
  <c r="N142" i="26"/>
  <c r="N134" i="26"/>
  <c r="N126" i="26"/>
  <c r="N118" i="26"/>
  <c r="N110" i="26"/>
  <c r="N102" i="26"/>
  <c r="N94" i="26"/>
  <c r="N86" i="26"/>
  <c r="N78" i="26"/>
  <c r="N141" i="26"/>
  <c r="N133" i="26"/>
  <c r="N125" i="26"/>
  <c r="N117" i="26"/>
  <c r="N109" i="26"/>
  <c r="N101" i="26"/>
  <c r="N93" i="26"/>
  <c r="N85" i="26"/>
  <c r="N77" i="26"/>
  <c r="N69" i="26"/>
  <c r="N61" i="26"/>
  <c r="N53" i="26"/>
  <c r="N45" i="26"/>
  <c r="N37" i="26"/>
  <c r="N29" i="26"/>
  <c r="N21" i="26"/>
  <c r="N13" i="26"/>
  <c r="N140" i="26"/>
  <c r="N132" i="26"/>
  <c r="N124" i="26"/>
  <c r="N116" i="26"/>
  <c r="N108" i="26"/>
  <c r="N100" i="26"/>
  <c r="N92" i="26"/>
  <c r="N84" i="26"/>
  <c r="N76" i="26"/>
  <c r="N68" i="26"/>
  <c r="N60" i="26"/>
  <c r="N52" i="26"/>
  <c r="N44" i="26"/>
  <c r="N36" i="26"/>
  <c r="N28" i="26"/>
  <c r="N20" i="26"/>
  <c r="N138" i="26"/>
  <c r="N130" i="26"/>
  <c r="N122" i="26"/>
  <c r="N114" i="26"/>
  <c r="N106" i="26"/>
  <c r="N98" i="26"/>
  <c r="N90" i="26"/>
  <c r="N82" i="26"/>
  <c r="N74" i="26"/>
  <c r="N66" i="26"/>
  <c r="N58" i="26"/>
  <c r="N50" i="26"/>
  <c r="N42" i="26"/>
  <c r="N34" i="26"/>
  <c r="N26" i="26"/>
  <c r="N18" i="26"/>
  <c r="T65" i="11"/>
  <c r="T73" i="11"/>
  <c r="T77" i="11"/>
  <c r="T96" i="11"/>
  <c r="T141" i="11"/>
  <c r="T88" i="11"/>
  <c r="T110" i="11"/>
  <c r="T130" i="11"/>
  <c r="T62" i="11"/>
  <c r="T114" i="11"/>
  <c r="T126" i="11"/>
  <c r="T129" i="11"/>
  <c r="T64" i="11"/>
  <c r="T72" i="11"/>
  <c r="T116" i="11"/>
  <c r="T146" i="11"/>
  <c r="T154" i="11"/>
  <c r="T156" i="11"/>
  <c r="T60" i="11"/>
  <c r="T101" i="11"/>
  <c r="T135" i="11"/>
  <c r="T153" i="11"/>
  <c r="T59" i="11"/>
  <c r="T99" i="11"/>
  <c r="T103" i="11"/>
  <c r="T122" i="11"/>
  <c r="T155" i="11"/>
  <c r="T76" i="11"/>
  <c r="T90" i="11"/>
  <c r="T98" i="11"/>
  <c r="T120" i="11"/>
  <c r="T128" i="11"/>
  <c r="T87" i="11"/>
  <c r="T97" i="11"/>
  <c r="T55" i="11"/>
  <c r="T75" i="11"/>
  <c r="T78" i="11"/>
  <c r="T86" i="11"/>
  <c r="T100" i="11"/>
  <c r="T111" i="11"/>
  <c r="T123" i="11"/>
  <c r="T136" i="11"/>
  <c r="T147" i="11"/>
  <c r="T74" i="11"/>
  <c r="T85" i="11"/>
  <c r="T109" i="11"/>
  <c r="T121" i="11"/>
  <c r="T134" i="11"/>
  <c r="T61" i="11"/>
  <c r="T84" i="11"/>
  <c r="T108" i="11"/>
  <c r="T133" i="11"/>
  <c r="T143" i="11"/>
  <c r="T71" i="11"/>
  <c r="T83" i="11"/>
  <c r="T95" i="11"/>
  <c r="T107" i="11"/>
  <c r="T115" i="11"/>
  <c r="T127" i="11"/>
  <c r="T140" i="11"/>
  <c r="T151" i="11"/>
  <c r="T152" i="11"/>
  <c r="T58" i="11"/>
  <c r="T70" i="11"/>
  <c r="T82" i="11"/>
  <c r="T94" i="11"/>
  <c r="T102" i="11"/>
  <c r="T117" i="11"/>
  <c r="T139" i="11"/>
  <c r="T142" i="11"/>
  <c r="T150" i="11"/>
  <c r="T57" i="11"/>
  <c r="T69" i="11"/>
  <c r="T81" i="11"/>
  <c r="T89" i="11"/>
  <c r="T104" i="11"/>
  <c r="T125" i="11"/>
  <c r="T149" i="11"/>
  <c r="T56" i="11"/>
  <c r="T68" i="11"/>
  <c r="T91" i="11"/>
  <c r="T112" i="11"/>
  <c r="T113" i="11"/>
  <c r="T124" i="11"/>
  <c r="T137" i="11"/>
  <c r="T138" i="11"/>
  <c r="T148" i="11"/>
  <c r="Q17" i="25"/>
  <c r="P14" i="25"/>
  <c r="O14" i="25"/>
  <c r="Q14" i="25" s="1"/>
  <c r="P13" i="25" l="1"/>
  <c r="K3" i="26"/>
  <c r="K4" i="26"/>
  <c r="K5" i="26"/>
  <c r="K6" i="26"/>
  <c r="K7" i="26"/>
  <c r="K8" i="26"/>
  <c r="K9" i="26"/>
  <c r="K10" i="26"/>
  <c r="K11" i="26"/>
  <c r="K12" i="26"/>
  <c r="K2" i="26"/>
  <c r="J3" i="26"/>
  <c r="J4" i="26"/>
  <c r="J5" i="26"/>
  <c r="J6" i="26"/>
  <c r="J7" i="26"/>
  <c r="J8" i="26"/>
  <c r="J9" i="26"/>
  <c r="J10" i="26"/>
  <c r="J11" i="26"/>
  <c r="J12" i="26"/>
  <c r="J2" i="26"/>
  <c r="I3" i="26"/>
  <c r="I4" i="26"/>
  <c r="I5" i="26"/>
  <c r="I6" i="26"/>
  <c r="I7" i="26"/>
  <c r="I8" i="26"/>
  <c r="I9" i="26"/>
  <c r="I10" i="26"/>
  <c r="I11" i="26"/>
  <c r="I12" i="26"/>
  <c r="I2" i="26"/>
  <c r="H3" i="26"/>
  <c r="H4" i="26"/>
  <c r="H5" i="26"/>
  <c r="H6" i="26"/>
  <c r="H7" i="26"/>
  <c r="H8" i="26"/>
  <c r="H9" i="26"/>
  <c r="H10" i="26"/>
  <c r="H11" i="26"/>
  <c r="H12" i="26"/>
  <c r="H2" i="26"/>
  <c r="G3" i="26"/>
  <c r="G4" i="26"/>
  <c r="G5" i="26"/>
  <c r="G6" i="26"/>
  <c r="G7" i="26"/>
  <c r="G8" i="26"/>
  <c r="G9" i="26"/>
  <c r="G10" i="26"/>
  <c r="G11" i="26"/>
  <c r="G12" i="26"/>
  <c r="G2" i="26"/>
  <c r="F3" i="26"/>
  <c r="F4" i="26"/>
  <c r="F5" i="26"/>
  <c r="F6" i="26"/>
  <c r="F7" i="26"/>
  <c r="F8" i="26"/>
  <c r="F9" i="26"/>
  <c r="F10" i="26"/>
  <c r="F11" i="26"/>
  <c r="F12" i="26"/>
  <c r="F2" i="26"/>
  <c r="E2" i="26"/>
  <c r="E3" i="26"/>
  <c r="E5" i="26"/>
  <c r="E6" i="26"/>
  <c r="E7" i="26"/>
  <c r="E8" i="26"/>
  <c r="E9" i="26"/>
  <c r="E10" i="26"/>
  <c r="E11" i="26"/>
  <c r="E12" i="26"/>
  <c r="E4" i="26"/>
  <c r="D4" i="26"/>
  <c r="D5" i="26"/>
  <c r="D6" i="26"/>
  <c r="D7" i="26"/>
  <c r="D8" i="26"/>
  <c r="D9" i="26"/>
  <c r="D10" i="26"/>
  <c r="D11" i="26"/>
  <c r="D12" i="26"/>
  <c r="D2" i="26"/>
  <c r="N6" i="26" l="1"/>
  <c r="P3" i="11"/>
  <c r="N11" i="26"/>
  <c r="N3" i="26"/>
  <c r="P10" i="11"/>
  <c r="P7" i="11"/>
  <c r="P6" i="11"/>
  <c r="O11" i="11"/>
  <c r="N10" i="26"/>
  <c r="N9" i="26"/>
  <c r="O9" i="11"/>
  <c r="N8" i="26"/>
  <c r="P11" i="11"/>
  <c r="O8" i="11"/>
  <c r="N7" i="26"/>
  <c r="N2" i="26"/>
  <c r="N5" i="26"/>
  <c r="O13" i="11"/>
  <c r="N12" i="26"/>
  <c r="O5" i="11"/>
  <c r="N4" i="26"/>
  <c r="P13" i="11"/>
  <c r="P5" i="11"/>
  <c r="O12" i="11"/>
  <c r="O10" i="11"/>
  <c r="P12" i="11"/>
  <c r="O7" i="11"/>
  <c r="P9" i="11"/>
  <c r="O3" i="11"/>
  <c r="O6" i="11"/>
  <c r="P8" i="11"/>
  <c r="W4" i="25"/>
  <c r="W5" i="25"/>
  <c r="W6" i="25"/>
  <c r="W7" i="25"/>
  <c r="W8" i="25"/>
  <c r="W9" i="25"/>
  <c r="W10" i="25"/>
  <c r="W11" i="25"/>
  <c r="W12" i="25"/>
  <c r="W13" i="25"/>
  <c r="W14" i="25"/>
  <c r="W15" i="25"/>
  <c r="W16" i="25"/>
  <c r="W17" i="25"/>
  <c r="W18" i="25"/>
  <c r="W19" i="25"/>
  <c r="W20" i="25"/>
  <c r="W21" i="25"/>
  <c r="W22" i="25"/>
  <c r="W23" i="25"/>
  <c r="W24" i="25"/>
  <c r="W25" i="25"/>
  <c r="W26" i="25"/>
  <c r="W27" i="25"/>
  <c r="W28" i="25"/>
  <c r="W29" i="25"/>
  <c r="W30" i="25"/>
  <c r="W31" i="25"/>
  <c r="W32" i="25"/>
  <c r="W33" i="25"/>
  <c r="W34" i="25"/>
  <c r="W35" i="25"/>
  <c r="W36" i="25"/>
  <c r="W37" i="25"/>
  <c r="W38" i="25"/>
  <c r="W39" i="25"/>
  <c r="W40" i="25"/>
  <c r="W41" i="25"/>
  <c r="W42" i="25"/>
  <c r="W43" i="25"/>
  <c r="W44" i="25"/>
  <c r="W45" i="25"/>
  <c r="W46" i="25"/>
  <c r="W47" i="25"/>
  <c r="W48" i="25"/>
  <c r="W49" i="25"/>
  <c r="W50" i="25"/>
  <c r="W51" i="25"/>
  <c r="W52" i="25"/>
  <c r="W53" i="25"/>
  <c r="W54" i="25"/>
  <c r="W55" i="25"/>
  <c r="W56" i="25"/>
  <c r="W57" i="25"/>
  <c r="W58" i="25"/>
  <c r="W59" i="25"/>
  <c r="W60" i="25"/>
  <c r="W61" i="25"/>
  <c r="W62" i="25"/>
  <c r="W63" i="25"/>
  <c r="W64" i="25"/>
  <c r="W65" i="25"/>
  <c r="W66" i="25"/>
  <c r="W67" i="25"/>
  <c r="W68" i="25"/>
  <c r="W69" i="25"/>
  <c r="W70" i="25"/>
  <c r="W71" i="25"/>
  <c r="W72" i="25"/>
  <c r="W73" i="25"/>
  <c r="W74" i="25"/>
  <c r="W75" i="25"/>
  <c r="W76" i="25"/>
  <c r="W77" i="25"/>
  <c r="W78" i="25"/>
  <c r="W79" i="25"/>
  <c r="W80" i="25"/>
  <c r="W81" i="25"/>
  <c r="W82" i="25"/>
  <c r="W83" i="25"/>
  <c r="W84" i="25"/>
  <c r="W85" i="25"/>
  <c r="W86" i="25"/>
  <c r="W87" i="25"/>
  <c r="W88" i="25"/>
  <c r="W89" i="25"/>
  <c r="W90" i="25"/>
  <c r="W91" i="25"/>
  <c r="W92" i="25"/>
  <c r="W93" i="25"/>
  <c r="W94" i="25"/>
  <c r="W95" i="25"/>
  <c r="W96" i="25"/>
  <c r="W97" i="25"/>
  <c r="W98" i="25"/>
  <c r="W99" i="25"/>
  <c r="W100" i="25"/>
  <c r="W101" i="25"/>
  <c r="W102" i="25"/>
  <c r="W103" i="25"/>
  <c r="W104" i="25"/>
  <c r="W105" i="25"/>
  <c r="W106" i="25"/>
  <c r="W107" i="25"/>
  <c r="W108" i="25"/>
  <c r="W109" i="25"/>
  <c r="W110" i="25"/>
  <c r="W111" i="25"/>
  <c r="W112" i="25"/>
  <c r="W113" i="25"/>
  <c r="W114" i="25"/>
  <c r="W115" i="25"/>
  <c r="W116" i="25"/>
  <c r="W117" i="25"/>
  <c r="W118" i="25"/>
  <c r="W119" i="25"/>
  <c r="W120" i="25"/>
  <c r="W121" i="25"/>
  <c r="W122" i="25"/>
  <c r="W123" i="25"/>
  <c r="W124" i="25"/>
  <c r="W125" i="25"/>
  <c r="W126" i="25"/>
  <c r="W127" i="25"/>
  <c r="W128" i="25"/>
  <c r="W129" i="25"/>
  <c r="W130" i="25"/>
  <c r="W131" i="25"/>
  <c r="W132" i="25"/>
  <c r="W133" i="25"/>
  <c r="W134" i="25"/>
  <c r="W135" i="25"/>
  <c r="W136" i="25"/>
  <c r="W137" i="25"/>
  <c r="W138" i="25"/>
  <c r="W139" i="25"/>
  <c r="W140" i="25"/>
  <c r="W141" i="25"/>
  <c r="W142" i="25"/>
  <c r="W143" i="25"/>
  <c r="W144" i="25"/>
  <c r="W145" i="25"/>
  <c r="W146" i="25"/>
  <c r="W147" i="25"/>
  <c r="W148" i="25"/>
  <c r="W149" i="25"/>
  <c r="W150" i="25"/>
  <c r="W151" i="25"/>
  <c r="W152" i="25"/>
  <c r="W153" i="25"/>
  <c r="W154" i="25"/>
  <c r="W155" i="25"/>
  <c r="W156" i="25"/>
  <c r="W157" i="25"/>
  <c r="W158" i="25"/>
  <c r="W159" i="25"/>
  <c r="W160" i="25"/>
  <c r="W161" i="25"/>
  <c r="W162" i="25"/>
  <c r="W163" i="25"/>
  <c r="W164" i="25"/>
  <c r="W165" i="25"/>
  <c r="W166" i="25"/>
  <c r="W167" i="25"/>
  <c r="W168" i="25"/>
  <c r="W169" i="25"/>
  <c r="W170" i="25"/>
  <c r="W171" i="25"/>
  <c r="W172" i="25"/>
  <c r="W173" i="25"/>
  <c r="W174" i="25"/>
  <c r="W175" i="25"/>
  <c r="W176" i="25"/>
  <c r="W177" i="25"/>
  <c r="W178" i="25"/>
  <c r="W179" i="25"/>
  <c r="W180" i="25"/>
  <c r="W181" i="25"/>
  <c r="W182" i="25"/>
  <c r="W183" i="25"/>
  <c r="W184" i="25"/>
  <c r="W185" i="25"/>
  <c r="W186" i="25"/>
  <c r="W187" i="25"/>
  <c r="W188" i="25"/>
  <c r="W189" i="25"/>
  <c r="W190" i="25"/>
  <c r="W191" i="25"/>
  <c r="W192" i="25"/>
  <c r="W193" i="25"/>
  <c r="W194" i="25"/>
  <c r="W195" i="25"/>
  <c r="W196" i="25"/>
  <c r="W197" i="25"/>
  <c r="W198" i="25"/>
  <c r="W199" i="25"/>
  <c r="W200" i="25"/>
  <c r="W3" i="25"/>
  <c r="P4" i="25"/>
  <c r="P5" i="25"/>
  <c r="P6" i="25"/>
  <c r="P7" i="25"/>
  <c r="P8" i="25"/>
  <c r="P9" i="25"/>
  <c r="P10" i="25"/>
  <c r="P11" i="25"/>
  <c r="P12" i="25"/>
  <c r="P15" i="25"/>
  <c r="Q15" i="25" s="1"/>
  <c r="M137" i="26" s="1"/>
  <c r="L137" i="26" s="1"/>
  <c r="P16" i="25"/>
  <c r="P3" i="25"/>
  <c r="C5" i="31" l="1"/>
  <c r="D5" i="31" s="1"/>
  <c r="J6" i="31"/>
  <c r="B7" i="31"/>
  <c r="C7" i="31"/>
  <c r="B8" i="31"/>
  <c r="C8" i="31"/>
  <c r="E11" i="31"/>
  <c r="E13" i="31"/>
  <c r="F13" i="31" s="1"/>
  <c r="E14" i="31"/>
  <c r="F14" i="31" s="1"/>
  <c r="E15" i="31"/>
  <c r="F15" i="31"/>
  <c r="G15" i="31"/>
  <c r="E16" i="31"/>
  <c r="F16" i="31"/>
  <c r="G16" i="31"/>
  <c r="E17" i="31"/>
  <c r="F17" i="31" s="1"/>
  <c r="G17" i="31" s="1"/>
  <c r="E18" i="31"/>
  <c r="G18" i="31" s="1"/>
  <c r="F18" i="31"/>
  <c r="E19" i="31"/>
  <c r="G19" i="31" s="1"/>
  <c r="F19" i="31"/>
  <c r="E20" i="31"/>
  <c r="F20" i="31"/>
  <c r="G20" i="31"/>
  <c r="E21" i="31"/>
  <c r="F21" i="31" s="1"/>
  <c r="E5" i="31" l="1"/>
  <c r="D7" i="31"/>
  <c r="D8" i="31"/>
  <c r="G21" i="31"/>
  <c r="G13" i="31"/>
  <c r="G14" i="31"/>
  <c r="O17" i="30"/>
  <c r="P17" i="30"/>
  <c r="V17" i="30"/>
  <c r="W17" i="30"/>
  <c r="O32" i="30"/>
  <c r="P32" i="30"/>
  <c r="V32" i="30"/>
  <c r="W32" i="30"/>
  <c r="T42" i="30"/>
  <c r="T43" i="30"/>
  <c r="T44" i="30"/>
  <c r="T45" i="30"/>
  <c r="T46" i="30"/>
  <c r="T47" i="30"/>
  <c r="T48" i="30"/>
  <c r="T49" i="30"/>
  <c r="H50" i="30"/>
  <c r="B5" i="29"/>
  <c r="H5" i="29"/>
  <c r="B6" i="29"/>
  <c r="H6" i="29"/>
  <c r="B7" i="29"/>
  <c r="H7" i="29"/>
  <c r="B8" i="29"/>
  <c r="H8" i="29"/>
  <c r="B9" i="29"/>
  <c r="H9" i="29"/>
  <c r="B10" i="29"/>
  <c r="H10" i="29"/>
  <c r="B11" i="29"/>
  <c r="H11" i="29"/>
  <c r="B12" i="29"/>
  <c r="H12" i="29"/>
  <c r="B13" i="29"/>
  <c r="H13" i="29"/>
  <c r="B14" i="29"/>
  <c r="H14" i="29"/>
  <c r="B15" i="29"/>
  <c r="H15" i="29"/>
  <c r="B16" i="29"/>
  <c r="H16" i="29"/>
  <c r="B17" i="29"/>
  <c r="H17" i="29"/>
  <c r="B18" i="29"/>
  <c r="H18" i="29"/>
  <c r="B19" i="29"/>
  <c r="H19" i="29"/>
  <c r="B20" i="29"/>
  <c r="H20" i="29"/>
  <c r="B21" i="29"/>
  <c r="H21" i="29"/>
  <c r="B22" i="29"/>
  <c r="H22" i="29"/>
  <c r="B23" i="29"/>
  <c r="H23" i="29"/>
  <c r="B24" i="29"/>
  <c r="H24" i="29"/>
  <c r="B25" i="29"/>
  <c r="H25" i="29"/>
  <c r="B26" i="29"/>
  <c r="H26" i="29"/>
  <c r="B27" i="29"/>
  <c r="H27" i="29"/>
  <c r="B28" i="29"/>
  <c r="H28" i="29"/>
  <c r="B29" i="29"/>
  <c r="H29" i="29"/>
  <c r="BD9" i="28"/>
  <c r="BE9" i="28"/>
  <c r="BF9" i="28"/>
  <c r="BG9" i="28"/>
  <c r="BD10" i="28"/>
  <c r="BE10" i="28"/>
  <c r="BF10" i="28"/>
  <c r="BG10" i="28"/>
  <c r="BD11" i="28"/>
  <c r="BE11" i="28"/>
  <c r="BF11" i="28"/>
  <c r="BG11" i="28"/>
  <c r="BD12" i="28"/>
  <c r="BE12" i="28"/>
  <c r="BF12" i="28"/>
  <c r="BG12" i="28"/>
  <c r="BD13" i="28"/>
  <c r="BE13" i="28"/>
  <c r="BF13" i="28"/>
  <c r="BG13" i="28"/>
  <c r="BD14" i="28"/>
  <c r="BE14" i="28"/>
  <c r="BF14" i="28"/>
  <c r="BG14" i="28"/>
  <c r="BD15" i="28"/>
  <c r="BE15" i="28"/>
  <c r="BF15" i="28"/>
  <c r="BG15" i="28"/>
  <c r="BD16" i="28"/>
  <c r="BE16" i="28"/>
  <c r="BF16" i="28"/>
  <c r="BG16" i="28"/>
  <c r="BD17" i="28"/>
  <c r="BE17" i="28"/>
  <c r="BF17" i="28"/>
  <c r="BG17" i="28"/>
  <c r="BD18" i="28"/>
  <c r="BE18" i="28"/>
  <c r="BF18" i="28"/>
  <c r="BG18" i="28"/>
  <c r="BD19" i="28"/>
  <c r="BE19" i="28"/>
  <c r="BF19" i="28"/>
  <c r="BG19" i="28"/>
  <c r="BD20" i="28"/>
  <c r="BE20" i="28"/>
  <c r="BF20" i="28"/>
  <c r="BG20" i="28"/>
  <c r="BD21" i="28"/>
  <c r="BE21" i="28"/>
  <c r="BF21" i="28"/>
  <c r="BG21" i="28"/>
  <c r="BD22" i="28"/>
  <c r="BE22" i="28"/>
  <c r="BF22" i="28"/>
  <c r="BG22" i="28"/>
  <c r="BD23" i="28"/>
  <c r="BE23" i="28"/>
  <c r="BF23" i="28"/>
  <c r="BG23" i="28"/>
  <c r="BD24" i="28"/>
  <c r="BE24" i="28"/>
  <c r="BF24" i="28"/>
  <c r="BG24" i="28"/>
  <c r="BD25" i="28"/>
  <c r="BE25" i="28"/>
  <c r="BF25" i="28"/>
  <c r="BG25" i="28"/>
  <c r="BD26" i="28"/>
  <c r="BE26" i="28"/>
  <c r="BF26" i="28"/>
  <c r="BG26" i="28"/>
  <c r="BD27" i="28"/>
  <c r="BE27" i="28"/>
  <c r="BF27" i="28"/>
  <c r="BG27" i="28"/>
  <c r="BD28" i="28"/>
  <c r="BE28" i="28"/>
  <c r="BF28" i="28"/>
  <c r="BG28" i="28"/>
  <c r="BD29" i="28"/>
  <c r="BE29" i="28"/>
  <c r="BF29" i="28"/>
  <c r="BG29" i="28"/>
  <c r="BD30" i="28"/>
  <c r="BE30" i="28"/>
  <c r="BF30" i="28"/>
  <c r="BG30" i="28"/>
  <c r="BD31" i="28"/>
  <c r="BE31" i="28"/>
  <c r="BF31" i="28"/>
  <c r="BG31" i="28"/>
  <c r="BD32" i="28"/>
  <c r="BE32" i="28"/>
  <c r="BF32" i="28"/>
  <c r="BG32" i="28"/>
  <c r="BD33" i="28"/>
  <c r="BE33" i="28"/>
  <c r="BF33" i="28"/>
  <c r="BG33" i="28"/>
  <c r="BD34" i="28"/>
  <c r="BE34" i="28"/>
  <c r="BF34" i="28"/>
  <c r="BG34" i="28"/>
  <c r="BD35" i="28"/>
  <c r="BE35" i="28"/>
  <c r="BF35" i="28"/>
  <c r="BG35" i="28"/>
  <c r="BD36" i="28"/>
  <c r="BE36" i="28"/>
  <c r="BF36" i="28"/>
  <c r="BG36" i="28"/>
  <c r="BD37" i="28"/>
  <c r="BE37" i="28"/>
  <c r="BF37" i="28"/>
  <c r="BG37" i="28"/>
  <c r="BD38" i="28"/>
  <c r="BE38" i="28"/>
  <c r="BF38" i="28"/>
  <c r="BG38" i="28"/>
  <c r="BD39" i="28"/>
  <c r="BE39" i="28"/>
  <c r="BF39" i="28"/>
  <c r="BG39" i="28"/>
  <c r="BD40" i="28"/>
  <c r="BE40" i="28"/>
  <c r="BF40" i="28"/>
  <c r="BG40" i="28"/>
  <c r="BD41" i="28"/>
  <c r="BE41" i="28"/>
  <c r="BF41" i="28"/>
  <c r="BG41" i="28"/>
  <c r="BD42" i="28"/>
  <c r="BE42" i="28"/>
  <c r="BF42" i="28"/>
  <c r="BG42" i="28"/>
  <c r="BD43" i="28"/>
  <c r="BE43" i="28"/>
  <c r="BF43" i="28"/>
  <c r="BG43" i="28"/>
  <c r="BD44" i="28"/>
  <c r="BE44" i="28"/>
  <c r="BF44" i="28"/>
  <c r="BG44" i="28"/>
  <c r="BD45" i="28"/>
  <c r="BE45" i="28"/>
  <c r="BF45" i="28"/>
  <c r="BG45" i="28"/>
  <c r="BD46" i="28"/>
  <c r="BE46" i="28"/>
  <c r="BF46" i="28"/>
  <c r="BG46" i="28"/>
  <c r="BD47" i="28"/>
  <c r="BE47" i="28"/>
  <c r="BF47" i="28"/>
  <c r="BG47" i="28"/>
  <c r="BD48" i="28"/>
  <c r="BE48" i="28"/>
  <c r="BF48" i="28"/>
  <c r="BG48" i="28"/>
  <c r="BD49" i="28"/>
  <c r="BE49" i="28"/>
  <c r="BF49" i="28"/>
  <c r="BG49" i="28"/>
  <c r="BD50" i="28"/>
  <c r="BE50" i="28"/>
  <c r="BF50" i="28"/>
  <c r="BG50" i="28"/>
  <c r="BD51" i="28"/>
  <c r="BE51" i="28"/>
  <c r="BF51" i="28"/>
  <c r="BG51" i="28"/>
  <c r="BD52" i="28"/>
  <c r="BE52" i="28"/>
  <c r="BF52" i="28"/>
  <c r="BG52" i="28"/>
  <c r="BD53" i="28"/>
  <c r="BE53" i="28"/>
  <c r="BF53" i="28"/>
  <c r="BG53" i="28"/>
  <c r="BD54" i="28"/>
  <c r="BE54" i="28"/>
  <c r="BF54" i="28"/>
  <c r="BG54" i="28"/>
  <c r="BD55" i="28"/>
  <c r="BE55" i="28"/>
  <c r="BF55" i="28"/>
  <c r="BG55" i="28"/>
  <c r="BD56" i="28"/>
  <c r="BE56" i="28"/>
  <c r="BF56" i="28"/>
  <c r="BG56" i="28"/>
  <c r="BD57" i="28"/>
  <c r="BE57" i="28"/>
  <c r="BF57" i="28"/>
  <c r="BG57" i="28"/>
  <c r="BD58" i="28"/>
  <c r="BE58" i="28"/>
  <c r="BF58" i="28"/>
  <c r="BG58" i="28"/>
  <c r="BD59" i="28"/>
  <c r="BE59" i="28"/>
  <c r="BF59" i="28"/>
  <c r="BG59" i="28"/>
  <c r="BD60" i="28"/>
  <c r="BE60" i="28"/>
  <c r="BF60" i="28"/>
  <c r="BG60" i="28"/>
  <c r="BD61" i="28"/>
  <c r="BE61" i="28"/>
  <c r="BF61" i="28"/>
  <c r="BG61" i="28"/>
  <c r="BD62" i="28"/>
  <c r="BE62" i="28"/>
  <c r="BF62" i="28"/>
  <c r="BG62" i="28"/>
  <c r="BD63" i="28"/>
  <c r="BE63" i="28"/>
  <c r="BF63" i="28"/>
  <c r="BG63" i="28"/>
  <c r="BD64" i="28"/>
  <c r="BE64" i="28"/>
  <c r="BF64" i="28"/>
  <c r="BG64" i="28"/>
  <c r="BD65" i="28"/>
  <c r="BE65" i="28"/>
  <c r="BF65" i="28"/>
  <c r="BG65" i="28"/>
  <c r="BD66" i="28"/>
  <c r="BE66" i="28"/>
  <c r="BF66" i="28"/>
  <c r="BG66" i="28"/>
  <c r="BD67" i="28"/>
  <c r="BE67" i="28"/>
  <c r="BF67" i="28"/>
  <c r="BG67" i="28"/>
  <c r="BD68" i="28"/>
  <c r="BE68" i="28"/>
  <c r="BF68" i="28"/>
  <c r="BG68" i="28"/>
  <c r="BD69" i="28"/>
  <c r="BE69" i="28"/>
  <c r="BF69" i="28"/>
  <c r="BG69" i="28"/>
  <c r="BD70" i="28"/>
  <c r="BE70" i="28"/>
  <c r="BF70" i="28"/>
  <c r="BG70" i="28"/>
  <c r="BD71" i="28"/>
  <c r="BE71" i="28"/>
  <c r="BF71" i="28"/>
  <c r="BG71" i="28"/>
  <c r="BD72" i="28"/>
  <c r="BE72" i="28"/>
  <c r="BF72" i="28"/>
  <c r="BG72" i="28"/>
  <c r="BD73" i="28"/>
  <c r="BE73" i="28"/>
  <c r="BF73" i="28"/>
  <c r="BG73" i="28"/>
  <c r="BD74" i="28"/>
  <c r="BE74" i="28"/>
  <c r="BF74" i="28"/>
  <c r="BG74" i="28"/>
  <c r="BD75" i="28"/>
  <c r="BE75" i="28"/>
  <c r="BF75" i="28"/>
  <c r="BG75" i="28"/>
  <c r="BD76" i="28"/>
  <c r="BE76" i="28"/>
  <c r="BF76" i="28"/>
  <c r="BG76" i="28"/>
  <c r="BD77" i="28"/>
  <c r="BE77" i="28"/>
  <c r="BF77" i="28"/>
  <c r="BG77" i="28"/>
  <c r="BD78" i="28"/>
  <c r="BE78" i="28"/>
  <c r="BF78" i="28"/>
  <c r="BG78" i="28"/>
  <c r="BD79" i="28"/>
  <c r="BE79" i="28"/>
  <c r="BF79" i="28"/>
  <c r="BG79" i="28"/>
  <c r="BD80" i="28"/>
  <c r="BE80" i="28"/>
  <c r="BF80" i="28"/>
  <c r="BG80" i="28"/>
  <c r="BD81" i="28"/>
  <c r="BE81" i="28"/>
  <c r="BF81" i="28"/>
  <c r="BG81" i="28"/>
  <c r="BD82" i="28"/>
  <c r="BE82" i="28"/>
  <c r="BF82" i="28"/>
  <c r="BG82" i="28"/>
  <c r="BD83" i="28"/>
  <c r="BE83" i="28"/>
  <c r="BF83" i="28"/>
  <c r="BG83" i="28"/>
  <c r="BD84" i="28"/>
  <c r="BE84" i="28"/>
  <c r="BF84" i="28"/>
  <c r="BG84" i="28"/>
  <c r="BD85" i="28"/>
  <c r="BE85" i="28"/>
  <c r="BF85" i="28"/>
  <c r="BG85" i="28"/>
  <c r="BD86" i="28"/>
  <c r="BE86" i="28"/>
  <c r="BF86" i="28"/>
  <c r="BG86" i="28"/>
  <c r="BD87" i="28"/>
  <c r="BE87" i="28"/>
  <c r="BF87" i="28"/>
  <c r="BG87" i="28"/>
  <c r="BD88" i="28"/>
  <c r="BE88" i="28"/>
  <c r="BF88" i="28"/>
  <c r="BG88" i="28"/>
  <c r="BD89" i="28"/>
  <c r="BE89" i="28"/>
  <c r="BF89" i="28"/>
  <c r="BG89" i="28"/>
  <c r="BD90" i="28"/>
  <c r="BE90" i="28"/>
  <c r="BF90" i="28"/>
  <c r="BG90" i="28"/>
  <c r="BD91" i="28"/>
  <c r="BE91" i="28"/>
  <c r="BF91" i="28"/>
  <c r="BG91" i="28"/>
  <c r="BD92" i="28"/>
  <c r="BE92" i="28"/>
  <c r="BF92" i="28"/>
  <c r="BG92" i="28"/>
  <c r="BD93" i="28"/>
  <c r="BE93" i="28"/>
  <c r="BF93" i="28"/>
  <c r="BG93" i="28"/>
  <c r="BD94" i="28"/>
  <c r="BE94" i="28"/>
  <c r="BF94" i="28"/>
  <c r="BG94" i="28"/>
  <c r="BD95" i="28"/>
  <c r="BE95" i="28"/>
  <c r="BF95" i="28"/>
  <c r="BG95" i="28"/>
  <c r="BD96" i="28"/>
  <c r="BE96" i="28"/>
  <c r="BF96" i="28"/>
  <c r="BG96" i="28"/>
  <c r="BD97" i="28"/>
  <c r="BE97" i="28"/>
  <c r="BF97" i="28"/>
  <c r="BG97" i="28"/>
  <c r="BD98" i="28"/>
  <c r="BE98" i="28"/>
  <c r="BF98" i="28"/>
  <c r="BG98" i="28"/>
  <c r="BD99" i="28"/>
  <c r="BE99" i="28"/>
  <c r="BF99" i="28"/>
  <c r="BG99" i="28"/>
  <c r="BD100" i="28"/>
  <c r="BE100" i="28"/>
  <c r="BF100" i="28"/>
  <c r="BG100" i="28"/>
  <c r="BD101" i="28"/>
  <c r="BE101" i="28"/>
  <c r="BF101" i="28"/>
  <c r="BG101" i="28"/>
  <c r="BD102" i="28"/>
  <c r="BE102" i="28"/>
  <c r="BF102" i="28"/>
  <c r="BG102" i="28"/>
  <c r="BD103" i="28"/>
  <c r="BE103" i="28"/>
  <c r="BF103" i="28"/>
  <c r="BG103" i="28"/>
  <c r="BD104" i="28"/>
  <c r="BE104" i="28"/>
  <c r="BF104" i="28"/>
  <c r="BG104" i="28"/>
  <c r="BD105" i="28"/>
  <c r="BE105" i="28"/>
  <c r="BF105" i="28"/>
  <c r="BG105" i="28"/>
  <c r="BD106" i="28"/>
  <c r="BE106" i="28"/>
  <c r="BF106" i="28"/>
  <c r="BG106" i="28"/>
  <c r="BD107" i="28"/>
  <c r="BE107" i="28"/>
  <c r="BF107" i="28"/>
  <c r="BG107" i="28"/>
  <c r="BD108" i="28"/>
  <c r="BE108" i="28"/>
  <c r="BF108" i="28"/>
  <c r="BG108" i="28"/>
  <c r="BD109" i="28"/>
  <c r="BE109" i="28"/>
  <c r="BF109" i="28"/>
  <c r="BG109" i="28"/>
  <c r="BD110" i="28"/>
  <c r="BE110" i="28"/>
  <c r="BF110" i="28"/>
  <c r="BG110" i="28"/>
  <c r="BD111" i="28"/>
  <c r="BE111" i="28"/>
  <c r="BF111" i="28"/>
  <c r="BG111" i="28"/>
  <c r="BD112" i="28"/>
  <c r="BE112" i="28"/>
  <c r="BF112" i="28"/>
  <c r="BG112" i="28"/>
  <c r="BD113" i="28"/>
  <c r="BE113" i="28"/>
  <c r="BF113" i="28"/>
  <c r="BG113" i="28"/>
  <c r="BD114" i="28"/>
  <c r="BE114" i="28"/>
  <c r="BF114" i="28"/>
  <c r="BG114" i="28"/>
  <c r="BD115" i="28"/>
  <c r="BE115" i="28"/>
  <c r="BF115" i="28"/>
  <c r="BG115" i="28"/>
  <c r="BD116" i="28"/>
  <c r="BE116" i="28"/>
  <c r="BF116" i="28"/>
  <c r="BG116" i="28"/>
  <c r="BD117" i="28"/>
  <c r="BE117" i="28"/>
  <c r="BF117" i="28"/>
  <c r="BG117" i="28"/>
  <c r="BD118" i="28"/>
  <c r="BE118" i="28"/>
  <c r="BF118" i="28"/>
  <c r="BG118" i="28"/>
  <c r="BD119" i="28"/>
  <c r="BE119" i="28"/>
  <c r="BF119" i="28"/>
  <c r="BG119" i="28"/>
  <c r="BD120" i="28"/>
  <c r="BE120" i="28"/>
  <c r="BF120" i="28"/>
  <c r="BG120" i="28"/>
  <c r="BD121" i="28"/>
  <c r="BE121" i="28"/>
  <c r="BF121" i="28"/>
  <c r="BG121" i="28"/>
  <c r="BD122" i="28"/>
  <c r="BE122" i="28"/>
  <c r="BF122" i="28"/>
  <c r="BG122" i="28"/>
  <c r="BD123" i="28"/>
  <c r="BE123" i="28"/>
  <c r="BF123" i="28"/>
  <c r="BG123" i="28"/>
  <c r="BD124" i="28"/>
  <c r="BE124" i="28"/>
  <c r="BF124" i="28"/>
  <c r="BG124" i="28"/>
  <c r="BD125" i="28"/>
  <c r="BE125" i="28"/>
  <c r="BF125" i="28"/>
  <c r="BG125" i="28"/>
  <c r="BD126" i="28"/>
  <c r="BE126" i="28"/>
  <c r="BF126" i="28"/>
  <c r="BG126" i="28"/>
  <c r="BD127" i="28"/>
  <c r="BE127" i="28"/>
  <c r="BF127" i="28"/>
  <c r="BG127" i="28"/>
  <c r="BD128" i="28"/>
  <c r="BE128" i="28"/>
  <c r="BF128" i="28"/>
  <c r="BG128" i="28"/>
  <c r="BD129" i="28"/>
  <c r="BE129" i="28"/>
  <c r="BF129" i="28"/>
  <c r="BG129" i="28"/>
  <c r="BD130" i="28"/>
  <c r="BE130" i="28"/>
  <c r="BF130" i="28"/>
  <c r="BG130" i="28"/>
  <c r="BD131" i="28"/>
  <c r="BE131" i="28"/>
  <c r="BF131" i="28"/>
  <c r="BG131" i="28"/>
  <c r="BD132" i="28"/>
  <c r="BE132" i="28"/>
  <c r="BF132" i="28"/>
  <c r="BG132" i="28"/>
  <c r="BD133" i="28"/>
  <c r="BE133" i="28"/>
  <c r="BF133" i="28"/>
  <c r="BG133" i="28"/>
  <c r="BD134" i="28"/>
  <c r="BE134" i="28"/>
  <c r="BF134" i="28"/>
  <c r="BG134" i="28"/>
  <c r="BD135" i="28"/>
  <c r="BE135" i="28"/>
  <c r="BF135" i="28"/>
  <c r="BG135" i="28"/>
  <c r="BD136" i="28"/>
  <c r="BE136" i="28"/>
  <c r="BF136" i="28"/>
  <c r="BG136" i="28"/>
  <c r="BD137" i="28"/>
  <c r="BE137" i="28"/>
  <c r="BF137" i="28"/>
  <c r="BG137" i="28"/>
  <c r="BD138" i="28"/>
  <c r="BE138" i="28"/>
  <c r="BF138" i="28"/>
  <c r="BG138" i="28"/>
  <c r="BD139" i="28"/>
  <c r="BE139" i="28"/>
  <c r="BF139" i="28"/>
  <c r="BG139" i="28"/>
  <c r="BD140" i="28"/>
  <c r="BE140" i="28"/>
  <c r="BF140" i="28"/>
  <c r="BG140" i="28"/>
  <c r="BD141" i="28"/>
  <c r="BE141" i="28"/>
  <c r="BF141" i="28"/>
  <c r="BG141" i="28"/>
  <c r="BD142" i="28"/>
  <c r="BE142" i="28"/>
  <c r="BF142" i="28"/>
  <c r="BG142" i="28"/>
  <c r="BD143" i="28"/>
  <c r="BE143" i="28"/>
  <c r="BF143" i="28"/>
  <c r="BG143" i="28"/>
  <c r="BD144" i="28"/>
  <c r="BE144" i="28"/>
  <c r="BF144" i="28"/>
  <c r="BG144" i="28"/>
  <c r="BD145" i="28"/>
  <c r="BE145" i="28"/>
  <c r="BF145" i="28"/>
  <c r="BG145" i="28"/>
  <c r="BD146" i="28"/>
  <c r="BE146" i="28"/>
  <c r="BF146" i="28"/>
  <c r="BG146" i="28"/>
  <c r="BD147" i="28"/>
  <c r="BE147" i="28"/>
  <c r="BF147" i="28"/>
  <c r="BG147" i="28"/>
  <c r="BD148" i="28"/>
  <c r="BE148" i="28"/>
  <c r="BF148" i="28"/>
  <c r="BG148" i="28"/>
  <c r="BD149" i="28"/>
  <c r="BE149" i="28"/>
  <c r="BF149" i="28"/>
  <c r="BG149" i="28"/>
  <c r="BD150" i="28"/>
  <c r="BE150" i="28"/>
  <c r="BF150" i="28"/>
  <c r="BG150" i="28"/>
  <c r="BD151" i="28"/>
  <c r="BE151" i="28"/>
  <c r="BF151" i="28"/>
  <c r="BG151" i="28"/>
  <c r="BD152" i="28"/>
  <c r="BE152" i="28"/>
  <c r="BF152" i="28"/>
  <c r="BG152" i="28"/>
  <c r="BD153" i="28"/>
  <c r="BE153" i="28"/>
  <c r="BF153" i="28"/>
  <c r="BG153" i="28"/>
  <c r="BD154" i="28"/>
  <c r="BE154" i="28"/>
  <c r="BF154" i="28"/>
  <c r="BG154" i="28"/>
  <c r="BD155" i="28"/>
  <c r="BE155" i="28"/>
  <c r="BF155" i="28"/>
  <c r="BG155" i="28"/>
  <c r="BD156" i="28"/>
  <c r="BE156" i="28"/>
  <c r="BF156" i="28"/>
  <c r="BG156" i="28"/>
  <c r="BD157" i="28"/>
  <c r="BE157" i="28"/>
  <c r="BF157" i="28"/>
  <c r="BG157" i="28"/>
  <c r="BD158" i="28"/>
  <c r="BE158" i="28"/>
  <c r="BF158" i="28"/>
  <c r="BG158" i="28"/>
  <c r="BD159" i="28"/>
  <c r="BE159" i="28"/>
  <c r="BF159" i="28"/>
  <c r="BG159" i="28"/>
  <c r="BD160" i="28"/>
  <c r="BE160" i="28"/>
  <c r="BF160" i="28"/>
  <c r="BG160" i="28"/>
  <c r="BD161" i="28"/>
  <c r="BE161" i="28"/>
  <c r="BF161" i="28"/>
  <c r="BG161" i="28"/>
  <c r="BD162" i="28"/>
  <c r="BE162" i="28"/>
  <c r="BF162" i="28"/>
  <c r="BG162" i="28"/>
  <c r="BD163" i="28"/>
  <c r="BE163" i="28"/>
  <c r="BF163" i="28"/>
  <c r="BG163" i="28"/>
  <c r="BD164" i="28"/>
  <c r="BE164" i="28"/>
  <c r="BF164" i="28"/>
  <c r="BG164" i="28"/>
  <c r="BD165" i="28"/>
  <c r="BE165" i="28"/>
  <c r="BF165" i="28"/>
  <c r="BG165" i="28"/>
  <c r="BD166" i="28"/>
  <c r="BE166" i="28"/>
  <c r="BF166" i="28"/>
  <c r="BG166" i="28"/>
  <c r="BD167" i="28"/>
  <c r="BE167" i="28"/>
  <c r="BF167" i="28"/>
  <c r="BG167" i="28"/>
  <c r="BD168" i="28"/>
  <c r="BE168" i="28"/>
  <c r="BF168" i="28"/>
  <c r="BG168" i="28"/>
  <c r="BD169" i="28"/>
  <c r="BE169" i="28"/>
  <c r="BF169" i="28"/>
  <c r="BG169" i="28"/>
  <c r="BD170" i="28"/>
  <c r="BE170" i="28"/>
  <c r="BF170" i="28"/>
  <c r="BG170" i="28"/>
  <c r="BD171" i="28"/>
  <c r="BE171" i="28"/>
  <c r="BF171" i="28"/>
  <c r="BG171" i="28"/>
  <c r="BD172" i="28"/>
  <c r="BE172" i="28"/>
  <c r="BF172" i="28"/>
  <c r="BG172" i="28"/>
  <c r="BD173" i="28"/>
  <c r="BE173" i="28"/>
  <c r="BF173" i="28"/>
  <c r="BG173" i="28"/>
  <c r="BD174" i="28"/>
  <c r="BE174" i="28"/>
  <c r="BF174" i="28"/>
  <c r="BG174" i="28"/>
  <c r="BD175" i="28"/>
  <c r="BE175" i="28"/>
  <c r="BF175" i="28"/>
  <c r="BG175" i="28"/>
  <c r="BD176" i="28"/>
  <c r="BE176" i="28"/>
  <c r="BF176" i="28"/>
  <c r="BG176" i="28"/>
  <c r="BD177" i="28"/>
  <c r="BE177" i="28"/>
  <c r="BF177" i="28"/>
  <c r="BG177" i="28"/>
  <c r="BD178" i="28"/>
  <c r="BE178" i="28"/>
  <c r="BF178" i="28"/>
  <c r="BG178" i="28"/>
  <c r="BD179" i="28"/>
  <c r="BE179" i="28"/>
  <c r="BF179" i="28"/>
  <c r="BG179" i="28"/>
  <c r="BD180" i="28"/>
  <c r="BE180" i="28"/>
  <c r="BF180" i="28"/>
  <c r="BG180" i="28"/>
  <c r="BD181" i="28"/>
  <c r="BE181" i="28"/>
  <c r="BF181" i="28"/>
  <c r="BG181" i="28"/>
  <c r="BG271" i="28" s="1"/>
  <c r="BD182" i="28"/>
  <c r="BE182" i="28"/>
  <c r="BF182" i="28"/>
  <c r="BG182" i="28"/>
  <c r="BD183" i="28"/>
  <c r="BE183" i="28"/>
  <c r="BF183" i="28"/>
  <c r="BG183" i="28"/>
  <c r="BD184" i="28"/>
  <c r="BE184" i="28"/>
  <c r="BF184" i="28"/>
  <c r="BG184" i="28"/>
  <c r="BD185" i="28"/>
  <c r="BE185" i="28"/>
  <c r="BF185" i="28"/>
  <c r="BG185" i="28"/>
  <c r="BD186" i="28"/>
  <c r="BE186" i="28"/>
  <c r="BF186" i="28"/>
  <c r="BG186" i="28"/>
  <c r="BD187" i="28"/>
  <c r="BE187" i="28"/>
  <c r="BF187" i="28"/>
  <c r="BG187" i="28"/>
  <c r="BD188" i="28"/>
  <c r="BE188" i="28"/>
  <c r="BF188" i="28"/>
  <c r="BG188" i="28"/>
  <c r="BD189" i="28"/>
  <c r="BE189" i="28"/>
  <c r="BF189" i="28"/>
  <c r="BG189" i="28"/>
  <c r="BD190" i="28"/>
  <c r="BE190" i="28"/>
  <c r="BF190" i="28"/>
  <c r="BG190" i="28"/>
  <c r="BD191" i="28"/>
  <c r="BE191" i="28"/>
  <c r="BF191" i="28"/>
  <c r="BG191" i="28"/>
  <c r="BD192" i="28"/>
  <c r="BE192" i="28"/>
  <c r="BF192" i="28"/>
  <c r="BG192" i="28"/>
  <c r="BD193" i="28"/>
  <c r="BE193" i="28"/>
  <c r="BF193" i="28"/>
  <c r="BG193" i="28"/>
  <c r="BD194" i="28"/>
  <c r="BE194" i="28"/>
  <c r="BF194" i="28"/>
  <c r="BG194" i="28"/>
  <c r="BD195" i="28"/>
  <c r="BE195" i="28"/>
  <c r="BF195" i="28"/>
  <c r="BG195" i="28"/>
  <c r="BD196" i="28"/>
  <c r="BE196" i="28"/>
  <c r="BF196" i="28"/>
  <c r="BG196" i="28"/>
  <c r="BD197" i="28"/>
  <c r="BE197" i="28"/>
  <c r="BF197" i="28"/>
  <c r="BG197" i="28"/>
  <c r="BD198" i="28"/>
  <c r="BE198" i="28"/>
  <c r="BF198" i="28"/>
  <c r="BG198" i="28"/>
  <c r="BD199" i="28"/>
  <c r="BE199" i="28"/>
  <c r="BF199" i="28"/>
  <c r="BG199" i="28"/>
  <c r="BD200" i="28"/>
  <c r="BE200" i="28"/>
  <c r="BF200" i="28"/>
  <c r="BG200" i="28"/>
  <c r="BD201" i="28"/>
  <c r="BE201" i="28"/>
  <c r="BF201" i="28"/>
  <c r="BG201" i="28"/>
  <c r="BD202" i="28"/>
  <c r="BE202" i="28"/>
  <c r="BF202" i="28"/>
  <c r="BG202" i="28"/>
  <c r="BD203" i="28"/>
  <c r="BE203" i="28"/>
  <c r="BF203" i="28"/>
  <c r="BG203" i="28"/>
  <c r="BD204" i="28"/>
  <c r="BE204" i="28"/>
  <c r="BF204" i="28"/>
  <c r="BG204" i="28"/>
  <c r="BD205" i="28"/>
  <c r="BE205" i="28"/>
  <c r="BF205" i="28"/>
  <c r="BG205" i="28"/>
  <c r="BD206" i="28"/>
  <c r="BE206" i="28"/>
  <c r="BF206" i="28"/>
  <c r="BG206" i="28"/>
  <c r="BD207" i="28"/>
  <c r="BE207" i="28"/>
  <c r="BF207" i="28"/>
  <c r="BG207" i="28"/>
  <c r="BD208" i="28"/>
  <c r="BE208" i="28"/>
  <c r="BF208" i="28"/>
  <c r="BG208" i="28"/>
  <c r="BD209" i="28"/>
  <c r="BE209" i="28"/>
  <c r="BF209" i="28"/>
  <c r="BG209" i="28"/>
  <c r="BD210" i="28"/>
  <c r="BE210" i="28"/>
  <c r="BF210" i="28"/>
  <c r="BG210" i="28"/>
  <c r="BD211" i="28"/>
  <c r="BE211" i="28"/>
  <c r="BF211" i="28"/>
  <c r="BG211" i="28"/>
  <c r="BD212" i="28"/>
  <c r="BE212" i="28"/>
  <c r="BF212" i="28"/>
  <c r="BG212" i="28"/>
  <c r="BD213" i="28"/>
  <c r="BE213" i="28"/>
  <c r="BF213" i="28"/>
  <c r="BG213" i="28"/>
  <c r="BD214" i="28"/>
  <c r="BE214" i="28"/>
  <c r="BF214" i="28"/>
  <c r="BG214" i="28"/>
  <c r="BD215" i="28"/>
  <c r="BE215" i="28"/>
  <c r="BF215" i="28"/>
  <c r="BG215" i="28"/>
  <c r="BD216" i="28"/>
  <c r="BE216" i="28"/>
  <c r="BF216" i="28"/>
  <c r="BG216" i="28"/>
  <c r="BD217" i="28"/>
  <c r="BE217" i="28"/>
  <c r="BF217" i="28"/>
  <c r="BG217" i="28"/>
  <c r="BD218" i="28"/>
  <c r="BE218" i="28"/>
  <c r="BF218" i="28"/>
  <c r="BG218" i="28"/>
  <c r="BD219" i="28"/>
  <c r="BE219" i="28"/>
  <c r="BF219" i="28"/>
  <c r="BG219" i="28"/>
  <c r="BD220" i="28"/>
  <c r="BE220" i="28"/>
  <c r="BF220" i="28"/>
  <c r="BG220" i="28"/>
  <c r="BD221" i="28"/>
  <c r="BE221" i="28"/>
  <c r="BF221" i="28"/>
  <c r="BG221" i="28"/>
  <c r="BD222" i="28"/>
  <c r="BE222" i="28"/>
  <c r="BF222" i="28"/>
  <c r="BG222" i="28"/>
  <c r="BD223" i="28"/>
  <c r="BE223" i="28"/>
  <c r="BF223" i="28"/>
  <c r="BG223" i="28"/>
  <c r="BD224" i="28"/>
  <c r="BE224" i="28"/>
  <c r="BF224" i="28"/>
  <c r="BG224" i="28"/>
  <c r="BD225" i="28"/>
  <c r="BE225" i="28"/>
  <c r="BF225" i="28"/>
  <c r="BG225" i="28"/>
  <c r="BD226" i="28"/>
  <c r="BE226" i="28"/>
  <c r="BF226" i="28"/>
  <c r="BG226" i="28"/>
  <c r="BD227" i="28"/>
  <c r="BE227" i="28"/>
  <c r="BF227" i="28"/>
  <c r="BG227" i="28"/>
  <c r="BD228" i="28"/>
  <c r="BE228" i="28"/>
  <c r="BF228" i="28"/>
  <c r="BG228" i="28"/>
  <c r="BD229" i="28"/>
  <c r="BE229" i="28"/>
  <c r="BF229" i="28"/>
  <c r="BG229" i="28"/>
  <c r="BD230" i="28"/>
  <c r="BE230" i="28"/>
  <c r="BF230" i="28"/>
  <c r="BG230" i="28"/>
  <c r="BD231" i="28"/>
  <c r="BE231" i="28"/>
  <c r="BF231" i="28"/>
  <c r="BG231" i="28"/>
  <c r="BD232" i="28"/>
  <c r="BE232" i="28"/>
  <c r="BF232" i="28"/>
  <c r="BG232" i="28"/>
  <c r="BD233" i="28"/>
  <c r="BE233" i="28"/>
  <c r="BF233" i="28"/>
  <c r="BG233" i="28"/>
  <c r="BD234" i="28"/>
  <c r="BE234" i="28"/>
  <c r="BF234" i="28"/>
  <c r="BG234" i="28"/>
  <c r="BD235" i="28"/>
  <c r="BE235" i="28"/>
  <c r="BF235" i="28"/>
  <c r="BG235" i="28"/>
  <c r="BD236" i="28"/>
  <c r="BE236" i="28"/>
  <c r="BF236" i="28"/>
  <c r="BG236" i="28"/>
  <c r="BD237" i="28"/>
  <c r="BE237" i="28"/>
  <c r="BF237" i="28"/>
  <c r="BG237" i="28"/>
  <c r="BD238" i="28"/>
  <c r="BE238" i="28"/>
  <c r="BF238" i="28"/>
  <c r="BG238" i="28"/>
  <c r="BD239" i="28"/>
  <c r="BE239" i="28"/>
  <c r="BF239" i="28"/>
  <c r="BG239" i="28"/>
  <c r="BD240" i="28"/>
  <c r="BE240" i="28"/>
  <c r="BF240" i="28"/>
  <c r="BG240" i="28"/>
  <c r="BD241" i="28"/>
  <c r="BE241" i="28"/>
  <c r="BF241" i="28"/>
  <c r="BG241" i="28"/>
  <c r="BD242" i="28"/>
  <c r="BE242" i="28"/>
  <c r="BF242" i="28"/>
  <c r="BG242" i="28"/>
  <c r="BD243" i="28"/>
  <c r="BE243" i="28"/>
  <c r="BF243" i="28"/>
  <c r="BG243" i="28"/>
  <c r="BD244" i="28"/>
  <c r="BE244" i="28"/>
  <c r="BF244" i="28"/>
  <c r="BG244" i="28"/>
  <c r="BD245" i="28"/>
  <c r="BE245" i="28"/>
  <c r="BF245" i="28"/>
  <c r="BG245" i="28"/>
  <c r="BD246" i="28"/>
  <c r="BE246" i="28"/>
  <c r="BF246" i="28"/>
  <c r="BG246" i="28"/>
  <c r="BD247" i="28"/>
  <c r="BE247" i="28"/>
  <c r="BF247" i="28"/>
  <c r="BG247" i="28"/>
  <c r="BD248" i="28"/>
  <c r="BE248" i="28"/>
  <c r="BF248" i="28"/>
  <c r="BG248" i="28"/>
  <c r="BD249" i="28"/>
  <c r="BE249" i="28"/>
  <c r="BF249" i="28"/>
  <c r="BG249" i="28"/>
  <c r="BD250" i="28"/>
  <c r="BE250" i="28"/>
  <c r="BF250" i="28"/>
  <c r="BG250" i="28"/>
  <c r="BD251" i="28"/>
  <c r="BE251" i="28"/>
  <c r="BF251" i="28"/>
  <c r="BG251" i="28"/>
  <c r="BD252" i="28"/>
  <c r="BE252" i="28"/>
  <c r="BF252" i="28"/>
  <c r="BG252" i="28"/>
  <c r="BD253" i="28"/>
  <c r="BE253" i="28"/>
  <c r="BF253" i="28"/>
  <c r="BG253" i="28"/>
  <c r="BD254" i="28"/>
  <c r="BE254" i="28"/>
  <c r="BF254" i="28"/>
  <c r="BG254" i="28"/>
  <c r="BD255" i="28"/>
  <c r="BE255" i="28"/>
  <c r="BF255" i="28"/>
  <c r="BG255" i="28"/>
  <c r="BD256" i="28"/>
  <c r="BE256" i="28"/>
  <c r="BF256" i="28"/>
  <c r="BG256" i="28"/>
  <c r="BD257" i="28"/>
  <c r="BE257" i="28"/>
  <c r="BF257" i="28"/>
  <c r="BG257" i="28"/>
  <c r="BD258" i="28"/>
  <c r="BE258" i="28"/>
  <c r="BF258" i="28"/>
  <c r="BG258" i="28"/>
  <c r="BD259" i="28"/>
  <c r="BE259" i="28"/>
  <c r="BF259" i="28"/>
  <c r="BG259" i="28"/>
  <c r="BD260" i="28"/>
  <c r="BE260" i="28"/>
  <c r="BF260" i="28"/>
  <c r="BG260" i="28"/>
  <c r="BD261" i="28"/>
  <c r="BE261" i="28"/>
  <c r="BF261" i="28"/>
  <c r="BG261" i="28"/>
  <c r="BD262" i="28"/>
  <c r="BE262" i="28"/>
  <c r="BF262" i="28"/>
  <c r="BG262" i="28"/>
  <c r="BD263" i="28"/>
  <c r="BE263" i="28"/>
  <c r="BF263" i="28"/>
  <c r="BG263" i="28"/>
  <c r="BD264" i="28"/>
  <c r="BD271" i="28" s="1"/>
  <c r="BE264" i="28"/>
  <c r="BF264" i="28"/>
  <c r="BG264" i="28"/>
  <c r="BD265" i="28"/>
  <c r="BE265" i="28"/>
  <c r="BF265" i="28"/>
  <c r="BG265" i="28"/>
  <c r="BD266" i="28"/>
  <c r="BE266" i="28"/>
  <c r="BF266" i="28"/>
  <c r="BG266" i="28"/>
  <c r="BD267" i="28"/>
  <c r="BE267" i="28"/>
  <c r="BF267" i="28"/>
  <c r="BG267" i="28"/>
  <c r="BD268" i="28"/>
  <c r="BE268" i="28"/>
  <c r="BF268" i="28"/>
  <c r="BF271" i="28" s="1"/>
  <c r="BG268" i="28"/>
  <c r="BD269" i="28"/>
  <c r="BE269" i="28"/>
  <c r="BF269" i="28"/>
  <c r="BG269" i="28"/>
  <c r="BD270" i="28"/>
  <c r="BE270" i="28"/>
  <c r="BE271" i="28" s="1"/>
  <c r="BF270" i="28"/>
  <c r="BG270" i="28"/>
  <c r="G25" i="31" l="1"/>
  <c r="H24" i="31"/>
  <c r="G26" i="31" s="1"/>
  <c r="F5" i="31"/>
  <c r="E7" i="31"/>
  <c r="E8" i="31"/>
  <c r="Q50" i="30"/>
  <c r="I50" i="30"/>
  <c r="R50" i="30"/>
  <c r="J50" i="30"/>
  <c r="N50" i="30"/>
  <c r="M50" i="30"/>
  <c r="T50" i="30"/>
  <c r="K69" i="30"/>
  <c r="C69" i="30"/>
  <c r="O50" i="30"/>
  <c r="S50" i="30"/>
  <c r="K50" i="30"/>
  <c r="L50" i="30"/>
  <c r="P50" i="30"/>
  <c r="G69" i="30"/>
  <c r="H69" i="30"/>
  <c r="F69" i="30"/>
  <c r="M69" i="30"/>
  <c r="E69" i="30"/>
  <c r="I69" i="30"/>
  <c r="L69" i="30"/>
  <c r="D69" i="30"/>
  <c r="J69" i="30"/>
  <c r="K15" i="23"/>
  <c r="K14" i="23"/>
  <c r="O4" i="25"/>
  <c r="Q4" i="25" s="1"/>
  <c r="M3" i="26" s="1"/>
  <c r="O5" i="25"/>
  <c r="Q5" i="25" s="1"/>
  <c r="M4" i="26" s="1"/>
  <c r="O6" i="25"/>
  <c r="Q6" i="25" s="1"/>
  <c r="M5" i="26" s="1"/>
  <c r="O7" i="25"/>
  <c r="Q7" i="25" s="1"/>
  <c r="O8" i="25"/>
  <c r="Q8" i="25" s="1"/>
  <c r="M7" i="26" s="1"/>
  <c r="O9" i="25"/>
  <c r="Q9" i="25" s="1"/>
  <c r="M8" i="26" s="1"/>
  <c r="O10" i="25"/>
  <c r="Q10" i="25" s="1"/>
  <c r="M9" i="26" s="1"/>
  <c r="O11" i="25"/>
  <c r="Q11" i="25" s="1"/>
  <c r="M10" i="26" s="1"/>
  <c r="O12" i="25"/>
  <c r="Q12" i="25" s="1"/>
  <c r="M11" i="26" s="1"/>
  <c r="O13" i="25"/>
  <c r="Q13" i="25" s="1"/>
  <c r="M12" i="26" s="1"/>
  <c r="L12" i="26" s="1"/>
  <c r="O3" i="25"/>
  <c r="Q3" i="25" s="1"/>
  <c r="M2" i="26" s="1"/>
  <c r="M6" i="26" l="1"/>
  <c r="L6" i="26" s="1"/>
  <c r="G5" i="31"/>
  <c r="F7" i="31"/>
  <c r="F8" i="31" s="1"/>
  <c r="C80" i="30"/>
  <c r="C71" i="30"/>
  <c r="C74" i="30"/>
  <c r="C77" i="30"/>
  <c r="K33" i="23"/>
  <c r="K32" i="23"/>
  <c r="K31" i="23"/>
  <c r="K30" i="23"/>
  <c r="K29" i="23"/>
  <c r="K28" i="23"/>
  <c r="K27" i="23"/>
  <c r="K26" i="23"/>
  <c r="K24" i="23"/>
  <c r="K17" i="23"/>
  <c r="L11" i="26"/>
  <c r="L10" i="26"/>
  <c r="L9" i="26"/>
  <c r="L8" i="26"/>
  <c r="L7" i="26"/>
  <c r="L5" i="26"/>
  <c r="L4" i="26"/>
  <c r="L3" i="26"/>
  <c r="D3" i="26"/>
  <c r="P4" i="11" s="1"/>
  <c r="L2" i="26"/>
  <c r="G37" i="21"/>
  <c r="F37" i="21" s="1"/>
  <c r="G36" i="21"/>
  <c r="F36" i="21" s="1"/>
  <c r="G35" i="21"/>
  <c r="F35" i="21" s="1"/>
  <c r="G34" i="21"/>
  <c r="F34" i="21" s="1"/>
  <c r="G33" i="21"/>
  <c r="F33" i="21" s="1"/>
  <c r="G32" i="21"/>
  <c r="F32" i="21" s="1"/>
  <c r="G31" i="21"/>
  <c r="F31" i="21" s="1"/>
  <c r="G30" i="21"/>
  <c r="F30" i="21" s="1"/>
  <c r="G29" i="21"/>
  <c r="F29" i="21" s="1"/>
  <c r="G28" i="21"/>
  <c r="F28" i="21" s="1"/>
  <c r="G27" i="21"/>
  <c r="F27" i="21" s="1"/>
  <c r="G26" i="21"/>
  <c r="F26" i="21" s="1"/>
  <c r="G25" i="21"/>
  <c r="F25" i="21" s="1"/>
  <c r="G24" i="21"/>
  <c r="F24" i="21" s="1"/>
  <c r="G23" i="21"/>
  <c r="F23" i="21" s="1"/>
  <c r="G22" i="21"/>
  <c r="F22" i="21" s="1"/>
  <c r="G21" i="21"/>
  <c r="F21" i="21" s="1"/>
  <c r="G20" i="21"/>
  <c r="F20" i="21" s="1"/>
  <c r="G19" i="21"/>
  <c r="F19" i="21" s="1"/>
  <c r="C18" i="21"/>
  <c r="B18" i="21"/>
  <c r="C17" i="21"/>
  <c r="B17" i="21"/>
  <c r="C16" i="21"/>
  <c r="B16" i="21"/>
  <c r="C15" i="21"/>
  <c r="B15" i="21"/>
  <c r="C14" i="21"/>
  <c r="B14" i="21"/>
  <c r="C13" i="21"/>
  <c r="B13" i="21"/>
  <c r="C12" i="21"/>
  <c r="B12" i="21"/>
  <c r="C11" i="21"/>
  <c r="B11" i="21"/>
  <c r="C10" i="21"/>
  <c r="B10" i="21"/>
  <c r="C9" i="21"/>
  <c r="B9" i="21"/>
  <c r="G8" i="21"/>
  <c r="F8" i="21" s="1"/>
  <c r="C8" i="21"/>
  <c r="B8" i="21"/>
  <c r="G7" i="21"/>
  <c r="F7" i="21" s="1"/>
  <c r="C7" i="21"/>
  <c r="B7" i="21"/>
  <c r="G17" i="21" s="1"/>
  <c r="F17" i="21" s="1"/>
  <c r="S52" i="11"/>
  <c r="R52" i="11"/>
  <c r="Q52" i="11"/>
  <c r="K52" i="11"/>
  <c r="J52" i="11"/>
  <c r="F52" i="11"/>
  <c r="S51" i="11"/>
  <c r="R51" i="11"/>
  <c r="Q51" i="11"/>
  <c r="K51" i="11"/>
  <c r="J51" i="11"/>
  <c r="F51" i="11"/>
  <c r="S50" i="11"/>
  <c r="R50" i="11"/>
  <c r="Q50" i="11"/>
  <c r="K50" i="11"/>
  <c r="J50" i="11"/>
  <c r="F50" i="11"/>
  <c r="S49" i="11"/>
  <c r="R49" i="11"/>
  <c r="Q49" i="11"/>
  <c r="K49" i="11"/>
  <c r="J49" i="11"/>
  <c r="F49" i="11"/>
  <c r="S48" i="11"/>
  <c r="R48" i="11"/>
  <c r="Q48" i="11"/>
  <c r="K48" i="11"/>
  <c r="J48" i="11"/>
  <c r="F48" i="11"/>
  <c r="S47" i="11"/>
  <c r="R47" i="11"/>
  <c r="Q47" i="11"/>
  <c r="K47" i="11"/>
  <c r="J47" i="11"/>
  <c r="F47" i="11"/>
  <c r="S46" i="11"/>
  <c r="R46" i="11"/>
  <c r="Q46" i="11"/>
  <c r="K46" i="11"/>
  <c r="J46" i="11"/>
  <c r="F46" i="11"/>
  <c r="S45" i="11"/>
  <c r="R45" i="11"/>
  <c r="Q45" i="11"/>
  <c r="L45" i="11"/>
  <c r="K45" i="11"/>
  <c r="J45" i="11"/>
  <c r="F45" i="11"/>
  <c r="S44" i="11"/>
  <c r="R44" i="11"/>
  <c r="Q44" i="11"/>
  <c r="L44" i="11"/>
  <c r="K44" i="11"/>
  <c r="J44" i="11"/>
  <c r="F44" i="11"/>
  <c r="S43" i="11"/>
  <c r="R43" i="11"/>
  <c r="Q43" i="11"/>
  <c r="L43" i="11"/>
  <c r="K43" i="11"/>
  <c r="J43" i="11"/>
  <c r="F43" i="11"/>
  <c r="S42" i="11"/>
  <c r="R42" i="11"/>
  <c r="Q42" i="11"/>
  <c r="L42" i="11"/>
  <c r="K42" i="11"/>
  <c r="J42" i="11"/>
  <c r="F42" i="11"/>
  <c r="S39" i="11"/>
  <c r="R39" i="11"/>
  <c r="Q39" i="11"/>
  <c r="K39" i="11"/>
  <c r="J39" i="11"/>
  <c r="F39" i="11"/>
  <c r="S38" i="11"/>
  <c r="R38" i="11"/>
  <c r="Q38" i="11"/>
  <c r="K38" i="11"/>
  <c r="J38" i="11"/>
  <c r="F38" i="11"/>
  <c r="S37" i="11"/>
  <c r="R37" i="11"/>
  <c r="Q37" i="11"/>
  <c r="K37" i="11"/>
  <c r="J37" i="11"/>
  <c r="F37" i="11"/>
  <c r="S36" i="11"/>
  <c r="R36" i="11"/>
  <c r="Q36" i="11"/>
  <c r="K36" i="11"/>
  <c r="J36" i="11"/>
  <c r="F36" i="11"/>
  <c r="S35" i="11"/>
  <c r="R35" i="11"/>
  <c r="Q35" i="11"/>
  <c r="K35" i="11"/>
  <c r="J35" i="11"/>
  <c r="F35" i="11"/>
  <c r="S34" i="11"/>
  <c r="R34" i="11"/>
  <c r="Q34" i="11"/>
  <c r="K34" i="11"/>
  <c r="J34" i="11"/>
  <c r="F34" i="11"/>
  <c r="S33" i="11"/>
  <c r="R33" i="11"/>
  <c r="Q33" i="11"/>
  <c r="K33" i="11"/>
  <c r="J33" i="11"/>
  <c r="F33" i="11"/>
  <c r="S32" i="11"/>
  <c r="R32" i="11"/>
  <c r="Q32" i="11"/>
  <c r="L32" i="11"/>
  <c r="K32" i="11"/>
  <c r="J32" i="11"/>
  <c r="F32" i="11"/>
  <c r="S31" i="11"/>
  <c r="R31" i="11"/>
  <c r="Q31" i="11"/>
  <c r="L31" i="11"/>
  <c r="K31" i="11"/>
  <c r="J31" i="11"/>
  <c r="F31" i="11"/>
  <c r="S30" i="11"/>
  <c r="R30" i="11"/>
  <c r="Q30" i="11"/>
  <c r="L30" i="11"/>
  <c r="K30" i="11"/>
  <c r="J30" i="11"/>
  <c r="F30" i="11"/>
  <c r="S29" i="11"/>
  <c r="R29" i="11"/>
  <c r="Q29" i="11"/>
  <c r="L29" i="11"/>
  <c r="K29" i="11"/>
  <c r="J29" i="11"/>
  <c r="F29" i="11"/>
  <c r="S26" i="11"/>
  <c r="R26" i="11"/>
  <c r="Q26" i="11"/>
  <c r="K26" i="11"/>
  <c r="J26" i="11"/>
  <c r="F26" i="11"/>
  <c r="S25" i="11"/>
  <c r="R25" i="11"/>
  <c r="Q25" i="11"/>
  <c r="K25" i="11"/>
  <c r="J25" i="11"/>
  <c r="F25" i="11"/>
  <c r="S24" i="11"/>
  <c r="R24" i="11"/>
  <c r="Q24" i="11"/>
  <c r="K24" i="11"/>
  <c r="J24" i="11"/>
  <c r="F24" i="11"/>
  <c r="S23" i="11"/>
  <c r="R23" i="11"/>
  <c r="Q23" i="11"/>
  <c r="K23" i="11"/>
  <c r="J23" i="11"/>
  <c r="F23" i="11"/>
  <c r="S22" i="11"/>
  <c r="R22" i="11"/>
  <c r="Q22" i="11"/>
  <c r="K22" i="11"/>
  <c r="J22" i="11"/>
  <c r="F22" i="11"/>
  <c r="S21" i="11"/>
  <c r="R21" i="11"/>
  <c r="Q21" i="11"/>
  <c r="K21" i="11"/>
  <c r="J21" i="11"/>
  <c r="F21" i="11"/>
  <c r="S20" i="11"/>
  <c r="R20" i="11"/>
  <c r="Q20" i="11"/>
  <c r="K20" i="11"/>
  <c r="J20" i="11"/>
  <c r="F20" i="11"/>
  <c r="S19" i="11"/>
  <c r="R19" i="11"/>
  <c r="Q19" i="11"/>
  <c r="L19" i="11"/>
  <c r="K19" i="11"/>
  <c r="J19" i="11"/>
  <c r="F19" i="11"/>
  <c r="S18" i="11"/>
  <c r="R18" i="11"/>
  <c r="Q18" i="11"/>
  <c r="L18" i="11"/>
  <c r="K18" i="11"/>
  <c r="J18" i="11"/>
  <c r="F18" i="11"/>
  <c r="S17" i="11"/>
  <c r="R17" i="11"/>
  <c r="Q17" i="11"/>
  <c r="L17" i="11"/>
  <c r="K17" i="11"/>
  <c r="J17" i="11"/>
  <c r="F17" i="11"/>
  <c r="S16" i="11"/>
  <c r="R16" i="11"/>
  <c r="Q16" i="11"/>
  <c r="L16" i="11"/>
  <c r="K16" i="11"/>
  <c r="J16" i="11"/>
  <c r="F16" i="11"/>
  <c r="S13" i="11"/>
  <c r="R13" i="11"/>
  <c r="K13" i="11"/>
  <c r="F13" i="11"/>
  <c r="S12" i="11"/>
  <c r="R12" i="11"/>
  <c r="K12" i="11"/>
  <c r="F12" i="11"/>
  <c r="S11" i="11"/>
  <c r="R11" i="11"/>
  <c r="K11" i="11"/>
  <c r="F11" i="11"/>
  <c r="S10" i="11"/>
  <c r="R10" i="11"/>
  <c r="K10" i="11"/>
  <c r="F10" i="11"/>
  <c r="S9" i="11"/>
  <c r="R9" i="11"/>
  <c r="K9" i="11"/>
  <c r="F9" i="11"/>
  <c r="S8" i="11"/>
  <c r="R8" i="11"/>
  <c r="K8" i="11"/>
  <c r="F8" i="11"/>
  <c r="S7" i="11"/>
  <c r="R7" i="11"/>
  <c r="K7" i="11"/>
  <c r="F7" i="11"/>
  <c r="S6" i="11"/>
  <c r="R6" i="11"/>
  <c r="L6" i="11"/>
  <c r="K6" i="11"/>
  <c r="F6" i="11"/>
  <c r="X5" i="11"/>
  <c r="S5" i="11"/>
  <c r="R5" i="11"/>
  <c r="L5" i="11"/>
  <c r="K5" i="11"/>
  <c r="F5" i="11"/>
  <c r="X4" i="11"/>
  <c r="S4" i="11"/>
  <c r="R4" i="11"/>
  <c r="L4" i="11"/>
  <c r="K4" i="11"/>
  <c r="F4" i="11"/>
  <c r="S3" i="11"/>
  <c r="R3" i="11"/>
  <c r="L3" i="11"/>
  <c r="K3" i="11"/>
  <c r="F3" i="11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E30" i="8"/>
  <c r="D30" i="8"/>
  <c r="F29" i="8"/>
  <c r="G29" i="8" s="1"/>
  <c r="G30" i="8" s="1"/>
  <c r="E29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K17" i="10"/>
  <c r="I18" i="9"/>
  <c r="I17" i="9"/>
  <c r="I16" i="9"/>
  <c r="B12" i="9"/>
  <c r="I19" i="9" s="1"/>
  <c r="I10" i="9"/>
  <c r="J10" i="9" s="1"/>
  <c r="H10" i="9"/>
  <c r="J9" i="9"/>
  <c r="I9" i="9"/>
  <c r="H9" i="9"/>
  <c r="I8" i="9"/>
  <c r="H8" i="9"/>
  <c r="J8" i="9" s="1"/>
  <c r="J7" i="9"/>
  <c r="I7" i="9"/>
  <c r="H7" i="9"/>
  <c r="I6" i="9"/>
  <c r="H6" i="9"/>
  <c r="J6" i="9" s="1"/>
  <c r="I5" i="9"/>
  <c r="H5" i="9"/>
  <c r="J5" i="9" s="1"/>
  <c r="I4" i="9"/>
  <c r="H4" i="9"/>
  <c r="J4" i="9" s="1"/>
  <c r="I3" i="9"/>
  <c r="H3" i="9"/>
  <c r="J3" i="9" s="1"/>
  <c r="I2" i="9"/>
  <c r="J2" i="9" s="1"/>
  <c r="H2" i="9"/>
  <c r="T20" i="7"/>
  <c r="S20" i="7"/>
  <c r="R20" i="7"/>
  <c r="Q20" i="7"/>
  <c r="P20" i="7"/>
  <c r="O20" i="7"/>
  <c r="N20" i="7"/>
  <c r="M20" i="7"/>
  <c r="L20" i="7"/>
  <c r="K20" i="7"/>
  <c r="J20" i="7"/>
  <c r="C20" i="7"/>
  <c r="B20" i="7"/>
  <c r="S19" i="7"/>
  <c r="R19" i="7"/>
  <c r="Q19" i="7"/>
  <c r="P19" i="7"/>
  <c r="O19" i="7"/>
  <c r="N19" i="7"/>
  <c r="M19" i="7"/>
  <c r="L19" i="7"/>
  <c r="K19" i="7"/>
  <c r="J19" i="7"/>
  <c r="C19" i="7"/>
  <c r="B19" i="7"/>
  <c r="R18" i="7"/>
  <c r="Q18" i="7"/>
  <c r="P18" i="7"/>
  <c r="O18" i="7"/>
  <c r="N18" i="7"/>
  <c r="M18" i="7"/>
  <c r="L18" i="7"/>
  <c r="K18" i="7"/>
  <c r="J18" i="7"/>
  <c r="C18" i="7"/>
  <c r="B18" i="7"/>
  <c r="Q17" i="7"/>
  <c r="P17" i="7"/>
  <c r="O17" i="7"/>
  <c r="N17" i="7"/>
  <c r="M17" i="7"/>
  <c r="L17" i="7"/>
  <c r="K17" i="7"/>
  <c r="J17" i="7"/>
  <c r="C17" i="7"/>
  <c r="B17" i="7"/>
  <c r="P16" i="7"/>
  <c r="O16" i="7"/>
  <c r="N16" i="7"/>
  <c r="M16" i="7"/>
  <c r="L16" i="7"/>
  <c r="K16" i="7"/>
  <c r="J16" i="7"/>
  <c r="C16" i="7"/>
  <c r="B16" i="7"/>
  <c r="O15" i="7"/>
  <c r="N15" i="7"/>
  <c r="M15" i="7"/>
  <c r="L15" i="7"/>
  <c r="K15" i="7"/>
  <c r="J15" i="7"/>
  <c r="C15" i="7"/>
  <c r="B15" i="7"/>
  <c r="N14" i="7"/>
  <c r="M14" i="7"/>
  <c r="L14" i="7"/>
  <c r="K14" i="7"/>
  <c r="J14" i="7"/>
  <c r="C14" i="7"/>
  <c r="B14" i="7"/>
  <c r="M13" i="7"/>
  <c r="L13" i="7"/>
  <c r="K13" i="7"/>
  <c r="J13" i="7"/>
  <c r="C13" i="7"/>
  <c r="B13" i="7"/>
  <c r="L12" i="7"/>
  <c r="K12" i="7"/>
  <c r="J12" i="7"/>
  <c r="C12" i="7"/>
  <c r="B12" i="7"/>
  <c r="K11" i="7"/>
  <c r="J11" i="7"/>
  <c r="C11" i="7"/>
  <c r="B11" i="7"/>
  <c r="C20" i="6"/>
  <c r="B20" i="6"/>
  <c r="C19" i="6"/>
  <c r="B19" i="6"/>
  <c r="C18" i="6"/>
  <c r="B18" i="6"/>
  <c r="C17" i="6"/>
  <c r="B17" i="6"/>
  <c r="C16" i="6"/>
  <c r="B16" i="6"/>
  <c r="C15" i="6"/>
  <c r="B15" i="6"/>
  <c r="C14" i="6"/>
  <c r="B14" i="6"/>
  <c r="C13" i="6"/>
  <c r="B13" i="6"/>
  <c r="C12" i="6"/>
  <c r="B12" i="6"/>
  <c r="C11" i="6"/>
  <c r="B11" i="6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T20" i="3"/>
  <c r="S20" i="3"/>
  <c r="R20" i="3"/>
  <c r="Q20" i="3"/>
  <c r="P20" i="3"/>
  <c r="O20" i="3"/>
  <c r="N20" i="3"/>
  <c r="M20" i="3"/>
  <c r="L20" i="3"/>
  <c r="K20" i="3"/>
  <c r="J20" i="3"/>
  <c r="C20" i="3"/>
  <c r="B20" i="3"/>
  <c r="S19" i="3"/>
  <c r="R19" i="3"/>
  <c r="Q19" i="3"/>
  <c r="P19" i="3"/>
  <c r="O19" i="3"/>
  <c r="N19" i="3"/>
  <c r="M19" i="3"/>
  <c r="L19" i="3"/>
  <c r="K19" i="3"/>
  <c r="J19" i="3"/>
  <c r="C19" i="3"/>
  <c r="B19" i="3"/>
  <c r="R18" i="3"/>
  <c r="Q18" i="3"/>
  <c r="P18" i="3"/>
  <c r="O18" i="3"/>
  <c r="N18" i="3"/>
  <c r="M18" i="3"/>
  <c r="L18" i="3"/>
  <c r="K18" i="3"/>
  <c r="J18" i="3"/>
  <c r="C18" i="3"/>
  <c r="B18" i="3"/>
  <c r="Q17" i="3"/>
  <c r="P17" i="3"/>
  <c r="O17" i="3"/>
  <c r="N17" i="3"/>
  <c r="M17" i="3"/>
  <c r="L17" i="3"/>
  <c r="K17" i="3"/>
  <c r="J17" i="3"/>
  <c r="C17" i="3"/>
  <c r="B17" i="3"/>
  <c r="P16" i="3"/>
  <c r="O16" i="3"/>
  <c r="N16" i="3"/>
  <c r="M16" i="3"/>
  <c r="L16" i="3"/>
  <c r="K16" i="3"/>
  <c r="J16" i="3"/>
  <c r="C16" i="3"/>
  <c r="B16" i="3"/>
  <c r="O15" i="3"/>
  <c r="N15" i="3"/>
  <c r="M15" i="3"/>
  <c r="L15" i="3"/>
  <c r="K15" i="3"/>
  <c r="J15" i="3"/>
  <c r="C15" i="3"/>
  <c r="B15" i="3"/>
  <c r="N14" i="3"/>
  <c r="M14" i="3"/>
  <c r="L14" i="3"/>
  <c r="K14" i="3"/>
  <c r="J14" i="3"/>
  <c r="C14" i="3"/>
  <c r="B14" i="3"/>
  <c r="M13" i="3"/>
  <c r="L13" i="3"/>
  <c r="K13" i="3"/>
  <c r="J13" i="3"/>
  <c r="C13" i="3"/>
  <c r="B13" i="3"/>
  <c r="L12" i="3"/>
  <c r="K12" i="3"/>
  <c r="J12" i="3"/>
  <c r="C12" i="3"/>
  <c r="B12" i="3"/>
  <c r="K11" i="3"/>
  <c r="J11" i="3"/>
  <c r="C11" i="3"/>
  <c r="B11" i="3"/>
  <c r="T20" i="2"/>
  <c r="S20" i="2"/>
  <c r="R20" i="2"/>
  <c r="Q20" i="2"/>
  <c r="P20" i="2"/>
  <c r="O20" i="2"/>
  <c r="N20" i="2"/>
  <c r="M20" i="2"/>
  <c r="L20" i="2"/>
  <c r="K20" i="2"/>
  <c r="J20" i="2"/>
  <c r="C20" i="2"/>
  <c r="B20" i="2"/>
  <c r="S19" i="2"/>
  <c r="R19" i="2"/>
  <c r="Q19" i="2"/>
  <c r="P19" i="2"/>
  <c r="O19" i="2"/>
  <c r="N19" i="2"/>
  <c r="M19" i="2"/>
  <c r="L19" i="2"/>
  <c r="K19" i="2"/>
  <c r="J19" i="2"/>
  <c r="C19" i="2"/>
  <c r="B19" i="2"/>
  <c r="R18" i="2"/>
  <c r="Q18" i="2"/>
  <c r="P18" i="2"/>
  <c r="O18" i="2"/>
  <c r="N18" i="2"/>
  <c r="M18" i="2"/>
  <c r="L18" i="2"/>
  <c r="K18" i="2"/>
  <c r="J18" i="2"/>
  <c r="C18" i="2"/>
  <c r="B18" i="2"/>
  <c r="Q17" i="2"/>
  <c r="P17" i="2"/>
  <c r="O17" i="2"/>
  <c r="N17" i="2"/>
  <c r="M17" i="2"/>
  <c r="L17" i="2"/>
  <c r="K17" i="2"/>
  <c r="J17" i="2"/>
  <c r="C17" i="2"/>
  <c r="B17" i="2"/>
  <c r="P16" i="2"/>
  <c r="O16" i="2"/>
  <c r="N16" i="2"/>
  <c r="M16" i="2"/>
  <c r="L16" i="2"/>
  <c r="K16" i="2"/>
  <c r="J16" i="2"/>
  <c r="C16" i="2"/>
  <c r="B16" i="2"/>
  <c r="O15" i="2"/>
  <c r="N15" i="2"/>
  <c r="M15" i="2"/>
  <c r="L15" i="2"/>
  <c r="K15" i="2"/>
  <c r="J15" i="2"/>
  <c r="C15" i="2"/>
  <c r="B15" i="2"/>
  <c r="N14" i="2"/>
  <c r="M14" i="2"/>
  <c r="L14" i="2"/>
  <c r="K14" i="2"/>
  <c r="J14" i="2"/>
  <c r="C14" i="2"/>
  <c r="B14" i="2"/>
  <c r="M13" i="2"/>
  <c r="L13" i="2"/>
  <c r="K13" i="2"/>
  <c r="J13" i="2"/>
  <c r="C13" i="2"/>
  <c r="B13" i="2"/>
  <c r="L12" i="2"/>
  <c r="K12" i="2"/>
  <c r="J12" i="2"/>
  <c r="C12" i="2"/>
  <c r="B12" i="2"/>
  <c r="K11" i="2"/>
  <c r="J11" i="2"/>
  <c r="C11" i="2"/>
  <c r="B11" i="2"/>
  <c r="T20" i="1"/>
  <c r="S20" i="1"/>
  <c r="R20" i="1"/>
  <c r="Q20" i="1"/>
  <c r="P20" i="1"/>
  <c r="O20" i="1"/>
  <c r="N20" i="1"/>
  <c r="M20" i="1"/>
  <c r="L20" i="1"/>
  <c r="K20" i="1"/>
  <c r="J20" i="1"/>
  <c r="C20" i="1"/>
  <c r="B20" i="1"/>
  <c r="S19" i="1"/>
  <c r="R19" i="1"/>
  <c r="Q19" i="1"/>
  <c r="P19" i="1"/>
  <c r="O19" i="1"/>
  <c r="N19" i="1"/>
  <c r="M19" i="1"/>
  <c r="L19" i="1"/>
  <c r="K19" i="1"/>
  <c r="J19" i="1"/>
  <c r="C19" i="1"/>
  <c r="B19" i="1"/>
  <c r="R18" i="1"/>
  <c r="Q18" i="1"/>
  <c r="P18" i="1"/>
  <c r="O18" i="1"/>
  <c r="N18" i="1"/>
  <c r="M18" i="1"/>
  <c r="L18" i="1"/>
  <c r="K18" i="1"/>
  <c r="J18" i="1"/>
  <c r="C18" i="1"/>
  <c r="B18" i="1"/>
  <c r="Q17" i="1"/>
  <c r="P17" i="1"/>
  <c r="O17" i="1"/>
  <c r="N17" i="1"/>
  <c r="M17" i="1"/>
  <c r="L17" i="1"/>
  <c r="K17" i="1"/>
  <c r="J17" i="1"/>
  <c r="C17" i="1"/>
  <c r="B17" i="1"/>
  <c r="P16" i="1"/>
  <c r="O16" i="1"/>
  <c r="N16" i="1"/>
  <c r="M16" i="1"/>
  <c r="L16" i="1"/>
  <c r="K16" i="1"/>
  <c r="J16" i="1"/>
  <c r="C16" i="1"/>
  <c r="B16" i="1"/>
  <c r="O15" i="1"/>
  <c r="N15" i="1"/>
  <c r="M15" i="1"/>
  <c r="L15" i="1"/>
  <c r="K15" i="1"/>
  <c r="J15" i="1"/>
  <c r="C15" i="1"/>
  <c r="B15" i="1"/>
  <c r="N14" i="1"/>
  <c r="M14" i="1"/>
  <c r="L14" i="1"/>
  <c r="K14" i="1"/>
  <c r="J14" i="1"/>
  <c r="C14" i="1"/>
  <c r="B14" i="1"/>
  <c r="M13" i="1"/>
  <c r="L13" i="1"/>
  <c r="K13" i="1"/>
  <c r="J13" i="1"/>
  <c r="C13" i="1"/>
  <c r="B13" i="1"/>
  <c r="L12" i="1"/>
  <c r="K12" i="1"/>
  <c r="J12" i="1"/>
  <c r="C12" i="1"/>
  <c r="B12" i="1"/>
  <c r="K11" i="1"/>
  <c r="J11" i="1"/>
  <c r="C11" i="1"/>
  <c r="B11" i="1"/>
  <c r="V13" i="11" l="1"/>
  <c r="V12" i="11"/>
  <c r="V11" i="11"/>
  <c r="V10" i="11"/>
  <c r="V9" i="11"/>
  <c r="V8" i="11"/>
  <c r="V7" i="11"/>
  <c r="D9" i="8"/>
  <c r="V6" i="11"/>
  <c r="D17" i="8"/>
  <c r="V5" i="11"/>
  <c r="V3" i="11"/>
  <c r="D16" i="8"/>
  <c r="T46" i="11"/>
  <c r="T50" i="11"/>
  <c r="T52" i="11"/>
  <c r="T39" i="11"/>
  <c r="T44" i="11"/>
  <c r="T25" i="11"/>
  <c r="T45" i="11"/>
  <c r="T38" i="11"/>
  <c r="T43" i="11"/>
  <c r="T30" i="11"/>
  <c r="T37" i="11"/>
  <c r="T42" i="11"/>
  <c r="T18" i="11"/>
  <c r="T22" i="11"/>
  <c r="T17" i="11"/>
  <c r="T29" i="11"/>
  <c r="T51" i="11"/>
  <c r="AK4" i="11"/>
  <c r="AE4" i="11"/>
  <c r="AG4" i="11"/>
  <c r="AJ4" i="11"/>
  <c r="AD4" i="11"/>
  <c r="AI4" i="11"/>
  <c r="AF4" i="11"/>
  <c r="AH4" i="11"/>
  <c r="T16" i="11"/>
  <c r="T24" i="11"/>
  <c r="T35" i="11"/>
  <c r="T23" i="11"/>
  <c r="T26" i="11"/>
  <c r="T34" i="11"/>
  <c r="T49" i="11"/>
  <c r="T48" i="11"/>
  <c r="T21" i="11"/>
  <c r="T33" i="11"/>
  <c r="T20" i="11"/>
  <c r="T32" i="11"/>
  <c r="T47" i="11"/>
  <c r="AF5" i="11"/>
  <c r="AK5" i="11"/>
  <c r="AH5" i="11"/>
  <c r="AE5" i="11"/>
  <c r="AJ5" i="11"/>
  <c r="AD5" i="11"/>
  <c r="AG5" i="11"/>
  <c r="AI5" i="11"/>
  <c r="T19" i="11"/>
  <c r="T31" i="11"/>
  <c r="T36" i="11"/>
  <c r="H5" i="31"/>
  <c r="G7" i="31"/>
  <c r="G8" i="31" s="1"/>
  <c r="D13" i="3"/>
  <c r="D15" i="6"/>
  <c r="D19" i="6"/>
  <c r="D20" i="2"/>
  <c r="D14" i="4"/>
  <c r="D18" i="4"/>
  <c r="D12" i="6"/>
  <c r="D15" i="7"/>
  <c r="D16" i="7"/>
  <c r="D19" i="1"/>
  <c r="L11" i="3"/>
  <c r="L11" i="1"/>
  <c r="O14" i="3"/>
  <c r="M12" i="1"/>
  <c r="D17" i="1"/>
  <c r="D13" i="2"/>
  <c r="D11" i="4"/>
  <c r="D15" i="4"/>
  <c r="D19" i="4"/>
  <c r="D20" i="4"/>
  <c r="D16" i="2"/>
  <c r="D13" i="1"/>
  <c r="D18" i="1"/>
  <c r="D14" i="3"/>
  <c r="D17" i="3"/>
  <c r="D18" i="6"/>
  <c r="D15" i="2"/>
  <c r="N13" i="3"/>
  <c r="D15" i="1"/>
  <c r="D16" i="1"/>
  <c r="D12" i="3"/>
  <c r="D19" i="3"/>
  <c r="D20" i="3"/>
  <c r="D20" i="1"/>
  <c r="M12" i="3"/>
  <c r="D15" i="3"/>
  <c r="D16" i="3"/>
  <c r="D14" i="2"/>
  <c r="T19" i="2"/>
  <c r="D20" i="6"/>
  <c r="P64" i="8"/>
  <c r="P15" i="1"/>
  <c r="D14" i="6"/>
  <c r="D13" i="4"/>
  <c r="D18" i="2"/>
  <c r="N13" i="7"/>
  <c r="D12" i="2"/>
  <c r="H64" i="8"/>
  <c r="G10" i="3"/>
  <c r="G12" i="7"/>
  <c r="M12" i="7"/>
  <c r="P15" i="7"/>
  <c r="Q16" i="7"/>
  <c r="I64" i="8"/>
  <c r="D13" i="7"/>
  <c r="D18" i="7"/>
  <c r="G64" i="8"/>
  <c r="G67" i="8" s="1"/>
  <c r="O64" i="8"/>
  <c r="J64" i="8"/>
  <c r="S18" i="1"/>
  <c r="R17" i="2"/>
  <c r="U20" i="1"/>
  <c r="L11" i="7"/>
  <c r="K64" i="8"/>
  <c r="N64" i="8"/>
  <c r="G12" i="2"/>
  <c r="Q16" i="3"/>
  <c r="G11" i="7"/>
  <c r="T19" i="7"/>
  <c r="D20" i="7"/>
  <c r="F64" i="8"/>
  <c r="D14" i="1"/>
  <c r="D11" i="2"/>
  <c r="Q16" i="2"/>
  <c r="D19" i="2"/>
  <c r="D18" i="3"/>
  <c r="D12" i="4"/>
  <c r="D13" i="6"/>
  <c r="D16" i="6"/>
  <c r="S18" i="7"/>
  <c r="D19" i="7"/>
  <c r="O14" i="2"/>
  <c r="O14" i="1"/>
  <c r="Q16" i="1"/>
  <c r="R17" i="1"/>
  <c r="D12" i="1"/>
  <c r="N13" i="1"/>
  <c r="D17" i="2"/>
  <c r="S18" i="3"/>
  <c r="U20" i="3"/>
  <c r="D17" i="4"/>
  <c r="D17" i="6"/>
  <c r="D14" i="7"/>
  <c r="D64" i="8"/>
  <c r="L64" i="8"/>
  <c r="P15" i="2"/>
  <c r="R17" i="3"/>
  <c r="N13" i="2"/>
  <c r="G11" i="3"/>
  <c r="G11" i="4"/>
  <c r="D16" i="4"/>
  <c r="D17" i="7"/>
  <c r="G10" i="7"/>
  <c r="H29" i="8"/>
  <c r="G12" i="6"/>
  <c r="G10" i="1"/>
  <c r="D11" i="1"/>
  <c r="G12" i="1"/>
  <c r="G11" i="1"/>
  <c r="U20" i="2"/>
  <c r="T19" i="1"/>
  <c r="M12" i="2"/>
  <c r="G11" i="2"/>
  <c r="S18" i="2"/>
  <c r="G10" i="6"/>
  <c r="L11" i="2"/>
  <c r="P15" i="3"/>
  <c r="T19" i="3"/>
  <c r="G12" i="4"/>
  <c r="G10" i="4"/>
  <c r="G11" i="6"/>
  <c r="D11" i="6"/>
  <c r="O14" i="7"/>
  <c r="R17" i="7"/>
  <c r="U20" i="7"/>
  <c r="E64" i="8"/>
  <c r="E67" i="8" s="1"/>
  <c r="M64" i="8"/>
  <c r="K36" i="23"/>
  <c r="G12" i="21"/>
  <c r="F12" i="21" s="1"/>
  <c r="G18" i="21"/>
  <c r="F18" i="21" s="1"/>
  <c r="F30" i="8"/>
  <c r="D11" i="3"/>
  <c r="G12" i="3"/>
  <c r="D12" i="7"/>
  <c r="G10" i="21"/>
  <c r="F10" i="21" s="1"/>
  <c r="G14" i="21"/>
  <c r="F14" i="21" s="1"/>
  <c r="G16" i="21"/>
  <c r="F16" i="21" s="1"/>
  <c r="G10" i="2"/>
  <c r="D11" i="7"/>
  <c r="G9" i="21"/>
  <c r="F9" i="21" s="1"/>
  <c r="G11" i="21"/>
  <c r="F11" i="21" s="1"/>
  <c r="G13" i="21"/>
  <c r="F13" i="21" s="1"/>
  <c r="G15" i="21"/>
  <c r="F15" i="21" s="1"/>
  <c r="O4" i="11" l="1"/>
  <c r="F67" i="8"/>
  <c r="H7" i="31"/>
  <c r="H8" i="31"/>
  <c r="I5" i="31"/>
  <c r="D21" i="2"/>
  <c r="D21" i="4"/>
  <c r="D21" i="1"/>
  <c r="D21" i="7"/>
  <c r="D21" i="3"/>
  <c r="D21" i="6"/>
  <c r="K37" i="23"/>
  <c r="K38" i="23" s="1"/>
  <c r="H30" i="8"/>
  <c r="H67" i="8" s="1"/>
  <c r="I29" i="8"/>
  <c r="D6" i="8" l="1"/>
  <c r="D22" i="8" s="1"/>
  <c r="D67" i="8" s="1"/>
  <c r="V4" i="11"/>
  <c r="I7" i="31"/>
  <c r="J7" i="31" s="1"/>
  <c r="I8" i="31"/>
  <c r="J5" i="31"/>
  <c r="K5" i="31"/>
  <c r="I30" i="8"/>
  <c r="I67" i="8" s="1"/>
  <c r="J29" i="8"/>
  <c r="J30" i="8" l="1"/>
  <c r="J67" i="8" s="1"/>
  <c r="K29" i="8"/>
  <c r="L29" i="8" l="1"/>
  <c r="K30" i="8"/>
  <c r="K67" i="8" s="1"/>
  <c r="M29" i="8" l="1"/>
  <c r="L30" i="8"/>
  <c r="L67" i="8" s="1"/>
  <c r="N29" i="8" l="1"/>
  <c r="M30" i="8"/>
  <c r="M67" i="8" s="1"/>
  <c r="O29" i="8" l="1"/>
  <c r="N30" i="8"/>
  <c r="N67" i="8" s="1"/>
  <c r="O30" i="8" l="1"/>
  <c r="O67" i="8" s="1"/>
  <c r="P29" i="8"/>
  <c r="P30" i="8" s="1"/>
  <c r="P67" i="8" s="1"/>
</calcChain>
</file>

<file path=xl/sharedStrings.xml><?xml version="1.0" encoding="utf-8"?>
<sst xmlns="http://schemas.openxmlformats.org/spreadsheetml/2006/main" count="2900" uniqueCount="1032">
  <si>
    <t>EJERCICIO #01</t>
  </si>
  <si>
    <t>EJERCICIO #02</t>
  </si>
  <si>
    <t>EJERCICIO #03</t>
  </si>
  <si>
    <t>EJERCICIO #04</t>
  </si>
  <si>
    <t>EJERCICIO #05</t>
  </si>
  <si>
    <t>EJERCICIO #06</t>
  </si>
  <si>
    <t>EJERCICIO #07</t>
  </si>
  <si>
    <t>EJERCICIO #08</t>
  </si>
  <si>
    <t>EJERCICIO #09</t>
  </si>
  <si>
    <t>EJERCICIO #10</t>
  </si>
  <si>
    <t>NUMERO</t>
  </si>
  <si>
    <t>RESULTADO</t>
  </si>
  <si>
    <t xml:space="preserve"> TOTAL</t>
  </si>
  <si>
    <t>PROMEDIO</t>
  </si>
  <si>
    <t>MODA</t>
  </si>
  <si>
    <t>MEDIA</t>
  </si>
  <si>
    <t>BASE DE DATOS CUESTIONABLE DE ALBEIRO</t>
  </si>
  <si>
    <t>JEREMY PEDRAZA</t>
  </si>
  <si>
    <t>APRENDIZ</t>
  </si>
  <si>
    <t>INDICE</t>
  </si>
  <si>
    <t>N°</t>
  </si>
  <si>
    <t>SUMAS</t>
  </si>
  <si>
    <t>RESTAS</t>
  </si>
  <si>
    <t>MULTIPLICACION</t>
  </si>
  <si>
    <t>POTENCIAS</t>
  </si>
  <si>
    <t>PRODUCTO #1</t>
  </si>
  <si>
    <t>APRENDIZ:</t>
  </si>
  <si>
    <t>JEREMY IVAN PEDRAZA</t>
  </si>
  <si>
    <t>ITEM</t>
  </si>
  <si>
    <t>DIVISION</t>
  </si>
  <si>
    <t>NOMBRE</t>
  </si>
  <si>
    <t>CEDULA</t>
  </si>
  <si>
    <t>EDAD</t>
  </si>
  <si>
    <t>PESO</t>
  </si>
  <si>
    <t>SUELDO</t>
  </si>
  <si>
    <t>%PENSION</t>
  </si>
  <si>
    <t>%SALUD</t>
  </si>
  <si>
    <t xml:space="preserve">TIPO </t>
  </si>
  <si>
    <t>VALOR</t>
  </si>
  <si>
    <t>KATERINE</t>
  </si>
  <si>
    <t>SEBASTIAN</t>
  </si>
  <si>
    <t>ANDRES</t>
  </si>
  <si>
    <t>PABLO</t>
  </si>
  <si>
    <t>ROCIO</t>
  </si>
  <si>
    <t>LUIS</t>
  </si>
  <si>
    <t>ANGELICA</t>
  </si>
  <si>
    <t>SABRINA</t>
  </si>
  <si>
    <t>DANIELA</t>
  </si>
  <si>
    <t>ESTATURA CM</t>
  </si>
  <si>
    <t>GASTOS</t>
  </si>
  <si>
    <t>ESTATURA</t>
  </si>
  <si>
    <t>APORTE SALUD Y PENSION</t>
  </si>
  <si>
    <t>N° Empleados</t>
  </si>
  <si>
    <t xml:space="preserve">Sueldos </t>
  </si>
  <si>
    <t>TOTAL</t>
  </si>
  <si>
    <t>Para ejecutar macro oprimir
Ctrl+Shift+W</t>
  </si>
  <si>
    <t>CODIGO</t>
  </si>
  <si>
    <t>ESTUDIANTE</t>
  </si>
  <si>
    <t>COMPETENCIA 1</t>
  </si>
  <si>
    <t>COMPETANCIA2</t>
  </si>
  <si>
    <t>COMPETENCIA3</t>
  </si>
  <si>
    <t>NOTA</t>
  </si>
  <si>
    <t>ESTADO</t>
  </si>
  <si>
    <t>PONDERADO</t>
  </si>
  <si>
    <t>POSIBILIDAD DE BECA</t>
  </si>
  <si>
    <t>Alejando</t>
  </si>
  <si>
    <t>Fabian</t>
  </si>
  <si>
    <t>Andrea</t>
  </si>
  <si>
    <t>Luis</t>
  </si>
  <si>
    <t>Maria</t>
  </si>
  <si>
    <t>Angelica</t>
  </si>
  <si>
    <t>Valentina</t>
  </si>
  <si>
    <t>Sara</t>
  </si>
  <si>
    <t>Laura</t>
  </si>
  <si>
    <t>Natalia</t>
  </si>
  <si>
    <t>Juan</t>
  </si>
  <si>
    <t>Camila</t>
  </si>
  <si>
    <t>Mauricio</t>
  </si>
  <si>
    <t>Angelo</t>
  </si>
  <si>
    <t>NO APROBADO</t>
  </si>
  <si>
    <t>APROBADO</t>
  </si>
  <si>
    <t>NO BECA</t>
  </si>
  <si>
    <t>SUELDOS</t>
  </si>
  <si>
    <t>HORAS EXTRAS</t>
  </si>
  <si>
    <t>PRIMA DE SERVICIOS</t>
  </si>
  <si>
    <t>APORTES CAJA COMPENSACION</t>
  </si>
  <si>
    <t>FEBRERO</t>
  </si>
  <si>
    <t>MARZO</t>
  </si>
  <si>
    <t xml:space="preserve">ENERO </t>
  </si>
  <si>
    <t>JUNIO</t>
  </si>
  <si>
    <t>JULIO</t>
  </si>
  <si>
    <t>SEPTIEMBRE</t>
  </si>
  <si>
    <t>NOVIEMBRE</t>
  </si>
  <si>
    <t>DICIEMBRE</t>
  </si>
  <si>
    <t xml:space="preserve">VENTAS </t>
  </si>
  <si>
    <t>GASTOS OPERACIONEALES DE VENTA</t>
  </si>
  <si>
    <t xml:space="preserve">CENTRO DE COSTO: </t>
  </si>
  <si>
    <t xml:space="preserve">GASTOS DE PERSONAL </t>
  </si>
  <si>
    <t xml:space="preserve">COMISIONES </t>
  </si>
  <si>
    <t xml:space="preserve">AUXILIO DE TRANSPORTE </t>
  </si>
  <si>
    <t xml:space="preserve">CESANTIAS </t>
  </si>
  <si>
    <t xml:space="preserve">INTERESES SOBRE CESANTIAS </t>
  </si>
  <si>
    <t xml:space="preserve">VACACIONES </t>
  </si>
  <si>
    <t>DOTACION Y SUMINISTROS TRBAJ</t>
  </si>
  <si>
    <t>INDEMNIZACIONES LABORES</t>
  </si>
  <si>
    <t xml:space="preserve">CAPACITACION DEL PERSONAL </t>
  </si>
  <si>
    <t>APORTES A ENTIDADES EPS.</t>
  </si>
  <si>
    <t xml:space="preserve">APORTES FONDOS DE PENSIONES </t>
  </si>
  <si>
    <t>APORTES I.C.B.F.</t>
  </si>
  <si>
    <t xml:space="preserve">SENA </t>
  </si>
  <si>
    <t xml:space="preserve">OTROS </t>
  </si>
  <si>
    <t>TOTAL GASTOS DE PERSONAL</t>
  </si>
  <si>
    <t>HONORARIOS</t>
  </si>
  <si>
    <t xml:space="preserve">ABOGADOS </t>
  </si>
  <si>
    <t xml:space="preserve">TOTAL HONORARIOS </t>
  </si>
  <si>
    <t xml:space="preserve">ARRENDAMIENTOS </t>
  </si>
  <si>
    <t>CONSTRUCCIONES Y EDIFICACIONES</t>
  </si>
  <si>
    <t xml:space="preserve">VEHICULOS </t>
  </si>
  <si>
    <t xml:space="preserve">TOTAL ARRENDAMIENTOS </t>
  </si>
  <si>
    <t xml:space="preserve">SEGUROS </t>
  </si>
  <si>
    <t xml:space="preserve">RESPONSABILIDAD CIVIL </t>
  </si>
  <si>
    <t xml:space="preserve">TOTAL SEGUROS </t>
  </si>
  <si>
    <t xml:space="preserve">SERVICIOS </t>
  </si>
  <si>
    <t xml:space="preserve">ASEO Y VIGILANCIA </t>
  </si>
  <si>
    <t xml:space="preserve">ACUEDUCTO Y ALCANTARILLADO </t>
  </si>
  <si>
    <t>ENERGIA ELECTRICA</t>
  </si>
  <si>
    <t>TELEFONO</t>
  </si>
  <si>
    <t>CORREO, PORTES</t>
  </si>
  <si>
    <t>TRANSP. FLETES Y ACARREOS</t>
  </si>
  <si>
    <t xml:space="preserve">GAS </t>
  </si>
  <si>
    <t xml:space="preserve">TOTAL SERVICIOS </t>
  </si>
  <si>
    <t xml:space="preserve">GASTOS LEGALES </t>
  </si>
  <si>
    <t>NOTARIALES</t>
  </si>
  <si>
    <t xml:space="preserve">REGISTROMERCANTIL </t>
  </si>
  <si>
    <t xml:space="preserve">MANTENIMIENTO Y REPARACIONES </t>
  </si>
  <si>
    <t xml:space="preserve">MAQUINARIA Y EQUIPO </t>
  </si>
  <si>
    <t xml:space="preserve">EQUIPO DE COMPUTO Y COMUNICACIONES </t>
  </si>
  <si>
    <t xml:space="preserve">FLOTA Y EQUIPO DE TRANSPORTE </t>
  </si>
  <si>
    <t xml:space="preserve">ADECUACIONES E INSTALACIONES </t>
  </si>
  <si>
    <t xml:space="preserve">INSTALACIONES ELECTRICAS </t>
  </si>
  <si>
    <t>REPARACIONES LOCATIVAS</t>
  </si>
  <si>
    <t xml:space="preserve">TOTAL DEPRESIACIONES </t>
  </si>
  <si>
    <t xml:space="preserve">AMORTIZACIONES </t>
  </si>
  <si>
    <t xml:space="preserve">DIVERSOS </t>
  </si>
  <si>
    <t xml:space="preserve">LIBROS, REVISTAS, SUSCRIPCIONES </t>
  </si>
  <si>
    <t xml:space="preserve">ELEMENTOS DE ASEO Y CAFETERIA </t>
  </si>
  <si>
    <t xml:space="preserve">UTILIES DE PAPELERIA Y FOTOCOPIAS </t>
  </si>
  <si>
    <t>COMBUSTIBLE Y LUBRICANTES</t>
  </si>
  <si>
    <t>TAXIS Y BUSES</t>
  </si>
  <si>
    <t>TOTAL DIVERSOS</t>
  </si>
  <si>
    <t xml:space="preserve">TOTAL CENTRO DE COSTO Y/O GESTION </t>
  </si>
  <si>
    <t xml:space="preserve">CODIGO </t>
  </si>
  <si>
    <t>%</t>
  </si>
  <si>
    <t>ABRIL</t>
  </si>
  <si>
    <t>MAYO</t>
  </si>
  <si>
    <t>AGOSTO</t>
  </si>
  <si>
    <t>OCTUBRE</t>
  </si>
  <si>
    <t xml:space="preserve">TOTAL </t>
  </si>
  <si>
    <t xml:space="preserve">OBSERVACIONES </t>
  </si>
  <si>
    <t>COD</t>
  </si>
  <si>
    <t>DOCUMENTO</t>
  </si>
  <si>
    <t>CESANTIAS</t>
  </si>
  <si>
    <t>SALUD</t>
  </si>
  <si>
    <t>PERIODO</t>
  </si>
  <si>
    <t>LIONEL</t>
  </si>
  <si>
    <t>AMARANTO</t>
  </si>
  <si>
    <t>FRANCISCO</t>
  </si>
  <si>
    <t>BETTI</t>
  </si>
  <si>
    <t>ARTURO</t>
  </si>
  <si>
    <t>URIBE</t>
  </si>
  <si>
    <t>DAVID</t>
  </si>
  <si>
    <t>IPPO</t>
  </si>
  <si>
    <t>FAURIT</t>
  </si>
  <si>
    <t>INICIO</t>
  </si>
  <si>
    <t>FINAL</t>
  </si>
  <si>
    <t>JAROL</t>
  </si>
  <si>
    <t>PENSION</t>
  </si>
  <si>
    <t>COUCHING HUMAN TALENT</t>
  </si>
  <si>
    <t>CONTRATO</t>
  </si>
  <si>
    <t>PRODUCTO</t>
  </si>
  <si>
    <t>TIPO</t>
  </si>
  <si>
    <t>CUBRIMIENTO</t>
  </si>
  <si>
    <t>A</t>
  </si>
  <si>
    <t>PARCIAL</t>
  </si>
  <si>
    <t>CONTRATACION PARCIAL</t>
  </si>
  <si>
    <r>
      <t xml:space="preserve">ESTANDAR $ </t>
    </r>
    <r>
      <rPr>
        <b/>
        <sz val="11"/>
        <color theme="1"/>
        <rFont val="Century Gothic"/>
        <family val="2"/>
        <scheme val="minor"/>
      </rPr>
      <t xml:space="preserve">X </t>
    </r>
    <r>
      <rPr>
        <sz val="11"/>
        <color theme="1"/>
        <rFont val="Century Gothic"/>
        <family val="2"/>
        <scheme val="minor"/>
      </rPr>
      <t>unidad</t>
    </r>
  </si>
  <si>
    <t>PLUS $ UNIDAD</t>
  </si>
  <si>
    <t>CONTRATO COMPLETO</t>
  </si>
  <si>
    <r>
      <t xml:space="preserve">ESTANDAR </t>
    </r>
    <r>
      <rPr>
        <b/>
        <sz val="11"/>
        <color theme="1"/>
        <rFont val="Century Gothic"/>
        <family val="2"/>
        <scheme val="minor"/>
      </rPr>
      <t>10%OFF</t>
    </r>
  </si>
  <si>
    <r>
      <t xml:space="preserve">PLUS </t>
    </r>
    <r>
      <rPr>
        <b/>
        <sz val="11"/>
        <color theme="1"/>
        <rFont val="Century Gothic"/>
        <family val="2"/>
        <scheme val="minor"/>
      </rPr>
      <t>10%OFF</t>
    </r>
  </si>
  <si>
    <t>CONTRATO PERSONALIZADO</t>
  </si>
  <si>
    <t>ESTANDAR 5%OFF</t>
  </si>
  <si>
    <t>B</t>
  </si>
  <si>
    <t>COMPLETO</t>
  </si>
  <si>
    <t>APLICACIÓN DE PRUEBAS</t>
  </si>
  <si>
    <t>X</t>
  </si>
  <si>
    <t>VISITA DOMICILIARIA</t>
  </si>
  <si>
    <t xml:space="preserve">         ESTUDIO DE CONFIABILIDAD</t>
  </si>
  <si>
    <t xml:space="preserve">                   ESTUDIO DE CONFIABILIDAD</t>
  </si>
  <si>
    <t xml:space="preserve">         EVALUACION DEL PERSONAL</t>
  </si>
  <si>
    <t>LEVANTAMIENTO DE PERFIL</t>
  </si>
  <si>
    <t>RECLUTAMIENTO DE PERSONAL</t>
  </si>
  <si>
    <t>APLICACIÓN DE PRUEBAS FINAL</t>
  </si>
  <si>
    <t>ENTREVISTA</t>
  </si>
  <si>
    <t>VERIFICACION Y SEGUIMIENTO</t>
  </si>
  <si>
    <t>INFORME FINAL</t>
  </si>
  <si>
    <t>PRESENTACION DE CANDIDATOS</t>
  </si>
  <si>
    <t>UNIDADES A PRODUCIR POR PRODUCTO</t>
  </si>
  <si>
    <t>CONCEPTO</t>
  </si>
  <si>
    <t>ENERO</t>
  </si>
  <si>
    <t>CENTRO DE ASISTENCIA</t>
  </si>
  <si>
    <t>CENTRO DE ASESORIA</t>
  </si>
  <si>
    <t>CAPACITACIONES VIRTUALES</t>
  </si>
  <si>
    <t>CAPACITACIONES PRESENCIALES</t>
  </si>
  <si>
    <t>PRODUCTO DEL MES</t>
  </si>
  <si>
    <t xml:space="preserve">BASE DE DATOS </t>
  </si>
  <si>
    <t>AUX TRANSP</t>
  </si>
  <si>
    <t>DIAS LABORADOS</t>
  </si>
  <si>
    <t>NO APTO</t>
  </si>
  <si>
    <t>DIGITAR</t>
  </si>
  <si>
    <t>AUTO</t>
  </si>
  <si>
    <t>Ctrl+shift+L</t>
  </si>
  <si>
    <t>CONFIGURACION SUELDOS</t>
  </si>
  <si>
    <t>CALCULAR Ctrl+shift+U</t>
  </si>
  <si>
    <t>INDICADORES</t>
  </si>
  <si>
    <t>DIAS 
/ENFERMO/
/AUSENTE/</t>
  </si>
  <si>
    <t>DEPARTAMENTO</t>
  </si>
  <si>
    <t>EMPLEADOS POR SALARIO</t>
  </si>
  <si>
    <t>TESORERIA</t>
  </si>
  <si>
    <t>VENTAS</t>
  </si>
  <si>
    <t>ADMINISTRATIVO</t>
  </si>
  <si>
    <t>MANTENIMIENTO</t>
  </si>
  <si>
    <t>MKT</t>
  </si>
  <si>
    <t>SISTEMAS</t>
  </si>
  <si>
    <t>SERVICIO AL CLIENTE</t>
  </si>
  <si>
    <t>HORAS EXTRAS/TOTAL</t>
  </si>
  <si>
    <t>BONOS/TOTAL
(incluye primas y cesantias)</t>
  </si>
  <si>
    <t>00/01/2019</t>
  </si>
  <si>
    <t xml:space="preserve">Empresa: </t>
  </si>
  <si>
    <t xml:space="preserve">Fecha: </t>
  </si>
  <si>
    <t>Entrevistado:</t>
  </si>
  <si>
    <t>Revisó:</t>
  </si>
  <si>
    <t xml:space="preserve">Cargo: </t>
  </si>
  <si>
    <t>Versión:</t>
  </si>
  <si>
    <t>Área: Nómina</t>
  </si>
  <si>
    <t xml:space="preserve">Registro de Personal </t>
  </si>
  <si>
    <t>SI</t>
  </si>
  <si>
    <t xml:space="preserve">NO </t>
  </si>
  <si>
    <t>N/A</t>
  </si>
  <si>
    <t>POND</t>
  </si>
  <si>
    <t>Observaciones</t>
  </si>
  <si>
    <t xml:space="preserve">1. El archivo individual de cada trabajador contiene: </t>
  </si>
  <si>
    <t>1.1. Fecha de entrada.</t>
  </si>
  <si>
    <t>1.2. Cambios, aumentos, etc., debidamente aprobados.</t>
  </si>
  <si>
    <t>1.3. Bases del sueldo o jornal.</t>
  </si>
  <si>
    <t>1.4. Pagos parciales de cesantías y autorizaciones de la oficina de trabajo.</t>
  </si>
  <si>
    <t>1.5. Autorizaciones para el descuento del salario.</t>
  </si>
  <si>
    <t>1.6. Acumulación de pagos de salarios y prestaciones de cada trabajador.</t>
  </si>
  <si>
    <t>1.7. Contrato de trabajo.</t>
  </si>
  <si>
    <t xml:space="preserve">1.8. Examen médico de ingreso y evidencia de la renuncia a que hubiere lugar. </t>
  </si>
  <si>
    <t>1.9. Investigaciones efectuadas para la contratación del trabajador.</t>
  </si>
  <si>
    <t>1.10. Informaciones necesarias para dar cumplimiento a las disposiciones relativas a la retención de impuestos sobre salarios pagados.</t>
  </si>
  <si>
    <t>2. En caso afirmativo, ¿se guardan estos archivos en forma tal que no tengan acceso a ellos las personas que preparan la nómina, la aprueban y hacen el pago?</t>
  </si>
  <si>
    <t>3. ¿Se encuentra establecido que todas las autorizaciones, especialmente avisos de despido o retiro de empleados, sean notificados prontamente al departamento de liquidación de nómina?</t>
  </si>
  <si>
    <t>Registro de Tiempo</t>
  </si>
  <si>
    <t>1. Los registros de tiempo u otras informaciones que sirven de base para la preparación de la nómina, ¿son preparadas y llevadas independientemente de quienes intervienen en la elaboración de las mismas?</t>
  </si>
  <si>
    <t>2. Las horas extras y las bonificaciones especiales, ¿son aprobadas por empleados que supervisan las actividades pero no preparan la nómina y hacen el pago?</t>
  </si>
  <si>
    <t>3. Los registros de tiempos y/o otras novedades de nómina, ¿son reportadas oportunamente a quienes elaboran la nómina?</t>
  </si>
  <si>
    <t>Preparación y comprobación de la nómina</t>
  </si>
  <si>
    <t>1. Las personas que preparan la nómina y liquidan las prestaciones sociales, ¿tienen funciones independientes de la contratación o despido del personal?</t>
  </si>
  <si>
    <t>2. Dichas personas, ¿son independientes de las que efectúan la distribución contable de nómina y las liquidaciones de prestaciones sociales?</t>
  </si>
  <si>
    <t>3. ¿Se revisa la nómina y la liquidación de prestaciones sociales por empleados que no intervienen en su preparación, autorización y pagos?</t>
  </si>
  <si>
    <t>4. La nómina y las liquidaciones de prestaciones, ¿son aprobadas por un empleado responsable?</t>
  </si>
  <si>
    <t>5. La distribución contable de la nómina y la liquidación de las prestaciones sociales, ¿son revisadas por alguien distinto del departamento de liquidación de nómina?</t>
  </si>
  <si>
    <t>Pago de nómina y prestaciones sociales</t>
  </si>
  <si>
    <t>1. El pago de nómina, ¿se realiza en cheque o transferencia electrónica?</t>
  </si>
  <si>
    <t xml:space="preserve">2. El pago de la nómina es hecho por empleados que: </t>
  </si>
  <si>
    <t>2.1. ¿No intervienen y no controlan la preparación de las nóminas?</t>
  </si>
  <si>
    <t>2.2. ¿No son responsables por la contratación o despido del personal?</t>
  </si>
  <si>
    <t>2.3. ¿No intervienen y no controlan las liquidaciones de prestaciones sociales?</t>
  </si>
  <si>
    <t>2.4. ¿No aprueban los informes de tiempo?</t>
  </si>
  <si>
    <t>3. La cuenta bancaria de sueldos y liquidación de prestaciones sociales, ¿es conciliada regularmente por un empleado que no tenga conexión alguna con la preparación de la nómina y con el pago de la misma?</t>
  </si>
  <si>
    <t>CHEKLIST AUDITORIA</t>
  </si>
  <si>
    <t>LOGO</t>
  </si>
  <si>
    <t>Código artículo</t>
  </si>
  <si>
    <t>Nombre o referencia del artículo</t>
  </si>
  <si>
    <t>Precio</t>
  </si>
  <si>
    <t>Entradas</t>
  </si>
  <si>
    <t>Salidas</t>
  </si>
  <si>
    <t>Nota</t>
  </si>
  <si>
    <t>STOCK</t>
  </si>
  <si>
    <t>Cantidad</t>
  </si>
  <si>
    <t>Código1</t>
  </si>
  <si>
    <t>Código2</t>
  </si>
  <si>
    <t>Código3</t>
  </si>
  <si>
    <t>Código4</t>
  </si>
  <si>
    <t>Código5</t>
  </si>
  <si>
    <t>Código6</t>
  </si>
  <si>
    <t>Código7</t>
  </si>
  <si>
    <t>Código8</t>
  </si>
  <si>
    <t>Código9</t>
  </si>
  <si>
    <t>Código10</t>
  </si>
  <si>
    <t>Código11</t>
  </si>
  <si>
    <t>Código12</t>
  </si>
  <si>
    <t>Indique referencia del código</t>
  </si>
  <si>
    <t>Nombre del Artículo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</si>
  <si>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</si>
  <si>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</si>
  <si>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</si>
  <si>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</si>
  <si>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</si>
  <si>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</si>
  <si>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</si>
  <si>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</si>
  <si>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</si>
  <si>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</si>
  <si>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</si>
  <si>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</si>
  <si>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Código13</t>
  </si>
  <si>
    <t>A13</t>
  </si>
  <si>
    <t>Código14</t>
  </si>
  <si>
    <t>A14</t>
  </si>
  <si>
    <t>Código15</t>
  </si>
  <si>
    <t>A15</t>
  </si>
  <si>
    <t>Código16</t>
  </si>
  <si>
    <t>A16</t>
  </si>
  <si>
    <t>Código17</t>
  </si>
  <si>
    <t>A17</t>
  </si>
  <si>
    <t>Código18</t>
  </si>
  <si>
    <t>A18</t>
  </si>
  <si>
    <t>Código19</t>
  </si>
  <si>
    <t>A19</t>
  </si>
  <si>
    <t>Código20</t>
  </si>
  <si>
    <t>A20</t>
  </si>
  <si>
    <t xml:space="preserve">Cliente </t>
  </si>
  <si>
    <t>FACTURA</t>
  </si>
  <si>
    <t>Número de factura</t>
  </si>
  <si>
    <t>000001</t>
  </si>
  <si>
    <t>Fecha de factura</t>
  </si>
  <si>
    <t>Condiciones de pago (Días)</t>
  </si>
  <si>
    <t>Fecha de vencimiento</t>
  </si>
  <si>
    <t>Descripción</t>
  </si>
  <si>
    <t>Unidad</t>
  </si>
  <si>
    <t>Importe</t>
  </si>
  <si>
    <t>Nombre del producto</t>
  </si>
  <si>
    <t>Importe IVA</t>
  </si>
  <si>
    <t>DIRECCION CLIENTE DATOS</t>
  </si>
  <si>
    <t xml:space="preserve">Total Neto </t>
  </si>
  <si>
    <t>Total a pagar en Pesos</t>
  </si>
  <si>
    <t>NETO PARCIAL</t>
  </si>
  <si>
    <t>Empresa:</t>
  </si>
  <si>
    <t>Trabajador:</t>
  </si>
  <si>
    <t>Domicilio:</t>
  </si>
  <si>
    <t>Nº Afiliación Seguridad Social:</t>
  </si>
  <si>
    <t>CCC Seguridad Social:</t>
  </si>
  <si>
    <t>Categoría profesional:</t>
  </si>
  <si>
    <t>Grupo de cotización:</t>
  </si>
  <si>
    <t>Nº Libro Matrícula:</t>
  </si>
  <si>
    <t>Periodo de liquidación:</t>
  </si>
  <si>
    <t>De</t>
  </si>
  <si>
    <t>a</t>
  </si>
  <si>
    <t>Nº días/horas:</t>
  </si>
  <si>
    <t>I. DEVENGOS</t>
  </si>
  <si>
    <t>1. Percepciones salariales</t>
  </si>
  <si>
    <t>Salario base…………………………………………………………………………………………..………</t>
  </si>
  <si>
    <t>Complementos salariales</t>
  </si>
  <si>
    <t>…………………………………………………………………………………</t>
  </si>
  <si>
    <t>Horas extraordinarias……………………………………………………...……………………………………….</t>
  </si>
  <si>
    <t>Gratificaciones extraordinarias……………………………………………………………………………………………..</t>
  </si>
  <si>
    <t>Salario en especie………………………………………………………………………………………………………..</t>
  </si>
  <si>
    <t>2. Percepciones no salariales</t>
  </si>
  <si>
    <t>Indemnizaciones o suplidos</t>
  </si>
  <si>
    <t>…………………………………………………………..…………….</t>
  </si>
  <si>
    <t>………………………………………………………………………………..</t>
  </si>
  <si>
    <t>Prestaciones e indemnizaciones de la Seguridad Social</t>
  </si>
  <si>
    <t>…………………………………………………………………………..</t>
  </si>
  <si>
    <t>Indemnizaciones por traslados, suspensiones o despidos</t>
  </si>
  <si>
    <t>………………………………………………………………………….</t>
  </si>
  <si>
    <t>Otras percepciones no salariales</t>
  </si>
  <si>
    <t>……………………………………………………………………………</t>
  </si>
  <si>
    <t>TOTAL DEVENGADO:</t>
  </si>
  <si>
    <t>II. DEDUCCIONES</t>
  </si>
  <si>
    <t>1. Aportaciones del trabajador a las cotizaciones de la Seguridad Social y conceptos de recaudación conjunta</t>
  </si>
  <si>
    <t>Contingencias comunes……………………………………………………….…………</t>
  </si>
  <si>
    <t>……….</t>
  </si>
  <si>
    <t>Desempleo…………………………………………………………………………………………</t>
  </si>
  <si>
    <t>Formación profesional……………………………………………………………………….</t>
  </si>
  <si>
    <t>Horas extraordinarias por fuerza mayor………………………………………………………</t>
  </si>
  <si>
    <t>Otras horas extraordinarias……………………………………………………………………………</t>
  </si>
  <si>
    <t>Total aportaciones:</t>
  </si>
  <si>
    <t>2. Impuesto sobre la Renta de las Personas Físicas………………………..….</t>
  </si>
  <si>
    <t>3. Anticipos…………………………………………..………………………..……………………………………...……………..……………….</t>
  </si>
  <si>
    <t>4. Valor de los productos recibidos en especie………………………………………………………………………………</t>
  </si>
  <si>
    <t>5. Otras deducciones……………………………………………………………………………………………………………………………….</t>
  </si>
  <si>
    <t>TOTAL A DEDUCIR:</t>
  </si>
  <si>
    <t>LÍQUIDO TOTAL A PERCIBIR:</t>
  </si>
  <si>
    <t>Firma y sello de la empresa</t>
  </si>
  <si>
    <t>RECIBÍ</t>
  </si>
  <si>
    <t>DETERMINACIÓN DE LAS BASES DE COTIZACIÓN A LA SEGURIDAD SOCIAL Y CONCEPTOS DE RECAUDACIÓN CONJUNTA Y DE LA BASE SUJETA A RETENCIÓN DEL IRPF</t>
  </si>
  <si>
    <t>1. Base de cotización por contingencias comunes</t>
  </si>
  <si>
    <t>Remuneración mensual……………………………………………………………...……………..………………..</t>
  </si>
  <si>
    <t>Prorrata de pagas extraordinarias…………………………………………………………………………….</t>
  </si>
  <si>
    <t>TOTAL:</t>
  </si>
  <si>
    <t>2. Base de cotización por contingencias profesionales (AT y EP) y conceptos de recaudación conjunta (desempleo, formación profesional, Fondo de Garantía Salarial)</t>
  </si>
  <si>
    <t>……...…………………………………………………………………</t>
  </si>
  <si>
    <t>3. Base de cotización adicional por horas extraordinarias…………………………………………………………………….</t>
  </si>
  <si>
    <t>4. Base de cotización adicional por horas extraordinarias por fuerza mayor……………………………….……………………….</t>
  </si>
  <si>
    <t>5. Base sujeta a retención del IRPF……………………………….……………………………………………………………………….</t>
  </si>
  <si>
    <t>Total a  Pagar en Pesos</t>
  </si>
  <si>
    <t>NIT:</t>
  </si>
  <si>
    <t xml:space="preserve"> El horario normal diario es de  </t>
  </si>
  <si>
    <t xml:space="preserve">Nombre o referencia según relación personal </t>
  </si>
  <si>
    <t>Fecha</t>
  </si>
  <si>
    <t>Hora entrada</t>
  </si>
  <si>
    <t>inicio  descanso</t>
  </si>
  <si>
    <t>Fin descanso</t>
  </si>
  <si>
    <t>Hora salida</t>
  </si>
  <si>
    <t>Total horas trabajadas</t>
  </si>
  <si>
    <t>Total minutos trabajados</t>
  </si>
  <si>
    <t>Nombre o referencia a buscar</t>
  </si>
  <si>
    <t xml:space="preserve">Fecha inicial </t>
  </si>
  <si>
    <t>Fecha final</t>
  </si>
  <si>
    <t>Tiempo total trabajado en minutos</t>
  </si>
  <si>
    <t>Si desea más filas con las fórmulas, arrastre  hacia abajo con el ratón o copiar y pegar</t>
  </si>
  <si>
    <t>suma el tiempo trabajado de cada trabajador, según el rango de fechas deseado.</t>
  </si>
  <si>
    <t>Horas nocturnas normales</t>
  </si>
  <si>
    <t>Horas extras nocturnas</t>
  </si>
  <si>
    <t xml:space="preserve">Horas diurnas normales </t>
  </si>
  <si>
    <t xml:space="preserve">Horas extras diurnas </t>
  </si>
  <si>
    <r>
      <t xml:space="preserve">Horas </t>
    </r>
    <r>
      <rPr>
        <b/>
        <sz val="11"/>
        <rFont val="Century Gothic"/>
        <family val="2"/>
        <scheme val="minor"/>
      </rPr>
      <t>diurnas dominicales/festivo</t>
    </r>
  </si>
  <si>
    <r>
      <t xml:space="preserve">Horas </t>
    </r>
    <r>
      <rPr>
        <b/>
        <sz val="11"/>
        <rFont val="Century Gothic"/>
        <family val="2"/>
        <scheme val="minor"/>
      </rPr>
      <t>nocturnas dominicales/festivos</t>
    </r>
  </si>
  <si>
    <t>INICIO DE DIA</t>
  </si>
  <si>
    <t>FIN DE DIA</t>
  </si>
  <si>
    <t>INICIO DE NOCHE</t>
  </si>
  <si>
    <t>FIN DE NOCHE</t>
  </si>
  <si>
    <t>TIEMPO</t>
  </si>
  <si>
    <t>CheckList de Auditoría</t>
  </si>
  <si>
    <t>FESTIVOS 2018- 2019</t>
  </si>
  <si>
    <r>
      <t xml:space="preserve">Horas extras </t>
    </r>
    <r>
      <rPr>
        <b/>
        <sz val="11"/>
        <rFont val="Century Gothic"/>
        <family val="2"/>
        <scheme val="minor"/>
      </rPr>
      <t>diurnas dominicales/festivos</t>
    </r>
  </si>
  <si>
    <r>
      <t xml:space="preserve">Horas Extras </t>
    </r>
    <r>
      <rPr>
        <b/>
        <sz val="11"/>
        <rFont val="Century Gothic"/>
        <family val="2"/>
        <scheme val="minor"/>
      </rPr>
      <t>nocturnas dominicales/ festivos</t>
    </r>
  </si>
  <si>
    <t>Horas; en caso que se superen serían horas extras (dato modificable)</t>
  </si>
  <si>
    <t>El trabajador puede descansar maximo una hora dentro de su jornada laboral de 8 horas
Minimo 20 minutos de descanso</t>
  </si>
  <si>
    <t xml:space="preserve">Hora </t>
  </si>
  <si>
    <t>Jafeth Danilo Lozano Hernandez</t>
  </si>
  <si>
    <t>Sareht Samay Lozano Hernandez</t>
  </si>
  <si>
    <t xml:space="preserve">Maria Victoria Lozano Gomez </t>
  </si>
  <si>
    <t>Yulieth Estefani Hernandez Gonzales</t>
  </si>
  <si>
    <t>Danilo Lozano Moreno</t>
  </si>
  <si>
    <t>Maria Salome Pinzon Pinzon</t>
  </si>
  <si>
    <t>Maira Alejandra Pinzon Rueda</t>
  </si>
  <si>
    <t>Cristian Pinzon Rincon</t>
  </si>
  <si>
    <t xml:space="preserve">Carolina </t>
  </si>
  <si>
    <t>990220-11207</t>
  </si>
  <si>
    <t>Manuel Jesus Villamizar pineda</t>
  </si>
  <si>
    <t xml:space="preserve">Lina Tatiana Alvarez Estupiñan </t>
  </si>
  <si>
    <t>Jose Antonio Bueno Villamizar</t>
  </si>
  <si>
    <t xml:space="preserve">Dayanna </t>
  </si>
  <si>
    <t xml:space="preserve">Mario Segundo Hernandez Villamizar </t>
  </si>
  <si>
    <t>Misael Villamizar Pineda</t>
  </si>
  <si>
    <t>Yesica Juliana Navarro Villamizar</t>
  </si>
  <si>
    <t xml:space="preserve">Flor De Maria Villamizar Pineda </t>
  </si>
  <si>
    <t>Santiago Andres Gomez Barrios</t>
  </si>
  <si>
    <t>Jhon Michel Lozano Villamizar</t>
  </si>
  <si>
    <t xml:space="preserve">Matilde Barrios Diaz </t>
  </si>
  <si>
    <t>Saray Darisse Prada Sanchez</t>
  </si>
  <si>
    <t>Fernando Prada Jerez</t>
  </si>
  <si>
    <t>Daris Mabel Sanchez Guerrero</t>
  </si>
  <si>
    <t>Mariela Castañeda Ariza</t>
  </si>
  <si>
    <t>Paulina Castañeda De Moreno</t>
  </si>
  <si>
    <t>Ian Mateo Dulcey Quintero</t>
  </si>
  <si>
    <t xml:space="preserve">Oscar Francisco Dativa Dulcey </t>
  </si>
  <si>
    <t>Miguel Felipe Dulcey Velandia</t>
  </si>
  <si>
    <t>Oscar Felipe Dativa Dativa</t>
  </si>
  <si>
    <t xml:space="preserve">Maria Zaide Dulcey Velandia </t>
  </si>
  <si>
    <t>Jose Manuel Moreno Camacho</t>
  </si>
  <si>
    <t>Lorena Hernandez Moreno</t>
  </si>
  <si>
    <t xml:space="preserve">Yeimy Karolina Sanchez Moreno </t>
  </si>
  <si>
    <t>Maria Eva Camacho Torres</t>
  </si>
  <si>
    <t>Antonio Morales Suarez</t>
  </si>
  <si>
    <t>Jackeline Moreno Camacho</t>
  </si>
  <si>
    <t xml:space="preserve">Gabriela Chavez Vasquez </t>
  </si>
  <si>
    <t>Kennet David Chavez Vasquez</t>
  </si>
  <si>
    <t xml:space="preserve">Alyson Adriana Vasquez De Leon </t>
  </si>
  <si>
    <t>Eutimio Chavez Arrieta</t>
  </si>
  <si>
    <t>Sindys Paola Vasquez De Leon</t>
  </si>
  <si>
    <t>Lady Marian Peña Barbosa</t>
  </si>
  <si>
    <t>Lesly Melissa Peña Barbosa</t>
  </si>
  <si>
    <t>Sheena Paola Barbosa Ortiz</t>
  </si>
  <si>
    <t xml:space="preserve">Edwin Alexander Peña Diaz </t>
  </si>
  <si>
    <t xml:space="preserve">Jhoan Sneider Jurado Peña  </t>
  </si>
  <si>
    <t>Mario Yesid Jurado Peña</t>
  </si>
  <si>
    <t>Juan Antonio Jurado Gonzales</t>
  </si>
  <si>
    <t xml:space="preserve">July Helena Peña Diaz </t>
  </si>
  <si>
    <t>Maria Ninfa Diaz Criado</t>
  </si>
  <si>
    <t>Jose Alexander Vargas Diaz</t>
  </si>
  <si>
    <t>Yoly Xiomara Mendoza Perez</t>
  </si>
  <si>
    <t xml:space="preserve">Juan Camilo Atuesta Bueno </t>
  </si>
  <si>
    <t xml:space="preserve">Claudia Juliana Bueno Ramirez </t>
  </si>
  <si>
    <t>Luis Francisco Atuesta Calderon</t>
  </si>
  <si>
    <t>Karol Dayana Palacio Suarez</t>
  </si>
  <si>
    <t xml:space="preserve">Amparo Ayala Cuadrado </t>
  </si>
  <si>
    <t>Santiago Orozco Gomez</t>
  </si>
  <si>
    <t>Sebastian Orozco Gomez</t>
  </si>
  <si>
    <t xml:space="preserve">Stephany Carolina Orozco Gomez  </t>
  </si>
  <si>
    <t xml:space="preserve">Claudia Juliana Gomez Gomez </t>
  </si>
  <si>
    <t>Gonzalo Pinilla Cuevas</t>
  </si>
  <si>
    <t xml:space="preserve">Raquel Cuevas Pinzon </t>
  </si>
  <si>
    <t>Juan Diego Rodriguez Florez</t>
  </si>
  <si>
    <t>Juan Pablo Rodriguez Martinez</t>
  </si>
  <si>
    <t>Ginna Liseth Florez Yanes</t>
  </si>
  <si>
    <t xml:space="preserve">Einer Adanies Mendoza Baron </t>
  </si>
  <si>
    <t>Jhon Edinson Mendoza Baron</t>
  </si>
  <si>
    <t xml:space="preserve">Angie Daniela Garcia Bernal </t>
  </si>
  <si>
    <t xml:space="preserve">Diego Leonardo Garcia Bernal </t>
  </si>
  <si>
    <t>Luz Dary Garcia Bernal</t>
  </si>
  <si>
    <t>Leonidas Garcia Rodriguez</t>
  </si>
  <si>
    <t>Meri Bernal Villabona</t>
  </si>
  <si>
    <t>Emmanuel Gamboa Montañez</t>
  </si>
  <si>
    <t>Karoll Nathalia Gamboa Montañez</t>
  </si>
  <si>
    <t>Manuel Gamboa Garces</t>
  </si>
  <si>
    <t xml:space="preserve">Damaris Montañez Mariño </t>
  </si>
  <si>
    <t>Santiago Garcia Martinez</t>
  </si>
  <si>
    <t>Maria Fernanda Martinez Godoy</t>
  </si>
  <si>
    <t xml:space="preserve">Ivan Dario Garcia Perez </t>
  </si>
  <si>
    <t>Angel De Jesus Olaya Bermudez</t>
  </si>
  <si>
    <t>Adelaida Vasquez</t>
  </si>
  <si>
    <t>Breiner Santiago Parada Guerrero</t>
  </si>
  <si>
    <t>Sharit Alexandra Parada Guerrero</t>
  </si>
  <si>
    <t>Elcy Parada Guerrero</t>
  </si>
  <si>
    <t>Wenceslao Rodriguez Castro</t>
  </si>
  <si>
    <t>Amanda Alvares Roa</t>
  </si>
  <si>
    <t>Hermes Sanabria Higuera</t>
  </si>
  <si>
    <t>Jhon Andry Joya Garcia</t>
  </si>
  <si>
    <t xml:space="preserve">Marly Vanesa Joya Lozada </t>
  </si>
  <si>
    <t xml:space="preserve">Nathalia Joya Lozada </t>
  </si>
  <si>
    <t xml:space="preserve">Alexander Joya Rojas </t>
  </si>
  <si>
    <t>Joan Sebastian Joya Rojas</t>
  </si>
  <si>
    <t xml:space="preserve">Nelson Joya Moreno </t>
  </si>
  <si>
    <t>Luz Elena Rojas Niño</t>
  </si>
  <si>
    <t xml:space="preserve">Maria Helena Niño Leon </t>
  </si>
  <si>
    <t xml:space="preserve">Juan De Jesus Joya Bueno </t>
  </si>
  <si>
    <t>Arley Santiago Guerrera Naranjo</t>
  </si>
  <si>
    <t>Juan Ricardo Blanco Naranjo</t>
  </si>
  <si>
    <t>Neider Alexander Poveda Naranjo</t>
  </si>
  <si>
    <t xml:space="preserve">Ana Milenia Naranjo Pinilla </t>
  </si>
  <si>
    <t>Arnulfo Hernandez Diaz</t>
  </si>
  <si>
    <t>Jesus David Carreño Rojas</t>
  </si>
  <si>
    <t>Karen Lorena Joya Herrera</t>
  </si>
  <si>
    <t>Brayan Stiven Joya Herrera</t>
  </si>
  <si>
    <t>Silvia Fernanda Joya Herrera</t>
  </si>
  <si>
    <t xml:space="preserve">Richar Joya Moreno </t>
  </si>
  <si>
    <t xml:space="preserve">Ana Celia Rojas </t>
  </si>
  <si>
    <t>David Carreño Mora</t>
  </si>
  <si>
    <t>Fernando Lizarazo Sanchez</t>
  </si>
  <si>
    <t>Edward Yesid Lizarazo Sanchez</t>
  </si>
  <si>
    <t>Lizeth Paola Sanchez Ortiz</t>
  </si>
  <si>
    <t>Edward Fernando Lizarazo Garcia</t>
  </si>
  <si>
    <t>Claudia Camila Celis Martinez</t>
  </si>
  <si>
    <t>Elian Enrique Camacho Martinez</t>
  </si>
  <si>
    <t>Lency Yuranny Caceres Martinez</t>
  </si>
  <si>
    <t>Pedro Celis Leon</t>
  </si>
  <si>
    <t>Claudia Liliana Martinez Motta</t>
  </si>
  <si>
    <t>Angela Mariana Jimenez Martinez</t>
  </si>
  <si>
    <t xml:space="preserve">Brayan Andres Jimenez Martinez </t>
  </si>
  <si>
    <t xml:space="preserve">Andrea Valentina Jimenez Martinez </t>
  </si>
  <si>
    <t>Maria Paola Rodriguez Martinez</t>
  </si>
  <si>
    <t xml:space="preserve">Andres Fernando Jimenez Rincon </t>
  </si>
  <si>
    <t>Luz Angela Martinez Villamizar</t>
  </si>
  <si>
    <t>Paula Sofia Prada Leon</t>
  </si>
  <si>
    <t>Ghann Poull Stifen Prada Leon</t>
  </si>
  <si>
    <t>Audrey Jesenia Rodriguez Leon</t>
  </si>
  <si>
    <t>Zary Jineth Rodriguez Leon</t>
  </si>
  <si>
    <t>Sara Isabel Leon Porras</t>
  </si>
  <si>
    <t xml:space="preserve">Sneider Felipe Jaimes Trigos </t>
  </si>
  <si>
    <t>Keiner Andres Jaimes Trigos</t>
  </si>
  <si>
    <t>Heider Santiago Jaimes Trigos</t>
  </si>
  <si>
    <t>Maryeth Trigos Perez</t>
  </si>
  <si>
    <t>John Heider Jaimes Herrera</t>
  </si>
  <si>
    <t>Ronal Andres Almeyda Peña</t>
  </si>
  <si>
    <t xml:space="preserve">Cristobal Almeyda Suarez </t>
  </si>
  <si>
    <t xml:space="preserve">Yoreima Peña Ospino </t>
  </si>
  <si>
    <t xml:space="preserve">Jorge Enrique Peña Rincon </t>
  </si>
  <si>
    <t xml:space="preserve">Eladine Esther Ospino Lozano </t>
  </si>
  <si>
    <t>Dayela Michell Peña Santiago</t>
  </si>
  <si>
    <t>Dairo Peña Ospino</t>
  </si>
  <si>
    <t>Lina Marcela Santiago Perea</t>
  </si>
  <si>
    <t>Mayra Alejandra Castillo Galvis</t>
  </si>
  <si>
    <t>Diego Oswaldo Rojas Rios</t>
  </si>
  <si>
    <t>Jose Angel Guerra Carcamo</t>
  </si>
  <si>
    <t>Alvaro Alfonso Carcamo Ochoa</t>
  </si>
  <si>
    <t>Edith Carcamo Ochoa</t>
  </si>
  <si>
    <t>Pamela Julieth Pinzon Sierra</t>
  </si>
  <si>
    <t>Juan Pablo Jimenez Sierra</t>
  </si>
  <si>
    <t>Horacio Pinzon Muñoz</t>
  </si>
  <si>
    <t>Nuris Maria Sierra Chaverra</t>
  </si>
  <si>
    <t>Anderson Felipe Murillo Salazar</t>
  </si>
  <si>
    <t>Nini Johanna Salazar Rodriguez</t>
  </si>
  <si>
    <t>Medardo Murillo Diaz</t>
  </si>
  <si>
    <t>Alexis Ortiz Castilla</t>
  </si>
  <si>
    <t xml:space="preserve">Yeraldine Andrea Ortiz Castilla </t>
  </si>
  <si>
    <t>Ximena Alexandra Ortiz Castilla</t>
  </si>
  <si>
    <t>Fany Luz Castilla Gomez</t>
  </si>
  <si>
    <t>Karen Yuliana Ariza Murillo</t>
  </si>
  <si>
    <t xml:space="preserve">Zoraida Murillo Diaz </t>
  </si>
  <si>
    <t>Karen Juliana Suarez Mendieta</t>
  </si>
  <si>
    <t>Lizbeth Dayana Suarez Mendieta</t>
  </si>
  <si>
    <t>Johan Manuel Gomez Romero</t>
  </si>
  <si>
    <t>Hector Gomez Vargas</t>
  </si>
  <si>
    <t xml:space="preserve">Jeferson Stiven Carreño Valencia </t>
  </si>
  <si>
    <t>Jonathan Carreño Coronado</t>
  </si>
  <si>
    <t>Ricardo Carreño Coronado</t>
  </si>
  <si>
    <t>Ariel Carreño Badillo</t>
  </si>
  <si>
    <t>Nohemi Coronado Rios</t>
  </si>
  <si>
    <t>Josue David Trigo Santana</t>
  </si>
  <si>
    <t>Yeison Reyes Trigo</t>
  </si>
  <si>
    <t>Wilmar Reyes Trigo</t>
  </si>
  <si>
    <t>Estid Manuel Reyes Trigo</t>
  </si>
  <si>
    <t xml:space="preserve">Laid Trigo Santana </t>
  </si>
  <si>
    <t>Lina Maria Jaimes Herrera</t>
  </si>
  <si>
    <t xml:space="preserve">Julio Jaimes Carvajal </t>
  </si>
  <si>
    <t xml:space="preserve">Myriam Herrera Castillo </t>
  </si>
  <si>
    <t>Liseth Yuliana Marin Garcia</t>
  </si>
  <si>
    <t>990314-09728</t>
  </si>
  <si>
    <t>Paola Andrea Marin Garcia</t>
  </si>
  <si>
    <t>Gloria Amparo Garcia Henao</t>
  </si>
  <si>
    <t>Dairo Antonio Marin Galeano</t>
  </si>
  <si>
    <t>Hermelinda Naranjo Vesga</t>
  </si>
  <si>
    <t>Omaira Prada Duarte</t>
  </si>
  <si>
    <t>Luis Alberto Rodriguez Castro</t>
  </si>
  <si>
    <t>Jose Abel Rodriguez</t>
  </si>
  <si>
    <t xml:space="preserve">Nelcy Castro Caceres </t>
  </si>
  <si>
    <t>Sara Porras Carvajal</t>
  </si>
  <si>
    <t xml:space="preserve">Jeidi Yulied Niño Galan </t>
  </si>
  <si>
    <t>Sandra Milena Galan Guerrero</t>
  </si>
  <si>
    <t xml:space="preserve">Yurley Angelica Aguilar Moncada </t>
  </si>
  <si>
    <t>Leidi Mercedez Aguilar Moncada</t>
  </si>
  <si>
    <t xml:space="preserve">Diana Marcela Aguilar Moncada </t>
  </si>
  <si>
    <t>Maria Alejandra Aguilar Moncada</t>
  </si>
  <si>
    <t>Ana Daynnelis Angarita Robles</t>
  </si>
  <si>
    <t xml:space="preserve">Luis Ricardo Aguilar Vasquez </t>
  </si>
  <si>
    <t>Maiker Esteban Niño Nuñez</t>
  </si>
  <si>
    <t xml:space="preserve">Danny Fabian Suarez Nuñez </t>
  </si>
  <si>
    <t>Maryuri Fernanda Cala Nuñez</t>
  </si>
  <si>
    <t>Maria Teresa Niño Nuñez</t>
  </si>
  <si>
    <t>Duber Calet Niño Nuñez</t>
  </si>
  <si>
    <t>Doris Nuñez Gamboa</t>
  </si>
  <si>
    <t xml:space="preserve">Carlos Suarez Hernandez </t>
  </si>
  <si>
    <t>Martha Isabel Nuñez Gamboa</t>
  </si>
  <si>
    <t>Michel Sofia Niño Ospina</t>
  </si>
  <si>
    <t xml:space="preserve">Yoselin Vanessa Gomez Ospina </t>
  </si>
  <si>
    <t>Yaira Lizeth Ospina Moreno</t>
  </si>
  <si>
    <t>Epifanio Andres Niño Nuñez</t>
  </si>
  <si>
    <t>Nicol Dayana Ardila Restrepo</t>
  </si>
  <si>
    <t>Kevin Andres Ardila Restrepo</t>
  </si>
  <si>
    <t>Carlos Fabian Ardila Restrepo</t>
  </si>
  <si>
    <t>Elkin Alexander Ardila Restrepo</t>
  </si>
  <si>
    <t>Brayan Hernando Ardila Restrepo</t>
  </si>
  <si>
    <t>Humberto Ardila Salazar</t>
  </si>
  <si>
    <t>Oscar Mauricio Rodriguez Baron</t>
  </si>
  <si>
    <t xml:space="preserve">Nicolas Fernando Diaz Baron </t>
  </si>
  <si>
    <t>Karen Tatiana Perez Baron</t>
  </si>
  <si>
    <t xml:space="preserve">Monica Baron Garcia </t>
  </si>
  <si>
    <t>Mariana Gomez Lopez</t>
  </si>
  <si>
    <t xml:space="preserve">Yolanda Lopez Pimiento </t>
  </si>
  <si>
    <t>Josue Gomez Alvarez</t>
  </si>
  <si>
    <t>Jefferzhon Gaddiel Delgado Solano</t>
  </si>
  <si>
    <t>Juan Sebastian Parra Solano</t>
  </si>
  <si>
    <t>Jefferson Dario Delgado Delgado</t>
  </si>
  <si>
    <t xml:space="preserve">Claudia Patricia Solano Gomez </t>
  </si>
  <si>
    <t>Levinson Moroni Arango Mazo</t>
  </si>
  <si>
    <t>Yamilton Eliuth Arango Mazo</t>
  </si>
  <si>
    <t>Wilbor Alexis Arango Mazo</t>
  </si>
  <si>
    <t>Darwin Sebastian Mazo Muñeton</t>
  </si>
  <si>
    <t>Diana Maria Mazo Muñeton</t>
  </si>
  <si>
    <t>Darly Vannesa Fuentes Caceres</t>
  </si>
  <si>
    <t>Paula Natalia Fuentes Caceres</t>
  </si>
  <si>
    <t>Manuel Alexis Fuentes Caceres</t>
  </si>
  <si>
    <t>Martin Fuentes Delgado</t>
  </si>
  <si>
    <t>Nelly Esperanza Caceres Santos</t>
  </si>
  <si>
    <t>Carol Yisel Arias Lopez</t>
  </si>
  <si>
    <t>William Paez Paez</t>
  </si>
  <si>
    <t>Karen Yuliana Galvis Paez</t>
  </si>
  <si>
    <t>Elida Paez Rojas</t>
  </si>
  <si>
    <t>Darlyn Gisseth Ardila Santamaria</t>
  </si>
  <si>
    <t>Harold Dayan Ardila Santamaria</t>
  </si>
  <si>
    <t>Betsy Juliana Ardila Santamaria</t>
  </si>
  <si>
    <t>Thania Karine Ardila Santamaria</t>
  </si>
  <si>
    <t>Sandra Rocio Santamaria Gamboa</t>
  </si>
  <si>
    <t>Marin Ardila Rivera</t>
  </si>
  <si>
    <t>Juan David Uribe Ferreira</t>
  </si>
  <si>
    <t>Daniela Fernanda Flores Uribe</t>
  </si>
  <si>
    <t>Silvia Juliana Uribe Ferreira</t>
  </si>
  <si>
    <t>Norberto Uribe</t>
  </si>
  <si>
    <t>Mercedes Ropero De Galvis</t>
  </si>
  <si>
    <t>Jaime Alexander Galvis Ropero</t>
  </si>
  <si>
    <t>Johan Sebastian Surmay Lozano</t>
  </si>
  <si>
    <t>Jenifer Lozano Rodriguez</t>
  </si>
  <si>
    <t>Presentacion Surmay Suarez</t>
  </si>
  <si>
    <t>DELUXE</t>
  </si>
  <si>
    <t>GOLD</t>
  </si>
  <si>
    <t>SILVER</t>
  </si>
  <si>
    <t>PREMIUM</t>
  </si>
  <si>
    <t>NOMBRES Y APELLIDOS</t>
  </si>
  <si>
    <t>TIPOS DE PRODUCTO</t>
  </si>
  <si>
    <t>BASE DE DATOS COACHING HUMAN TALENT</t>
  </si>
  <si>
    <t>PORTATIL HP 14</t>
  </si>
  <si>
    <t>Artículo 1</t>
  </si>
  <si>
    <t>IN0001</t>
  </si>
  <si>
    <t>NO</t>
  </si>
  <si>
    <t>CAJA DE ARCHIVO</t>
  </si>
  <si>
    <t>Artículo 17</t>
  </si>
  <si>
    <t>IN0017</t>
  </si>
  <si>
    <t>CARPETA LEGAJADORA</t>
  </si>
  <si>
    <t>Artículo 2</t>
  </si>
  <si>
    <t>IN0002</t>
  </si>
  <si>
    <t>CARPETA PLASTIFICADA</t>
  </si>
  <si>
    <t>Artículo 16</t>
  </si>
  <si>
    <t>IN0016</t>
  </si>
  <si>
    <t>CARPETA BLANCA</t>
  </si>
  <si>
    <t>Artículo 19</t>
  </si>
  <si>
    <t>IN0019</t>
  </si>
  <si>
    <t>CARPETA MARRON</t>
  </si>
  <si>
    <t>Artículo 24</t>
  </si>
  <si>
    <t>IN0024</t>
  </si>
  <si>
    <t>PROYECTOR</t>
  </si>
  <si>
    <t>Artículo 5</t>
  </si>
  <si>
    <t>IN0005</t>
  </si>
  <si>
    <t xml:space="preserve">PANEL </t>
  </si>
  <si>
    <t>Artículo 11</t>
  </si>
  <si>
    <t>IN0011</t>
  </si>
  <si>
    <t>VIDEO VIN DELUX</t>
  </si>
  <si>
    <t>Artículo 9</t>
  </si>
  <si>
    <t>IN0009</t>
  </si>
  <si>
    <t>VIDEO VIN</t>
  </si>
  <si>
    <t>Artículo 3</t>
  </si>
  <si>
    <t>IN0003</t>
  </si>
  <si>
    <t>SILLAS</t>
  </si>
  <si>
    <t>Artículo 7</t>
  </si>
  <si>
    <t>IN0007</t>
  </si>
  <si>
    <t>MESAS ESTANDAR</t>
  </si>
  <si>
    <t>Artículo 10</t>
  </si>
  <si>
    <t>IN0010</t>
  </si>
  <si>
    <t>PORTATIL MINI</t>
  </si>
  <si>
    <t>Artículo 14</t>
  </si>
  <si>
    <t>IN0014</t>
  </si>
  <si>
    <t xml:space="preserve">COMPUTADOR DE MESA </t>
  </si>
  <si>
    <t>Artículo 8</t>
  </si>
  <si>
    <t>IN0008</t>
  </si>
  <si>
    <t>ESTANTES</t>
  </si>
  <si>
    <t>Artículo 15</t>
  </si>
  <si>
    <t>IN0015</t>
  </si>
  <si>
    <t>A -ZETAS</t>
  </si>
  <si>
    <t>Artículo 23</t>
  </si>
  <si>
    <t>IN0023</t>
  </si>
  <si>
    <t>RESMAS OFICIO</t>
  </si>
  <si>
    <t>Artículo 13</t>
  </si>
  <si>
    <t>IN0013</t>
  </si>
  <si>
    <t>RESMAS CARTA</t>
  </si>
  <si>
    <t>Artículo 22</t>
  </si>
  <si>
    <t>IN0022</t>
  </si>
  <si>
    <t>MARCADOR TABLERO</t>
  </si>
  <si>
    <t>Artículo 21</t>
  </si>
  <si>
    <t>IN0021</t>
  </si>
  <si>
    <t>MARCADORES</t>
  </si>
  <si>
    <t>Artículo 4</t>
  </si>
  <si>
    <t>IN0004</t>
  </si>
  <si>
    <t>SACAPUNTAS</t>
  </si>
  <si>
    <t>Artículo 12</t>
  </si>
  <si>
    <t>IN0012</t>
  </si>
  <si>
    <t>CORRECTOR</t>
  </si>
  <si>
    <t>Artículo 20</t>
  </si>
  <si>
    <t>IN0020</t>
  </si>
  <si>
    <t>LAPIZ</t>
  </si>
  <si>
    <t>Artículo 25</t>
  </si>
  <si>
    <t>IN0025</t>
  </si>
  <si>
    <t>MINAS</t>
  </si>
  <si>
    <t>Artículo 18</t>
  </si>
  <si>
    <t>IN0018</t>
  </si>
  <si>
    <t>LAPICEROS</t>
  </si>
  <si>
    <t>Artículo 6</t>
  </si>
  <si>
    <t>IN0006</t>
  </si>
  <si>
    <t>EN STOCK</t>
  </si>
  <si>
    <t>Cantidad del nuevo pedido</t>
  </si>
  <si>
    <t>Tiempo del nuevo pedido en días</t>
  </si>
  <si>
    <t>Nivel del nuevo pedido</t>
  </si>
  <si>
    <t>Valor de inventario</t>
  </si>
  <si>
    <t>Cantidad en existencias</t>
  </si>
  <si>
    <t>PRECIO VALOR</t>
  </si>
  <si>
    <t>Nombre</t>
  </si>
  <si>
    <t>Identificador de inventario</t>
  </si>
  <si>
    <t>Artículos marcados que van a volver a pedirse</t>
  </si>
  <si>
    <t xml:space="preserve">             LISTA DE INVENTARIO COACHING HUMAN TALENT</t>
  </si>
  <si>
    <t>COSTOS DELUXE</t>
  </si>
  <si>
    <t>COSTOS GOLD</t>
  </si>
  <si>
    <t>COSTOS SILVER</t>
  </si>
  <si>
    <t>COSTOS PREMIUM</t>
  </si>
  <si>
    <t>VALOR NETO</t>
  </si>
  <si>
    <t>SERVICIOS</t>
  </si>
  <si>
    <t>TECNOLOGIA</t>
  </si>
  <si>
    <t>IMSUMOS PARA ARCHIVO</t>
  </si>
  <si>
    <t>FORMATOS PARA ESTADISTICA</t>
  </si>
  <si>
    <t>PAQUETES CONTABLES</t>
  </si>
  <si>
    <t>TIEMPO DE SERVICIO</t>
  </si>
  <si>
    <t>ALQUILER VIDEOBEAN</t>
  </si>
  <si>
    <t>TRANSPORTE</t>
  </si>
  <si>
    <t>EQUIPOS DE INVESTIGACION</t>
  </si>
  <si>
    <t>PERSONAL</t>
  </si>
  <si>
    <t xml:space="preserve"> EVALUACION DEL PERSONAL</t>
  </si>
  <si>
    <t xml:space="preserve"> ESTUDIO DE CONFIABILIDAD</t>
  </si>
  <si>
    <t>MATERIALES</t>
  </si>
  <si>
    <t xml:space="preserve">PRODUCTO </t>
  </si>
  <si>
    <t>Graficos</t>
  </si>
  <si>
    <t xml:space="preserve">Ejercicio 2 </t>
  </si>
  <si>
    <t>Importe a Pagar</t>
  </si>
  <si>
    <t>SubTotal</t>
  </si>
  <si>
    <t>Descuento</t>
  </si>
  <si>
    <t>BUSO</t>
  </si>
  <si>
    <t>CORREA</t>
  </si>
  <si>
    <t>ZAPATO</t>
  </si>
  <si>
    <t>BOLSO</t>
  </si>
  <si>
    <t>GORRA</t>
  </si>
  <si>
    <t>MEDIAS</t>
  </si>
  <si>
    <t>JEAN</t>
  </si>
  <si>
    <t>PANTALON</t>
  </si>
  <si>
    <t>CAMISA</t>
  </si>
  <si>
    <t>NETO A COBRAR</t>
  </si>
  <si>
    <t>IVA
21%</t>
  </si>
  <si>
    <t>Total</t>
  </si>
  <si>
    <t>Precio
costo</t>
  </si>
  <si>
    <t>Detalle</t>
  </si>
  <si>
    <t>Codigo</t>
  </si>
  <si>
    <t>Factura n°</t>
  </si>
  <si>
    <t>Facturas</t>
  </si>
  <si>
    <t>Ejercicio 2</t>
  </si>
  <si>
    <t>Margen del mes</t>
  </si>
  <si>
    <t>costo variable</t>
  </si>
  <si>
    <t>costo fijo</t>
  </si>
  <si>
    <t>ventas</t>
  </si>
  <si>
    <t>Coef Ajuste</t>
  </si>
  <si>
    <t>PRESUPUESTO DE VENTAS</t>
  </si>
  <si>
    <t>EJERCICIO 1</t>
  </si>
  <si>
    <t>Horas de descanso
MAX</t>
  </si>
  <si>
    <t>Total Horas/Minutos T. - Descanso</t>
  </si>
  <si>
    <t>NOCHE</t>
  </si>
  <si>
    <t>DIA</t>
  </si>
  <si>
    <t>Horas DIURNAS normales trabajadas (h:mm)</t>
  </si>
  <si>
    <t xml:space="preserve">Horas NOCTURNAS
normales
trabajadas
</t>
  </si>
  <si>
    <t>Horas DIURNAS
extras trabajadas</t>
  </si>
  <si>
    <t xml:space="preserve">Horas NOCTURNAS extras trabajadas </t>
  </si>
  <si>
    <t>Horas DOMINGO/FESTIVO DIURNO
normales trabajadas</t>
  </si>
  <si>
    <t>Horas DOMINGO/FESTIVO NOCTURNO normales trabajadas</t>
  </si>
  <si>
    <r>
      <t>Total tiempo trabajado</t>
    </r>
    <r>
      <rPr>
        <sz val="11"/>
        <rFont val="Century Gothic"/>
        <family val="2"/>
        <scheme val="minor"/>
      </rPr>
      <t xml:space="preserve"> </t>
    </r>
    <r>
      <rPr>
        <b/>
        <sz val="14"/>
        <rFont val="Century Gothic"/>
        <family val="2"/>
        <scheme val="minor"/>
      </rPr>
      <t>MENSUAL</t>
    </r>
  </si>
  <si>
    <t>Horas DOMINGO/FESTIVO DIURNO
extras trabajadas</t>
  </si>
  <si>
    <t>Horas DOMINGO/FESTIVO 
NOCTURNO
extras trabajadas</t>
  </si>
  <si>
    <t>EJECUTAR MACRO
Ctrl+J</t>
  </si>
  <si>
    <t>CONFIGURACION
DE
 LISTA</t>
  </si>
  <si>
    <t>C</t>
  </si>
  <si>
    <t>PERZONALIZADO</t>
  </si>
  <si>
    <t>Departamento</t>
  </si>
  <si>
    <t>COLABORADOR</t>
  </si>
  <si>
    <t>Referencia</t>
  </si>
  <si>
    <t>VALOR ANUAL DE HORAS LABORADAS</t>
  </si>
  <si>
    <t>HORAS/DIA</t>
  </si>
  <si>
    <t>DIAS</t>
  </si>
  <si>
    <t>SEMANAS</t>
  </si>
  <si>
    <t>MINUTOS</t>
  </si>
  <si>
    <t>TABLA DE RELACIONES</t>
  </si>
  <si>
    <r>
      <t xml:space="preserve">MINUTOS MINIMOS PARA 
CUMPLIMIENTO 
DE
 </t>
    </r>
    <r>
      <rPr>
        <u/>
        <sz val="11"/>
        <color theme="1"/>
        <rFont val="Century Gothic"/>
        <family val="2"/>
        <scheme val="minor"/>
      </rPr>
      <t>30 DIAS LABORADOS</t>
    </r>
  </si>
  <si>
    <t>Valor normal 
 sueldo DIURNO x minuto</t>
  </si>
  <si>
    <t>Valor normal 
 sueldo NOCTURNO x minuto</t>
  </si>
  <si>
    <t>Valor EXTRAS 
 sueldo DIURNO x minuto</t>
  </si>
  <si>
    <t>Valor EXTRAS 
 sueldo NOCTURNO x minuto</t>
  </si>
  <si>
    <t>Valor NORMAL 
 sueldo 
NOCTURNODOMINICALES/FESTIVO x minuto</t>
  </si>
  <si>
    <t>Valor NORMAL 
 sueldo
DIURNO DOMINICALES/FESTIVO x minuto</t>
  </si>
  <si>
    <t>Valor EXTRAS 
 sueldo
DIURNO DOMINICALES/FESTIVO x minuto</t>
  </si>
  <si>
    <t>Valor EXTRAS
 sueldo 
NOCTURNODOMINICALES/FESTIVO x minuto</t>
  </si>
  <si>
    <t xml:space="preserve">VALORES DE MINUTOS X SUELDO </t>
  </si>
  <si>
    <t>RELACION DE DIAS AUSENTES</t>
  </si>
  <si>
    <t>MINUTOS EXTRAS/TOTAL</t>
  </si>
  <si>
    <t xml:space="preserve">MINUTOS NORMALES LABORADOS
</t>
  </si>
  <si>
    <t>Tiempo total extra trabajado en minutos</t>
  </si>
  <si>
    <t>EJECUTAR
MACRO
Ctrl+shift+L</t>
  </si>
  <si>
    <t>(Todas)</t>
  </si>
  <si>
    <t>Etiquetas de fila</t>
  </si>
  <si>
    <t>Total general</t>
  </si>
  <si>
    <t>Suma de TOTAL</t>
  </si>
  <si>
    <t>Suma de SALUD EMPLEADOR</t>
  </si>
  <si>
    <t>Suma de PENSION EMPLEADOR</t>
  </si>
  <si>
    <t>Cuenta de AUX TRANSP</t>
  </si>
  <si>
    <t>TOTAL VENTAS POR CLIENTE 
ANUAL</t>
  </si>
  <si>
    <t>TOTAL
CATEGORIA</t>
  </si>
  <si>
    <t>CIF:</t>
  </si>
  <si>
    <t>SALUD (8,5%)</t>
  </si>
  <si>
    <t>PENSION (12,5%)</t>
  </si>
  <si>
    <t>APROPIACIONES</t>
  </si>
  <si>
    <t>SUELDO BASICO</t>
  </si>
  <si>
    <t>PARAFISCALES</t>
  </si>
  <si>
    <t>DIGITOS</t>
  </si>
  <si>
    <t>DEVENGADO</t>
  </si>
  <si>
    <t>ARL</t>
  </si>
  <si>
    <t>PRESTACIONES
SOCIALES</t>
  </si>
  <si>
    <t>APORTES ICBF,
SENA
Y
CAJA DE COMPENSACION</t>
  </si>
  <si>
    <t>CESANTIAS
e
INTERESES CESANTIAS</t>
  </si>
  <si>
    <t>MODELO DE CONTROL DE INVENTARIO</t>
  </si>
  <si>
    <t>Somos entrenadores del Talento Humano</t>
  </si>
  <si>
    <t>Bucaramanga-Santander Crra 30#18-15</t>
  </si>
  <si>
    <t>MINIMO</t>
  </si>
  <si>
    <t>MAXIMO</t>
  </si>
  <si>
    <t>TOTALES</t>
  </si>
  <si>
    <t>M</t>
  </si>
  <si>
    <t>Juan Gonzalez</t>
  </si>
  <si>
    <t>F</t>
  </si>
  <si>
    <t>Lorena Martin</t>
  </si>
  <si>
    <t>Ricardo Arias</t>
  </si>
  <si>
    <t>Juan rivas</t>
  </si>
  <si>
    <t>Marcelo Jimenez</t>
  </si>
  <si>
    <t>Maria Martinez</t>
  </si>
  <si>
    <t>Ana Gomez</t>
  </si>
  <si>
    <t>Maria Lopez</t>
  </si>
  <si>
    <t>Jose perez</t>
  </si>
  <si>
    <t>Juan Gomez</t>
  </si>
  <si>
    <t xml:space="preserve">sexo </t>
  </si>
  <si>
    <t>Cargo</t>
  </si>
  <si>
    <t>Liquido</t>
  </si>
  <si>
    <t>Total Aportes</t>
  </si>
  <si>
    <t>Aportes O. Social</t>
  </si>
  <si>
    <t>Aportes Jubilat</t>
  </si>
  <si>
    <t>Total Remun</t>
  </si>
  <si>
    <t>bono</t>
  </si>
  <si>
    <t>antig</t>
  </si>
  <si>
    <t>sexo</t>
  </si>
  <si>
    <t xml:space="preserve">Sueldo Basico
</t>
  </si>
  <si>
    <t>Categoria</t>
  </si>
  <si>
    <t>Años Antig</t>
  </si>
  <si>
    <t>LIQUIDACION DE SUELDOS</t>
  </si>
  <si>
    <t>Capataz</t>
  </si>
  <si>
    <t>Oficial Princ.</t>
  </si>
  <si>
    <t>Oficial</t>
  </si>
  <si>
    <t>Medio Oficial</t>
  </si>
  <si>
    <t>AntiMayor</t>
  </si>
  <si>
    <t>Peon</t>
  </si>
  <si>
    <t>AntiMenor</t>
  </si>
  <si>
    <t>Basicos</t>
  </si>
  <si>
    <t>TOTAL COBROS POR TIPO</t>
  </si>
  <si>
    <t>Promedio</t>
  </si>
  <si>
    <t>Minimo</t>
  </si>
  <si>
    <t>Maximo</t>
  </si>
  <si>
    <t>Totales</t>
  </si>
  <si>
    <t>RESERVA MANT</t>
  </si>
  <si>
    <t>SUBTOTAL</t>
  </si>
  <si>
    <t>REPARACI</t>
  </si>
  <si>
    <t>IMPUESTOS</t>
  </si>
  <si>
    <t>PORTERIA</t>
  </si>
  <si>
    <t>LUZ</t>
  </si>
  <si>
    <t>IMPORTE GAS</t>
  </si>
  <si>
    <t>CONSUMO GAS</t>
  </si>
  <si>
    <t>SUPERFICIE</t>
  </si>
  <si>
    <t>AUTOFORMATO</t>
  </si>
  <si>
    <t>CODD</t>
  </si>
  <si>
    <t>CODC</t>
  </si>
  <si>
    <t>CODB</t>
  </si>
  <si>
    <t xml:space="preserve">CODA </t>
  </si>
  <si>
    <t>NM90</t>
  </si>
  <si>
    <t>DC34</t>
  </si>
  <si>
    <t>ABCD</t>
  </si>
  <si>
    <t>A123</t>
  </si>
  <si>
    <t>Accion</t>
  </si>
  <si>
    <t>Stock Minimo</t>
  </si>
  <si>
    <t>Existencia al final del mes</t>
  </si>
  <si>
    <t>Cantidad vendida</t>
  </si>
  <si>
    <t>Existencia al inicio del mes</t>
  </si>
  <si>
    <t>Productos</t>
  </si>
  <si>
    <t>CUADRO 1.</t>
  </si>
  <si>
    <t>EC</t>
  </si>
  <si>
    <t>Domingo</t>
  </si>
  <si>
    <t>Chacon</t>
  </si>
  <si>
    <t>9.62</t>
  </si>
  <si>
    <t>Carrillo</t>
  </si>
  <si>
    <t>13.55</t>
  </si>
  <si>
    <t>EA</t>
  </si>
  <si>
    <t>Antonio</t>
  </si>
  <si>
    <t>Cabrera</t>
  </si>
  <si>
    <t>15.79</t>
  </si>
  <si>
    <t>Isabel</t>
  </si>
  <si>
    <t>Barrios</t>
  </si>
  <si>
    <t>14.50</t>
  </si>
  <si>
    <t>Benito</t>
  </si>
  <si>
    <t>Araujo</t>
  </si>
  <si>
    <t>8.00</t>
  </si>
  <si>
    <t>Pedro</t>
  </si>
  <si>
    <t>Albornoz</t>
  </si>
  <si>
    <t>13.38</t>
  </si>
  <si>
    <t>MENCION</t>
  </si>
  <si>
    <t>ESCUELA</t>
  </si>
  <si>
    <t>NOMBRES</t>
  </si>
  <si>
    <t>APELLIDOS</t>
  </si>
  <si>
    <t>AV.</t>
  </si>
  <si>
    <t xml:space="preserve">Relacion de Existencias </t>
  </si>
  <si>
    <t>EMPRESA KHORAL.SA</t>
  </si>
  <si>
    <t xml:space="preserve">EMPRESA COACHing Human Talent </t>
  </si>
  <si>
    <t>COACHing Human Talent</t>
  </si>
  <si>
    <t xml:space="preserve">total </t>
  </si>
  <si>
    <t>Tornillo 6</t>
  </si>
  <si>
    <t>T-6</t>
  </si>
  <si>
    <t>Tornillo 5</t>
  </si>
  <si>
    <t>T-5</t>
  </si>
  <si>
    <t>Tornillo 4</t>
  </si>
  <si>
    <t>T-4</t>
  </si>
  <si>
    <t>Tornillo 3</t>
  </si>
  <si>
    <t>T-3</t>
  </si>
  <si>
    <t>Tornillo 2</t>
  </si>
  <si>
    <t>T-2</t>
  </si>
  <si>
    <t>Tornillo 1</t>
  </si>
  <si>
    <t>T-1</t>
  </si>
  <si>
    <t>Atock</t>
  </si>
  <si>
    <t>Producto</t>
  </si>
  <si>
    <t>Pacifico</t>
  </si>
  <si>
    <t>Brazos</t>
  </si>
  <si>
    <t>Brasil</t>
  </si>
  <si>
    <t>ABC</t>
  </si>
  <si>
    <t>beneficios</t>
  </si>
  <si>
    <t>Empresa</t>
  </si>
  <si>
    <t>Subtotal</t>
  </si>
  <si>
    <t>Argentina</t>
  </si>
  <si>
    <t>Chile</t>
  </si>
  <si>
    <t>Beneficios</t>
  </si>
  <si>
    <t>Gastos</t>
  </si>
  <si>
    <t xml:space="preserve"> Ingresos</t>
  </si>
  <si>
    <t>Pais</t>
  </si>
  <si>
    <t>KATHERINE ALMEIDA</t>
  </si>
  <si>
    <t>SEBASTIAN ARRIETA</t>
  </si>
  <si>
    <t>MACRO Ctrl+Shift+U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</si>
</sst>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2" formatCode="_-&quot;$&quot;\ * #,##0_-;\-&quot;$&quot;\ * #,##0_-;_-&quot;$&quot;\ * &quot;-&quot;_-;_-@_-"/>
    <numFmt numFmtId="41" formatCode="_-* #,##0_-;\-* #,##0_-;_-* &quot;-&quot;_-;_-@_-"/>
    <numFmt numFmtId="164" formatCode="&quot;$&quot;\ #,##0.00_);\(&quot;$&quot;\ #,##0.00\)"/>
    <numFmt numFmtId="165" formatCode="_(&quot;$&quot;\ * #,##0.00_);_(&quot;$&quot;\ * \(#,##0.00\);_(&quot;$&quot;\ * &quot;-&quot;??_);_(@_)"/>
    <numFmt numFmtId="166" formatCode="0.0000"/>
    <numFmt numFmtId="167" formatCode="_(&quot;$&quot;\ * #,##0_);_(&quot;$&quot;\ * \(#,##0\);_(&quot;$&quot;\ * &quot;-&quot;??_);_(@_)"/>
    <numFmt numFmtId="168" formatCode="dd/mm/yyyy;@"/>
    <numFmt numFmtId="169" formatCode="&quot;£&quot;#,##0.00"/>
    <numFmt numFmtId="170" formatCode="[$-C0A]d\ &quot;de&quot;\ mmmm;@"/>
    <numFmt numFmtId="171" formatCode="[$-C0A]d\ &quot;de&quot;\ mmmm\ &quot;de&quot;\ yyyy;@"/>
    <numFmt numFmtId="172" formatCode="[$-F400]h:mm:ss\ AM/PM"/>
    <numFmt numFmtId="173" formatCode="&quot;$&quot;\ #,##0"/>
    <numFmt numFmtId="174" formatCode="&quot;$&quot;#,##0.00_);\(&quot;$&quot;#,##0.00\)"/>
    <numFmt numFmtId="175" formatCode="&quot;Reorder&quot;;&quot;&quot;;&quot;&quot;"/>
    <numFmt numFmtId="176" formatCode="&quot;Nuevo Pedido&quot;;&quot;&quot;;&quot;&quot;"/>
    <numFmt numFmtId="177" formatCode="_-&quot;$&quot;\ * #,##0.00_-;\-&quot;$&quot;\ * #,##0.00_-;_-&quot;$&quot;\ * &quot;-&quot;_-;_-@_-"/>
    <numFmt numFmtId="178" formatCode="0.0"/>
  </numFmts>
  <fonts count="90">
    <font>
      <sz val="11"/>
      <color theme="1"/>
      <name val="Century Gothic"/>
      <family val="2"/>
      <scheme val="minor"/>
    </font>
    <font>
      <b/>
      <sz val="8"/>
      <color theme="1"/>
      <name val="Arial"/>
      <family val="2"/>
    </font>
    <font>
      <sz val="11"/>
      <color rgb="FFFF0000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u/>
      <sz val="11"/>
      <color theme="10"/>
      <name val="Century Gothic"/>
      <family val="2"/>
      <scheme val="minor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b/>
      <sz val="8"/>
      <color indexed="48"/>
      <name val="Arial"/>
      <family val="2"/>
    </font>
    <font>
      <sz val="8"/>
      <color indexed="9"/>
      <name val="Arial"/>
      <family val="2"/>
    </font>
    <font>
      <sz val="10"/>
      <name val="Arial"/>
      <family val="2"/>
    </font>
    <font>
      <b/>
      <sz val="14"/>
      <color theme="1"/>
      <name val="Century Gothic"/>
      <family val="2"/>
    </font>
    <font>
      <sz val="12"/>
      <color theme="1"/>
      <name val="Arial"/>
      <family val="2"/>
    </font>
    <font>
      <sz val="11"/>
      <color theme="1"/>
      <name val="Calibri"/>
      <family val="2"/>
    </font>
    <font>
      <b/>
      <sz val="20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8"/>
      <color theme="0"/>
      <name val="Arial Unicode MS"/>
      <family val="2"/>
    </font>
    <font>
      <sz val="12"/>
      <color theme="0"/>
      <name val="Arial Unicode MS"/>
      <family val="2"/>
    </font>
    <font>
      <b/>
      <sz val="9"/>
      <name val="HandelGotDLig"/>
      <family val="2"/>
    </font>
    <font>
      <b/>
      <sz val="8"/>
      <name val="HandelGotDLig"/>
      <family val="2"/>
    </font>
    <font>
      <b/>
      <sz val="8"/>
      <color rgb="FFFF0000"/>
      <name val="HandelGotDLig"/>
    </font>
    <font>
      <sz val="11"/>
      <name val="Century Gothic"/>
      <family val="2"/>
      <scheme val="minor"/>
    </font>
    <font>
      <sz val="9"/>
      <name val="HandelGotDLig"/>
      <family val="2"/>
    </font>
    <font>
      <sz val="8"/>
      <name val="HandelGotDLig"/>
      <family val="2"/>
    </font>
    <font>
      <b/>
      <sz val="10"/>
      <name val="HandelGotDLig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indexed="23"/>
      <name val="Arial"/>
      <family val="2"/>
    </font>
    <font>
      <sz val="12"/>
      <color theme="0" tint="-0.499984740745262"/>
      <name val="Arial"/>
      <family val="2"/>
    </font>
    <font>
      <b/>
      <sz val="12"/>
      <color theme="1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sz val="20"/>
      <color indexed="8"/>
      <name val="Arial"/>
      <family val="2"/>
    </font>
    <font>
      <b/>
      <sz val="30"/>
      <color indexed="8"/>
      <name val="Arial"/>
      <family val="2"/>
    </font>
    <font>
      <sz val="30"/>
      <color indexed="8"/>
      <name val="Arial"/>
      <family val="2"/>
    </font>
    <font>
      <sz val="28"/>
      <color indexed="8"/>
      <name val="Arial"/>
      <family val="2"/>
    </font>
    <font>
      <sz val="11"/>
      <color theme="0"/>
      <name val="Century Gothic"/>
      <family val="2"/>
      <scheme val="minor"/>
    </font>
    <font>
      <b/>
      <sz val="11"/>
      <name val="Century Gothic"/>
      <family val="2"/>
      <scheme val="minor"/>
    </font>
    <font>
      <b/>
      <sz val="10"/>
      <color theme="0"/>
      <name val="Verdana"/>
      <family val="2"/>
    </font>
    <font>
      <u/>
      <sz val="11"/>
      <color indexed="12"/>
      <name val="Calibri"/>
      <family val="2"/>
    </font>
    <font>
      <b/>
      <sz val="11"/>
      <color indexed="8"/>
      <name val="Calibri"/>
      <family val="2"/>
    </font>
    <font>
      <sz val="10"/>
      <color indexed="8"/>
      <name val="MS Sans Serif"/>
      <family val="2"/>
    </font>
    <font>
      <b/>
      <sz val="8"/>
      <name val="NewsGotT"/>
    </font>
    <font>
      <sz val="18"/>
      <color theme="3"/>
      <name val="Century Gothic"/>
      <family val="2"/>
      <scheme val="major"/>
    </font>
    <font>
      <b/>
      <sz val="15"/>
      <color theme="3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6"/>
      <name val="Century Gothic"/>
      <family val="2"/>
      <scheme val="minor"/>
    </font>
    <font>
      <sz val="11"/>
      <name val="Arial"/>
      <family val="2"/>
    </font>
    <font>
      <sz val="14"/>
      <color theme="1"/>
      <name val="Arial"/>
      <family val="2"/>
    </font>
    <font>
      <sz val="10"/>
      <color theme="1" tint="4.9989318521683403E-2"/>
      <name val="Century Gothic"/>
      <family val="2"/>
      <scheme val="minor"/>
    </font>
    <font>
      <b/>
      <i/>
      <sz val="12"/>
      <color theme="1"/>
      <name val="Century Gothic"/>
      <family val="2"/>
    </font>
    <font>
      <b/>
      <i/>
      <sz val="14"/>
      <color theme="1"/>
      <name val="Century Gothic"/>
      <family val="2"/>
    </font>
    <font>
      <b/>
      <i/>
      <u/>
      <sz val="16"/>
      <color theme="1"/>
      <name val="Century Gothic"/>
      <family val="2"/>
    </font>
    <font>
      <b/>
      <sz val="12"/>
      <color theme="0"/>
      <name val="Century Gothic"/>
      <family val="2"/>
      <scheme val="major"/>
    </font>
    <font>
      <sz val="11"/>
      <color theme="0" tint="-4.9989318521683403E-2"/>
      <name val="Century Gothic"/>
      <family val="2"/>
      <scheme val="minor"/>
    </font>
    <font>
      <sz val="18"/>
      <color theme="3"/>
      <name val="Century Gothic"/>
      <family val="2"/>
    </font>
    <font>
      <sz val="36"/>
      <color theme="3"/>
      <name val="Century Gothic"/>
      <family val="2"/>
    </font>
    <font>
      <b/>
      <sz val="48"/>
      <color theme="1" tint="4.9989318521683403E-2"/>
      <name val="Century Gothic"/>
      <family val="2"/>
      <scheme val="major"/>
    </font>
    <font>
      <b/>
      <sz val="18"/>
      <name val="Arial Black"/>
      <family val="2"/>
    </font>
    <font>
      <b/>
      <sz val="14"/>
      <name val="Century Gothic"/>
      <family val="2"/>
      <scheme val="minor"/>
    </font>
    <font>
      <b/>
      <u/>
      <sz val="18"/>
      <color theme="0"/>
      <name val="Calibri"/>
      <family val="2"/>
    </font>
    <font>
      <sz val="11"/>
      <name val="Calibri"/>
      <family val="2"/>
    </font>
    <font>
      <u/>
      <sz val="11"/>
      <color theme="1"/>
      <name val="Century Gothic"/>
      <family val="2"/>
      <scheme val="minor"/>
    </font>
    <font>
      <sz val="25"/>
      <color indexed="8"/>
      <name val="Arial"/>
      <family val="2"/>
    </font>
    <font>
      <b/>
      <sz val="72"/>
      <color rgb="FF319B9B"/>
      <name val="Arial"/>
      <family val="2"/>
    </font>
    <font>
      <sz val="30"/>
      <color rgb="FF319B9B"/>
      <name val="Arial"/>
      <family val="2"/>
    </font>
    <font>
      <b/>
      <sz val="16"/>
      <color rgb="FF319B9B"/>
      <name val="Calibri"/>
      <family val="2"/>
    </font>
    <font>
      <sz val="18"/>
      <color indexed="8"/>
      <name val="Arial"/>
      <family val="2"/>
    </font>
    <font>
      <sz val="16"/>
      <color indexed="8"/>
      <name val="Arial"/>
      <family val="2"/>
    </font>
    <font>
      <b/>
      <sz val="48"/>
      <color rgb="FF319B9B"/>
      <name val="Calibri"/>
      <family val="2"/>
    </font>
    <font>
      <b/>
      <sz val="20"/>
      <color indexed="8"/>
      <name val="Arial"/>
      <family val="2"/>
    </font>
    <font>
      <u/>
      <sz val="1.1000000000000001"/>
      <color theme="10"/>
      <name val="Calibri"/>
      <family val="2"/>
    </font>
    <font>
      <b/>
      <u/>
      <sz val="36"/>
      <name val="Arial"/>
      <family val="2"/>
    </font>
    <font>
      <sz val="26"/>
      <color indexed="12"/>
      <name val="Times New Roman"/>
      <family val="1"/>
    </font>
    <font>
      <b/>
      <sz val="36"/>
      <name val="Arial"/>
      <family val="2"/>
    </font>
    <font>
      <sz val="36"/>
      <color indexed="8"/>
      <name val="Arial"/>
      <family val="2"/>
    </font>
    <font>
      <sz val="11"/>
      <color theme="1"/>
      <name val="Algerian"/>
      <family val="5"/>
    </font>
    <font>
      <sz val="12"/>
      <name val="Arial"/>
      <family val="2"/>
    </font>
    <font>
      <b/>
      <sz val="11"/>
      <color rgb="FFFF0000"/>
      <name val="Century Gothic"/>
      <family val="2"/>
      <scheme val="minor"/>
    </font>
    <font>
      <i/>
      <sz val="11"/>
      <color theme="1"/>
      <name val="Century Gothic"/>
      <family val="2"/>
      <scheme val="minor"/>
    </font>
    <font>
      <b/>
      <i/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ajor"/>
    </font>
    <font>
      <sz val="10"/>
      <color theme="1"/>
      <name val="Century Gothic"/>
      <family val="2"/>
      <scheme val="minor"/>
    </font>
    <font>
      <sz val="14"/>
      <color theme="0"/>
      <name val="Century Gothic"/>
      <family val="2"/>
      <scheme val="minor"/>
    </font>
    <font>
      <sz val="26"/>
      <color theme="0"/>
      <name val="Arial"/>
      <family val="2"/>
    </font>
    <font>
      <b/>
      <sz val="36"/>
      <color theme="0"/>
      <name val="Aharoni"/>
      <charset val="177"/>
    </font>
  </fonts>
  <fills count="6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676D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AEED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2B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AF6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93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BA7DE7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FFFF66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tted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4" fillId="0" borderId="0" applyNumberFormat="0" applyFill="0" applyBorder="0" applyAlignment="0" applyProtection="0"/>
    <xf numFmtId="9" fontId="10" fillId="0" borderId="0" applyFont="0" applyFill="0" applyBorder="0" applyAlignment="0" applyProtection="0"/>
    <xf numFmtId="0" fontId="15" fillId="0" borderId="0">
      <alignment horizontal="left" wrapText="1" indent="1"/>
    </xf>
    <xf numFmtId="4" fontId="15" fillId="0" borderId="0">
      <alignment horizontal="right" indent="1"/>
    </xf>
    <xf numFmtId="0" fontId="41" fillId="0" borderId="0" applyNumberFormat="0" applyFill="0" applyBorder="0" applyAlignment="0" applyProtection="0">
      <alignment vertical="top"/>
      <protection locked="0"/>
    </xf>
    <xf numFmtId="0" fontId="43" fillId="0" borderId="0"/>
    <xf numFmtId="41" fontId="15" fillId="0" borderId="0" applyFon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69" applyNumberFormat="0" applyFill="0" applyAlignment="0" applyProtection="0"/>
    <xf numFmtId="0" fontId="47" fillId="0" borderId="70" applyNumberFormat="0" applyFill="0" applyAlignment="0" applyProtection="0"/>
    <xf numFmtId="0" fontId="48" fillId="0" borderId="71" applyNumberFormat="0" applyFill="0" applyAlignment="0" applyProtection="0"/>
    <xf numFmtId="0" fontId="15" fillId="0" borderId="0" applyProtection="0">
      <alignment horizontal="center" vertical="center"/>
    </xf>
    <xf numFmtId="0" fontId="15" fillId="0" borderId="0" applyProtection="0">
      <alignment horizontal="right" vertical="center" indent="1"/>
    </xf>
    <xf numFmtId="174" fontId="15" fillId="0" borderId="0" applyProtection="0">
      <alignment horizontal="right" vertical="center" indent="1"/>
    </xf>
    <xf numFmtId="0" fontId="15" fillId="0" borderId="0" applyProtection="0">
      <alignment horizontal="left" vertical="center" wrapText="1" indent="1"/>
    </xf>
    <xf numFmtId="175" fontId="15" fillId="9" borderId="0">
      <alignment horizontal="left" vertical="center" indent="1"/>
    </xf>
    <xf numFmtId="0" fontId="75" fillId="0" borderId="0" applyNumberFormat="0" applyFill="0" applyBorder="0" applyAlignment="0" applyProtection="0">
      <alignment vertical="top"/>
      <protection locked="0"/>
    </xf>
    <xf numFmtId="165" fontId="15" fillId="0" borderId="0" applyFont="0" applyFill="0" applyBorder="0" applyAlignment="0" applyProtection="0"/>
    <xf numFmtId="42" fontId="15" fillId="0" borderId="0" applyFont="0" applyFill="0" applyBorder="0" applyAlignment="0" applyProtection="0"/>
  </cellStyleXfs>
  <cellXfs count="993">
    <xf numFmtId="0" fontId="0" fillId="0" borderId="0" xfId="0"/>
    <xf numFmtId="0" fontId="0" fillId="0" borderId="1" xfId="0" applyBorder="1"/>
    <xf numFmtId="0" fontId="0" fillId="5" borderId="1" xfId="0" applyFill="1" applyBorder="1"/>
    <xf numFmtId="0" fontId="0" fillId="0" borderId="0" xfId="0" applyAlignment="1"/>
    <xf numFmtId="0" fontId="0" fillId="10" borderId="0" xfId="0" applyFill="1"/>
    <xf numFmtId="0" fontId="2" fillId="11" borderId="1" xfId="0" applyFont="1" applyFill="1" applyBorder="1" applyAlignment="1">
      <alignment horizontal="center" vertical="center"/>
    </xf>
    <xf numFmtId="0" fontId="0" fillId="10" borderId="1" xfId="0" applyFill="1" applyBorder="1"/>
    <xf numFmtId="0" fontId="0" fillId="10" borderId="1" xfId="0" applyFill="1" applyBorder="1" applyAlignment="1">
      <alignment horizontal="center" vertical="center" wrapText="1"/>
    </xf>
    <xf numFmtId="0" fontId="4" fillId="10" borderId="1" xfId="1" applyFill="1" applyBorder="1" applyAlignment="1">
      <alignment horizontal="center"/>
    </xf>
    <xf numFmtId="0" fontId="4" fillId="10" borderId="1" xfId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0" fontId="4" fillId="10" borderId="1" xfId="1" applyFill="1" applyBorder="1" applyAlignment="1">
      <alignment horizontal="center" vertical="center"/>
    </xf>
    <xf numFmtId="0" fontId="0" fillId="0" borderId="34" xfId="0" applyNumberFormat="1" applyBorder="1" applyAlignment="1" applyProtection="1">
      <alignment horizontal="center" vertical="center"/>
      <protection locked="0"/>
    </xf>
    <xf numFmtId="0" fontId="0" fillId="0" borderId="34" xfId="0" applyNumberFormat="1" applyBorder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6" fillId="16" borderId="1" xfId="0" applyFont="1" applyFill="1" applyBorder="1" applyAlignment="1" applyProtection="1">
      <alignment horizontal="center"/>
      <protection locked="0"/>
    </xf>
    <xf numFmtId="170" fontId="36" fillId="63" borderId="67" xfId="0" applyNumberFormat="1" applyFont="1" applyFill="1" applyBorder="1" applyAlignment="1" applyProtection="1">
      <alignment horizontal="center"/>
      <protection locked="0"/>
    </xf>
    <xf numFmtId="0" fontId="36" fillId="63" borderId="1" xfId="0" applyFont="1" applyFill="1" applyBorder="1" applyAlignment="1" applyProtection="1">
      <alignment horizontal="center"/>
      <protection locked="0"/>
    </xf>
    <xf numFmtId="10" fontId="36" fillId="0" borderId="23" xfId="0" applyNumberFormat="1" applyFont="1" applyFill="1" applyBorder="1" applyAlignment="1" applyProtection="1">
      <alignment horizontal="center"/>
      <protection locked="0"/>
    </xf>
    <xf numFmtId="10" fontId="36" fillId="0" borderId="21" xfId="0" applyNumberFormat="1" applyFont="1" applyFill="1" applyBorder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4" fillId="34" borderId="0" xfId="0" applyFont="1" applyFill="1" applyAlignment="1" applyProtection="1">
      <alignment horizontal="center" vertical="center" wrapText="1"/>
      <protection locked="0"/>
    </xf>
    <xf numFmtId="0" fontId="0" fillId="11" borderId="33" xfId="0" applyFill="1" applyBorder="1" applyAlignment="1" applyProtection="1">
      <alignment horizontal="center" vertical="center"/>
      <protection locked="0"/>
    </xf>
    <xf numFmtId="0" fontId="0" fillId="11" borderId="34" xfId="0" applyFill="1" applyBorder="1" applyAlignment="1" applyProtection="1">
      <alignment horizontal="center" vertical="center"/>
      <protection locked="0"/>
    </xf>
    <xf numFmtId="0" fontId="0" fillId="11" borderId="34" xfId="0" applyFill="1" applyBorder="1" applyAlignment="1" applyProtection="1">
      <alignment horizontal="center" vertical="center" wrapText="1"/>
      <protection locked="0"/>
    </xf>
    <xf numFmtId="0" fontId="0" fillId="11" borderId="35" xfId="0" applyFill="1" applyBorder="1" applyAlignment="1" applyProtection="1">
      <alignment horizontal="center" vertical="center" wrapText="1"/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2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 vertical="center" wrapText="1"/>
      <protection locked="0"/>
    </xf>
    <xf numFmtId="0" fontId="3" fillId="13" borderId="0" xfId="0" applyFont="1" applyFill="1" applyAlignment="1" applyProtection="1">
      <alignment horizontal="center" vertical="center" wrapText="1"/>
      <protection locked="0"/>
    </xf>
    <xf numFmtId="0" fontId="0" fillId="13" borderId="1" xfId="0" applyFill="1" applyBorder="1" applyAlignment="1" applyProtection="1">
      <alignment horizontal="center" wrapText="1"/>
      <protection locked="0"/>
    </xf>
    <xf numFmtId="0" fontId="14" fillId="34" borderId="0" xfId="0" applyFont="1" applyFill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 vertical="center" wrapText="1"/>
      <protection locked="0"/>
    </xf>
    <xf numFmtId="42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11" borderId="30" xfId="0" applyFill="1" applyBorder="1" applyAlignment="1" applyProtection="1">
      <alignment horizontal="center" vertical="center"/>
      <protection locked="0"/>
    </xf>
    <xf numFmtId="0" fontId="0" fillId="11" borderId="31" xfId="0" applyFill="1" applyBorder="1" applyAlignment="1" applyProtection="1">
      <alignment horizontal="center" vertical="center"/>
      <protection locked="0"/>
    </xf>
    <xf numFmtId="0" fontId="0" fillId="11" borderId="31" xfId="0" applyFill="1" applyBorder="1" applyAlignment="1" applyProtection="1">
      <alignment horizontal="center" vertical="center" wrapText="1"/>
      <protection locked="0"/>
    </xf>
    <xf numFmtId="0" fontId="0" fillId="11" borderId="32" xfId="0" applyFill="1" applyBorder="1" applyAlignment="1" applyProtection="1">
      <alignment horizontal="center" vertical="center" wrapText="1"/>
      <protection locked="0"/>
    </xf>
    <xf numFmtId="0" fontId="0" fillId="0" borderId="0" xfId="0" pivotButton="1" applyProtection="1"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indent="1"/>
      <protection locked="0"/>
    </xf>
    <xf numFmtId="0" fontId="0" fillId="0" borderId="0" xfId="0" applyAlignment="1" applyProtection="1">
      <alignment horizontal="left" indent="2"/>
      <protection locked="0"/>
    </xf>
    <xf numFmtId="0" fontId="0" fillId="14" borderId="1" xfId="0" applyFill="1" applyBorder="1" applyAlignment="1" applyProtection="1">
      <alignment horizontal="center" vertical="center" wrapText="1"/>
      <protection locked="0"/>
    </xf>
    <xf numFmtId="0" fontId="0" fillId="11" borderId="0" xfId="0" applyFill="1" applyAlignment="1" applyProtection="1">
      <alignment horizontal="center" vertical="center" wrapText="1"/>
      <protection locked="0"/>
    </xf>
    <xf numFmtId="178" fontId="0" fillId="0" borderId="1" xfId="0" applyNumberFormat="1" applyBorder="1"/>
    <xf numFmtId="0" fontId="86" fillId="65" borderId="1" xfId="0" applyFont="1" applyFill="1" applyBorder="1"/>
    <xf numFmtId="178" fontId="0" fillId="5" borderId="1" xfId="0" applyNumberFormat="1" applyFill="1" applyBorder="1"/>
    <xf numFmtId="0" fontId="0" fillId="14" borderId="1" xfId="0" applyFill="1" applyBorder="1" applyAlignment="1" applyProtection="1">
      <alignment horizontal="center" vertical="center"/>
      <protection locked="0"/>
    </xf>
    <xf numFmtId="0" fontId="0" fillId="0" borderId="16" xfId="0" applyBorder="1"/>
    <xf numFmtId="0" fontId="3" fillId="24" borderId="11" xfId="0" applyFont="1" applyFill="1" applyBorder="1"/>
    <xf numFmtId="0" fontId="84" fillId="21" borderId="1" xfId="0" applyFont="1" applyFill="1" applyBorder="1" applyProtection="1">
      <protection locked="0"/>
    </xf>
    <xf numFmtId="165" fontId="0" fillId="0" borderId="1" xfId="0" applyNumberFormat="1" applyBorder="1" applyProtection="1">
      <protection locked="0"/>
    </xf>
    <xf numFmtId="165" fontId="0" fillId="23" borderId="1" xfId="0" applyNumberFormat="1" applyFill="1" applyBorder="1" applyProtection="1">
      <protection locked="0"/>
    </xf>
    <xf numFmtId="0" fontId="0" fillId="21" borderId="1" xfId="0" applyFill="1" applyBorder="1" applyProtection="1">
      <protection locked="0"/>
    </xf>
    <xf numFmtId="0" fontId="84" fillId="24" borderId="12" xfId="0" applyFont="1" applyFill="1" applyBorder="1" applyProtection="1">
      <protection locked="0"/>
    </xf>
    <xf numFmtId="0" fontId="84" fillId="24" borderId="29" xfId="0" applyFont="1" applyFill="1" applyBorder="1" applyProtection="1">
      <protection locked="0"/>
    </xf>
    <xf numFmtId="0" fontId="84" fillId="24" borderId="13" xfId="0" applyFont="1" applyFill="1" applyBorder="1" applyProtection="1">
      <protection locked="0"/>
    </xf>
    <xf numFmtId="0" fontId="84" fillId="24" borderId="9" xfId="0" applyFont="1" applyFill="1" applyBorder="1" applyAlignment="1" applyProtection="1">
      <alignment vertical="center"/>
      <protection locked="0"/>
    </xf>
    <xf numFmtId="0" fontId="0" fillId="0" borderId="14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20" xfId="0" applyBorder="1" applyProtection="1">
      <protection locked="0"/>
    </xf>
    <xf numFmtId="0" fontId="0" fillId="5" borderId="0" xfId="0" applyFill="1" applyProtection="1"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52" borderId="1" xfId="0" applyFill="1" applyBorder="1" applyAlignment="1" applyProtection="1">
      <alignment vertical="center" wrapText="1"/>
      <protection locked="0"/>
    </xf>
    <xf numFmtId="0" fontId="0" fillId="24" borderId="1" xfId="0" applyFill="1" applyBorder="1" applyAlignment="1" applyProtection="1">
      <alignment horizontal="center" vertical="center"/>
      <protection locked="0"/>
    </xf>
    <xf numFmtId="0" fontId="0" fillId="32" borderId="1" xfId="0" applyFill="1" applyBorder="1" applyAlignment="1" applyProtection="1">
      <alignment horizontal="center" vertical="center"/>
      <protection locked="0"/>
    </xf>
    <xf numFmtId="165" fontId="0" fillId="0" borderId="1" xfId="18" applyFont="1" applyBorder="1" applyProtection="1">
      <protection locked="0"/>
    </xf>
    <xf numFmtId="165" fontId="0" fillId="0" borderId="20" xfId="18" applyFont="1" applyBorder="1" applyProtection="1">
      <protection locked="0"/>
    </xf>
    <xf numFmtId="0" fontId="3" fillId="27" borderId="1" xfId="0" applyFont="1" applyFill="1" applyBorder="1" applyProtection="1">
      <protection locked="0"/>
    </xf>
    <xf numFmtId="165" fontId="0" fillId="36" borderId="1" xfId="18" applyFont="1" applyFill="1" applyBorder="1" applyProtection="1">
      <protection locked="0"/>
    </xf>
    <xf numFmtId="0" fontId="3" fillId="23" borderId="1" xfId="0" applyFont="1" applyFill="1" applyBorder="1" applyProtection="1">
      <protection locked="0"/>
    </xf>
    <xf numFmtId="165" fontId="0" fillId="13" borderId="1" xfId="18" applyFont="1" applyFill="1" applyBorder="1" applyProtection="1">
      <protection locked="0"/>
    </xf>
    <xf numFmtId="0" fontId="0" fillId="32" borderId="10" xfId="0" applyFill="1" applyBorder="1" applyAlignment="1" applyProtection="1">
      <alignment horizontal="center"/>
      <protection locked="0"/>
    </xf>
    <xf numFmtId="165" fontId="0" fillId="0" borderId="8" xfId="18" applyFont="1" applyBorder="1" applyProtection="1">
      <protection locked="0"/>
    </xf>
    <xf numFmtId="165" fontId="0" fillId="0" borderId="0" xfId="0" applyNumberFormat="1" applyProtection="1">
      <protection locked="0"/>
    </xf>
    <xf numFmtId="0" fontId="0" fillId="32" borderId="11" xfId="0" applyFill="1" applyBorder="1" applyAlignment="1" applyProtection="1">
      <alignment horizontal="center"/>
      <protection locked="0"/>
    </xf>
    <xf numFmtId="165" fontId="0" fillId="0" borderId="16" xfId="18" applyFont="1" applyBorder="1" applyProtection="1">
      <protection locked="0"/>
    </xf>
    <xf numFmtId="0" fontId="0" fillId="32" borderId="15" xfId="0" applyFill="1" applyBorder="1" applyAlignment="1" applyProtection="1">
      <alignment horizontal="center"/>
      <protection locked="0"/>
    </xf>
    <xf numFmtId="0" fontId="0" fillId="13" borderId="81" xfId="0" applyFill="1" applyBorder="1" applyAlignment="1" applyProtection="1">
      <alignment horizontal="center" vertical="center"/>
      <protection locked="0"/>
    </xf>
    <xf numFmtId="0" fontId="0" fillId="13" borderId="77" xfId="0" applyFill="1" applyBorder="1" applyAlignment="1" applyProtection="1">
      <alignment horizontal="center" vertical="center"/>
      <protection locked="0"/>
    </xf>
    <xf numFmtId="49" fontId="0" fillId="13" borderId="80" xfId="0" applyNumberFormat="1" applyFill="1" applyBorder="1" applyAlignment="1" applyProtection="1">
      <alignment horizontal="center" vertical="center"/>
      <protection locked="0"/>
    </xf>
    <xf numFmtId="0" fontId="0" fillId="13" borderId="72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center" vertical="center"/>
      <protection locked="0"/>
    </xf>
    <xf numFmtId="0" fontId="0" fillId="13" borderId="73" xfId="0" applyFill="1" applyBorder="1" applyAlignment="1" applyProtection="1">
      <alignment horizontal="center" vertical="center"/>
      <protection locked="0"/>
    </xf>
    <xf numFmtId="0" fontId="0" fillId="13" borderId="79" xfId="0" applyFill="1" applyBorder="1" applyAlignment="1" applyProtection="1">
      <alignment horizontal="center" vertical="center"/>
      <protection locked="0"/>
    </xf>
    <xf numFmtId="0" fontId="0" fillId="13" borderId="74" xfId="0" applyFill="1" applyBorder="1" applyAlignment="1" applyProtection="1">
      <alignment horizontal="center" vertical="center"/>
      <protection locked="0"/>
    </xf>
    <xf numFmtId="0" fontId="0" fillId="13" borderId="78" xfId="0" applyFill="1" applyBorder="1" applyAlignment="1" applyProtection="1">
      <alignment horizontal="center" vertical="center"/>
      <protection locked="0"/>
    </xf>
    <xf numFmtId="9" fontId="0" fillId="58" borderId="1" xfId="0" applyNumberFormat="1" applyFill="1" applyBorder="1" applyAlignment="1" applyProtection="1">
      <alignment horizontal="center" vertical="center"/>
      <protection locked="0"/>
    </xf>
    <xf numFmtId="0" fontId="0" fillId="64" borderId="1" xfId="0" applyFill="1" applyBorder="1" applyAlignment="1" applyProtection="1">
      <alignment horizontal="center" vertical="center"/>
      <protection locked="0"/>
    </xf>
    <xf numFmtId="0" fontId="83" fillId="64" borderId="1" xfId="0" applyFont="1" applyFill="1" applyBorder="1" applyAlignment="1" applyProtection="1">
      <alignment horizontal="center" vertical="center"/>
      <protection locked="0"/>
    </xf>
    <xf numFmtId="0" fontId="83" fillId="64" borderId="1" xfId="0" applyFont="1" applyFill="1" applyBorder="1" applyAlignment="1" applyProtection="1">
      <alignment horizontal="center" vertical="center" wrapText="1"/>
      <protection locked="0"/>
    </xf>
    <xf numFmtId="0" fontId="83" fillId="64" borderId="2" xfId="0" applyFont="1" applyFill="1" applyBorder="1" applyAlignment="1" applyProtection="1">
      <alignment horizontal="center" vertical="center"/>
      <protection locked="0"/>
    </xf>
    <xf numFmtId="0" fontId="83" fillId="64" borderId="4" xfId="0" applyFont="1" applyFill="1" applyBorder="1" applyAlignment="1" applyProtection="1">
      <alignment horizontal="center" vertical="center"/>
      <protection locked="0"/>
    </xf>
    <xf numFmtId="0" fontId="83" fillId="64" borderId="20" xfId="0" applyFont="1" applyFill="1" applyBorder="1" applyAlignment="1" applyProtection="1">
      <alignment horizontal="center" vertical="center" wrapText="1"/>
      <protection locked="0"/>
    </xf>
    <xf numFmtId="0" fontId="83" fillId="64" borderId="20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left" vertical="top"/>
      <protection locked="0"/>
    </xf>
    <xf numFmtId="42" fontId="0" fillId="11" borderId="1" xfId="19" applyFont="1" applyFill="1" applyBorder="1" applyAlignment="1" applyProtection="1">
      <alignment horizontal="center" vertical="center"/>
      <protection locked="0"/>
    </xf>
    <xf numFmtId="0" fontId="0" fillId="15" borderId="2" xfId="0" applyFill="1" applyBorder="1" applyAlignment="1" applyProtection="1">
      <alignment horizontal="center" vertical="center"/>
      <protection locked="0"/>
    </xf>
    <xf numFmtId="0" fontId="0" fillId="15" borderId="1" xfId="0" applyFill="1" applyBorder="1" applyAlignment="1" applyProtection="1">
      <alignment horizontal="center" vertical="center"/>
      <protection locked="0"/>
    </xf>
    <xf numFmtId="165" fontId="0" fillId="15" borderId="76" xfId="18" applyNumberFormat="1" applyFont="1" applyFill="1" applyBorder="1" applyAlignment="1" applyProtection="1">
      <alignment horizontal="center" vertical="center"/>
      <protection locked="0"/>
    </xf>
    <xf numFmtId="165" fontId="0" fillId="15" borderId="77" xfId="18" applyNumberFormat="1" applyFont="1" applyFill="1" applyBorder="1" applyAlignment="1" applyProtection="1">
      <alignment horizontal="center" vertical="center"/>
      <protection locked="0"/>
    </xf>
    <xf numFmtId="165" fontId="0" fillId="15" borderId="77" xfId="0" applyNumberFormat="1" applyFill="1" applyBorder="1" applyAlignment="1" applyProtection="1">
      <alignment horizontal="center" vertical="center"/>
      <protection locked="0"/>
    </xf>
    <xf numFmtId="165" fontId="0" fillId="15" borderId="75" xfId="0" applyNumberFormat="1" applyFill="1" applyBorder="1" applyAlignment="1" applyProtection="1">
      <alignment horizontal="center" vertical="center"/>
      <protection locked="0"/>
    </xf>
    <xf numFmtId="0" fontId="0" fillId="15" borderId="1" xfId="0" applyNumberFormat="1" applyFill="1" applyBorder="1" applyAlignment="1" applyProtection="1">
      <alignment horizontal="left" vertical="top"/>
      <protection locked="0"/>
    </xf>
    <xf numFmtId="0" fontId="0" fillId="15" borderId="1" xfId="0" applyFill="1" applyBorder="1" applyAlignment="1" applyProtection="1">
      <alignment horizontal="left" vertical="center"/>
      <protection locked="0"/>
    </xf>
    <xf numFmtId="165" fontId="0" fillId="15" borderId="1" xfId="18" applyNumberFormat="1" applyFont="1" applyFill="1" applyBorder="1" applyAlignment="1" applyProtection="1">
      <alignment horizontal="center" vertical="center"/>
      <protection locked="0"/>
    </xf>
    <xf numFmtId="165" fontId="0" fillId="15" borderId="1" xfId="0" applyNumberFormat="1" applyFill="1" applyBorder="1" applyAlignment="1" applyProtection="1">
      <alignment horizontal="center" vertical="center"/>
      <protection locked="0"/>
    </xf>
    <xf numFmtId="0" fontId="0" fillId="11" borderId="20" xfId="0" applyFill="1" applyBorder="1" applyAlignment="1" applyProtection="1">
      <alignment horizontal="center" vertical="center"/>
      <protection locked="0"/>
    </xf>
    <xf numFmtId="165" fontId="0" fillId="15" borderId="74" xfId="18" applyNumberFormat="1" applyFont="1" applyFill="1" applyBorder="1" applyAlignment="1" applyProtection="1">
      <alignment horizontal="center" vertical="center"/>
      <protection locked="0"/>
    </xf>
    <xf numFmtId="165" fontId="0" fillId="15" borderId="74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82" fillId="44" borderId="1" xfId="0" applyFont="1" applyFill="1" applyBorder="1" applyAlignment="1" applyProtection="1">
      <alignment vertical="center"/>
      <protection locked="0"/>
    </xf>
    <xf numFmtId="0" fontId="0" fillId="40" borderId="21" xfId="0" applyFill="1" applyBorder="1" applyAlignment="1" applyProtection="1">
      <alignment horizontal="center" vertical="center"/>
      <protection locked="0"/>
    </xf>
    <xf numFmtId="0" fontId="0" fillId="40" borderId="1" xfId="0" applyFill="1" applyBorder="1" applyAlignment="1" applyProtection="1">
      <alignment horizontal="center" vertical="center"/>
      <protection locked="0"/>
    </xf>
    <xf numFmtId="165" fontId="0" fillId="40" borderId="8" xfId="18" applyFont="1" applyFill="1" applyBorder="1" applyAlignment="1" applyProtection="1">
      <alignment horizontal="center" vertical="center"/>
      <protection locked="0"/>
    </xf>
    <xf numFmtId="165" fontId="0" fillId="40" borderId="14" xfId="18" applyFont="1" applyFill="1" applyBorder="1" applyAlignment="1" applyProtection="1">
      <alignment horizontal="center" vertical="center"/>
      <protection locked="0"/>
    </xf>
    <xf numFmtId="165" fontId="0" fillId="40" borderId="16" xfId="18" applyFont="1" applyFill="1" applyBorder="1" applyAlignment="1" applyProtection="1">
      <alignment horizontal="center" vertical="center"/>
      <protection locked="0"/>
    </xf>
    <xf numFmtId="165" fontId="0" fillId="40" borderId="1" xfId="18" applyFont="1" applyFill="1" applyBorder="1" applyAlignment="1" applyProtection="1">
      <alignment horizontal="center" vertical="center"/>
      <protection locked="0"/>
    </xf>
    <xf numFmtId="0" fontId="0" fillId="53" borderId="0" xfId="0" applyFill="1" applyProtection="1">
      <protection locked="0"/>
    </xf>
    <xf numFmtId="0" fontId="0" fillId="53" borderId="1" xfId="0" applyFill="1" applyBorder="1" applyAlignment="1" applyProtection="1">
      <alignment horizontal="center" vertical="center" wrapText="1"/>
      <protection locked="0"/>
    </xf>
    <xf numFmtId="2" fontId="0" fillId="53" borderId="1" xfId="0" applyNumberFormat="1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Protection="1">
      <protection locked="0"/>
    </xf>
    <xf numFmtId="1" fontId="0" fillId="53" borderId="1" xfId="0" applyNumberFormat="1" applyFill="1" applyBorder="1" applyAlignment="1" applyProtection="1">
      <alignment horizontal="center" vertical="center" wrapText="1"/>
      <protection locked="0"/>
    </xf>
    <xf numFmtId="1" fontId="0" fillId="5" borderId="1" xfId="0" applyNumberFormat="1" applyFill="1" applyBorder="1" applyProtection="1">
      <protection locked="0"/>
    </xf>
    <xf numFmtId="1" fontId="0" fillId="5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Protection="1">
      <protection locked="0"/>
    </xf>
    <xf numFmtId="0" fontId="0" fillId="53" borderId="3" xfId="0" applyFill="1" applyBorder="1" applyAlignment="1" applyProtection="1">
      <alignment horizontal="center" vertical="center" wrapText="1"/>
      <protection locked="0"/>
    </xf>
    <xf numFmtId="0" fontId="0" fillId="53" borderId="5" xfId="0" applyFill="1" applyBorder="1" applyAlignment="1" applyProtection="1">
      <alignment horizontal="center" vertical="center" wrapText="1"/>
      <protection locked="0"/>
    </xf>
    <xf numFmtId="0" fontId="0" fillId="5" borderId="0" xfId="0" applyFill="1" applyBorder="1" applyProtection="1">
      <protection locked="0"/>
    </xf>
    <xf numFmtId="0" fontId="0" fillId="53" borderId="14" xfId="0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42" borderId="0" xfId="0" applyFill="1" applyAlignment="1" applyProtection="1">
      <alignment horizontal="left" vertical="center"/>
      <protection locked="0"/>
    </xf>
    <xf numFmtId="9" fontId="0" fillId="42" borderId="1" xfId="0" applyNumberFormat="1" applyFill="1" applyBorder="1" applyProtection="1">
      <protection locked="0"/>
    </xf>
    <xf numFmtId="177" fontId="0" fillId="42" borderId="1" xfId="0" applyNumberFormat="1" applyFill="1" applyBorder="1" applyProtection="1"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0" fillId="24" borderId="14" xfId="0" applyFill="1" applyBorder="1" applyAlignment="1" applyProtection="1">
      <alignment horizontal="center" vertical="center" wrapText="1"/>
      <protection locked="0"/>
    </xf>
    <xf numFmtId="0" fontId="0" fillId="52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0" fillId="8" borderId="0" xfId="0" applyFill="1" applyProtection="1">
      <protection locked="0"/>
    </xf>
    <xf numFmtId="0" fontId="0" fillId="0" borderId="1" xfId="0" applyFill="1" applyBorder="1" applyProtection="1">
      <protection locked="0"/>
    </xf>
    <xf numFmtId="0" fontId="0" fillId="9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Protection="1">
      <protection locked="0"/>
    </xf>
    <xf numFmtId="0" fontId="0" fillId="8" borderId="1" xfId="0" applyFill="1" applyBorder="1" applyProtection="1"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0" fillId="4" borderId="1" xfId="0" applyFill="1" applyBorder="1" applyAlignment="1" applyProtection="1">
      <alignment horizontal="center" vertical="center" wrapText="1"/>
      <protection locked="0"/>
    </xf>
    <xf numFmtId="0" fontId="0" fillId="4" borderId="1" xfId="0" applyFill="1" applyBorder="1" applyProtection="1">
      <protection locked="0"/>
    </xf>
    <xf numFmtId="0" fontId="0" fillId="6" borderId="1" xfId="0" applyFill="1" applyBorder="1" applyProtection="1">
      <protection locked="0"/>
    </xf>
    <xf numFmtId="0" fontId="0" fillId="15" borderId="1" xfId="0" applyFill="1" applyBorder="1" applyProtection="1">
      <protection locked="0"/>
    </xf>
    <xf numFmtId="0" fontId="0" fillId="15" borderId="34" xfId="0" applyFill="1" applyBorder="1" applyProtection="1">
      <protection locked="0"/>
    </xf>
    <xf numFmtId="0" fontId="0" fillId="0" borderId="34" xfId="0" applyFill="1" applyBorder="1" applyProtection="1">
      <protection locked="0"/>
    </xf>
    <xf numFmtId="0" fontId="0" fillId="13" borderId="1" xfId="0" applyFill="1" applyBorder="1" applyProtection="1">
      <protection locked="0"/>
    </xf>
    <xf numFmtId="0" fontId="13" fillId="14" borderId="0" xfId="0" applyFont="1" applyFill="1" applyAlignment="1" applyProtection="1">
      <alignment vertical="center"/>
      <protection locked="0"/>
    </xf>
    <xf numFmtId="165" fontId="0" fillId="13" borderId="1" xfId="0" applyNumberFormat="1" applyFill="1" applyBorder="1" applyProtection="1">
      <protection locked="0"/>
    </xf>
    <xf numFmtId="165" fontId="0" fillId="6" borderId="1" xfId="0" applyNumberFormat="1" applyFill="1" applyBorder="1" applyProtection="1">
      <protection locked="0"/>
    </xf>
    <xf numFmtId="164" fontId="0" fillId="24" borderId="1" xfId="0" applyNumberFormat="1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35" borderId="1" xfId="0" applyFill="1" applyBorder="1" applyProtection="1">
      <protection locked="0"/>
    </xf>
    <xf numFmtId="0" fontId="13" fillId="35" borderId="0" xfId="0" applyFont="1" applyFill="1" applyAlignment="1" applyProtection="1">
      <alignment vertical="center"/>
      <protection locked="0"/>
    </xf>
    <xf numFmtId="0" fontId="0" fillId="17" borderId="1" xfId="0" applyFill="1" applyBorder="1" applyProtection="1">
      <protection locked="0"/>
    </xf>
    <xf numFmtId="0" fontId="13" fillId="36" borderId="0" xfId="0" applyFont="1" applyFill="1" applyAlignment="1" applyProtection="1">
      <alignment vertical="center"/>
      <protection locked="0"/>
    </xf>
    <xf numFmtId="0" fontId="0" fillId="18" borderId="1" xfId="0" applyFill="1" applyBorder="1" applyProtection="1">
      <protection locked="0"/>
    </xf>
    <xf numFmtId="0" fontId="0" fillId="18" borderId="1" xfId="0" applyFill="1" applyBorder="1" applyAlignment="1" applyProtection="1">
      <alignment horizontal="center" vertical="center" wrapText="1"/>
      <protection locked="0"/>
    </xf>
    <xf numFmtId="0" fontId="0" fillId="11" borderId="3" xfId="0" applyFill="1" applyBorder="1" applyProtection="1">
      <protection locked="0"/>
    </xf>
    <xf numFmtId="0" fontId="0" fillId="11" borderId="4" xfId="0" applyFill="1" applyBorder="1" applyProtection="1">
      <protection locked="0"/>
    </xf>
    <xf numFmtId="0" fontId="0" fillId="14" borderId="1" xfId="0" applyFill="1" applyBorder="1" applyAlignment="1" applyProtection="1">
      <alignment horizontal="center"/>
      <protection locked="0"/>
    </xf>
    <xf numFmtId="0" fontId="0" fillId="11" borderId="5" xfId="0" applyFill="1" applyBorder="1" applyProtection="1">
      <protection locked="0"/>
    </xf>
    <xf numFmtId="0" fontId="0" fillId="11" borderId="6" xfId="0" applyFill="1" applyBorder="1" applyProtection="1">
      <protection locked="0"/>
    </xf>
    <xf numFmtId="0" fontId="0" fillId="14" borderId="1" xfId="0" applyFill="1" applyBorder="1" applyProtection="1">
      <protection locked="0"/>
    </xf>
    <xf numFmtId="165" fontId="0" fillId="14" borderId="1" xfId="0" applyNumberFormat="1" applyFill="1" applyBorder="1" applyProtection="1">
      <protection locked="0"/>
    </xf>
    <xf numFmtId="165" fontId="0" fillId="18" borderId="1" xfId="0" applyNumberFormat="1" applyFill="1" applyBorder="1" applyProtection="1">
      <protection locked="0"/>
    </xf>
    <xf numFmtId="0" fontId="0" fillId="11" borderId="7" xfId="0" applyFill="1" applyBorder="1" applyProtection="1">
      <protection locked="0"/>
    </xf>
    <xf numFmtId="165" fontId="0" fillId="11" borderId="8" xfId="0" applyNumberFormat="1" applyFill="1" applyBorder="1" applyProtection="1">
      <protection locked="0"/>
    </xf>
    <xf numFmtId="0" fontId="0" fillId="15" borderId="0" xfId="0" applyFill="1" applyProtection="1">
      <protection locked="0"/>
    </xf>
    <xf numFmtId="0" fontId="0" fillId="21" borderId="0" xfId="0" applyFill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0" fontId="0" fillId="22" borderId="0" xfId="0" applyFill="1" applyProtection="1">
      <protection locked="0"/>
    </xf>
    <xf numFmtId="0" fontId="0" fillId="19" borderId="0" xfId="0" applyFill="1" applyProtection="1">
      <protection locked="0"/>
    </xf>
    <xf numFmtId="0" fontId="0" fillId="20" borderId="0" xfId="0" applyFill="1" applyProtection="1">
      <protection locked="0"/>
    </xf>
    <xf numFmtId="0" fontId="0" fillId="23" borderId="0" xfId="0" applyFill="1" applyProtection="1">
      <protection locked="0"/>
    </xf>
    <xf numFmtId="10" fontId="0" fillId="24" borderId="0" xfId="0" applyNumberFormat="1" applyFill="1" applyAlignment="1" applyProtection="1">
      <alignment horizontal="center" vertical="center"/>
      <protection locked="0"/>
    </xf>
    <xf numFmtId="10" fontId="0" fillId="0" borderId="0" xfId="0" applyNumberFormat="1" applyProtection="1">
      <protection locked="0"/>
    </xf>
    <xf numFmtId="0" fontId="0" fillId="7" borderId="2" xfId="0" applyFill="1" applyBorder="1" applyProtection="1">
      <protection locked="0"/>
    </xf>
    <xf numFmtId="11" fontId="0" fillId="8" borderId="0" xfId="0" applyNumberFormat="1" applyFill="1" applyProtection="1">
      <protection locked="0"/>
    </xf>
    <xf numFmtId="0" fontId="1" fillId="0" borderId="0" xfId="0" applyFont="1" applyFill="1" applyBorder="1" applyAlignment="1" applyProtection="1">
      <alignment vertical="center" textRotation="255" wrapText="1"/>
      <protection locked="0"/>
    </xf>
    <xf numFmtId="11" fontId="0" fillId="0" borderId="0" xfId="0" applyNumberFormat="1" applyFill="1" applyBorder="1" applyProtection="1">
      <protection locked="0"/>
    </xf>
    <xf numFmtId="166" fontId="0" fillId="2" borderId="1" xfId="0" applyNumberFormat="1" applyFill="1" applyBorder="1" applyProtection="1">
      <protection locked="0"/>
    </xf>
    <xf numFmtId="0" fontId="5" fillId="0" borderId="0" xfId="0" applyFont="1" applyAlignment="1" applyProtection="1">
      <alignment horizontal="center" vertical="top" wrapText="1"/>
      <protection locked="0"/>
    </xf>
    <xf numFmtId="0" fontId="8" fillId="0" borderId="0" xfId="0" applyFont="1" applyAlignment="1" applyProtection="1">
      <alignment horizontal="justify" vertical="top" wrapText="1"/>
      <protection locked="0"/>
    </xf>
    <xf numFmtId="0" fontId="0" fillId="0" borderId="0" xfId="0" applyAlignment="1" applyProtection="1">
      <alignment vertical="center"/>
      <protection locked="0"/>
    </xf>
    <xf numFmtId="0" fontId="6" fillId="16" borderId="9" xfId="0" applyFont="1" applyFill="1" applyBorder="1" applyAlignment="1" applyProtection="1">
      <alignment horizontal="center"/>
      <protection locked="0"/>
    </xf>
    <xf numFmtId="0" fontId="6" fillId="16" borderId="9" xfId="0" applyFont="1" applyFill="1" applyBorder="1" applyAlignment="1" applyProtection="1">
      <alignment horizontal="justify" vertical="top" wrapText="1"/>
      <protection locked="0"/>
    </xf>
    <xf numFmtId="0" fontId="5" fillId="25" borderId="9" xfId="0" applyFont="1" applyFill="1" applyBorder="1" applyAlignment="1" applyProtection="1">
      <alignment horizontal="center" vertical="center"/>
      <protection locked="0"/>
    </xf>
    <xf numFmtId="0" fontId="5" fillId="25" borderId="9" xfId="0" applyFont="1" applyFill="1" applyBorder="1" applyAlignment="1" applyProtection="1">
      <alignment horizontal="justify" vertical="center" wrapText="1"/>
      <protection locked="0"/>
    </xf>
    <xf numFmtId="0" fontId="9" fillId="16" borderId="10" xfId="0" applyFont="1" applyFill="1" applyBorder="1" applyProtection="1">
      <protection locked="0"/>
    </xf>
    <xf numFmtId="0" fontId="6" fillId="16" borderId="10" xfId="0" applyFont="1" applyFill="1" applyBorder="1" applyAlignment="1" applyProtection="1">
      <alignment horizontal="justify" vertical="top" wrapText="1"/>
      <protection locked="0"/>
    </xf>
    <xf numFmtId="0" fontId="7" fillId="25" borderId="15" xfId="0" applyFont="1" applyFill="1" applyBorder="1" applyAlignment="1" applyProtection="1">
      <alignment vertical="center"/>
      <protection locked="0"/>
    </xf>
    <xf numFmtId="0" fontId="7" fillId="25" borderId="1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Protection="1"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65" fontId="0" fillId="0" borderId="14" xfId="0" applyNumberFormat="1" applyBorder="1" applyAlignment="1" applyProtection="1">
      <alignment horizontal="center" vertical="center" wrapText="1"/>
      <protection locked="0"/>
    </xf>
    <xf numFmtId="0" fontId="81" fillId="0" borderId="1" xfId="0" applyFont="1" applyBorder="1" applyAlignment="1" applyProtection="1">
      <alignment horizontal="justify" vertical="top" wrapText="1"/>
      <protection locked="0"/>
    </xf>
    <xf numFmtId="165" fontId="0" fillId="0" borderId="1" xfId="0" applyNumberFormat="1" applyBorder="1" applyAlignment="1" applyProtection="1">
      <alignment horizontal="center" vertical="center" wrapText="1"/>
      <protection locked="0"/>
    </xf>
    <xf numFmtId="9" fontId="0" fillId="0" borderId="1" xfId="0" applyNumberFormat="1" applyBorder="1" applyAlignment="1" applyProtection="1">
      <alignment horizontal="center" vertical="center"/>
      <protection locked="0"/>
    </xf>
    <xf numFmtId="0" fontId="81" fillId="0" borderId="1" xfId="0" quotePrefix="1" applyFont="1" applyBorder="1" applyAlignment="1" applyProtection="1">
      <alignment horizontal="justify" vertical="top" wrapText="1"/>
      <protection locked="0"/>
    </xf>
    <xf numFmtId="0" fontId="5" fillId="13" borderId="1" xfId="0" applyFont="1" applyFill="1" applyBorder="1" applyAlignment="1" applyProtection="1">
      <alignment horizontal="justify" vertical="top" wrapText="1"/>
      <protection locked="0"/>
    </xf>
    <xf numFmtId="0" fontId="0" fillId="13" borderId="1" xfId="0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justify" vertical="top" wrapText="1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7" fillId="0" borderId="1" xfId="0" quotePrefix="1" applyFont="1" applyBorder="1" applyAlignment="1" applyProtection="1">
      <alignment horizontal="left" vertical="top" wrapText="1"/>
      <protection locked="0"/>
    </xf>
    <xf numFmtId="0" fontId="5" fillId="0" borderId="1" xfId="0" applyFont="1" applyBorder="1" applyAlignment="1" applyProtection="1">
      <alignment horizontal="justify" vertical="top" wrapText="1"/>
      <protection locked="0"/>
    </xf>
    <xf numFmtId="0" fontId="8" fillId="13" borderId="1" xfId="0" applyFont="1" applyFill="1" applyBorder="1" applyAlignment="1" applyProtection="1">
      <alignment horizontal="justify" vertical="top" wrapText="1"/>
      <protection locked="0"/>
    </xf>
    <xf numFmtId="0" fontId="8" fillId="0" borderId="0" xfId="0" applyFont="1" applyFill="1" applyBorder="1" applyAlignment="1" applyProtection="1">
      <alignment horizontal="justify" vertical="top" wrapText="1"/>
      <protection locked="0"/>
    </xf>
    <xf numFmtId="0" fontId="23" fillId="40" borderId="12" xfId="0" applyFont="1" applyFill="1" applyBorder="1" applyProtection="1">
      <protection locked="0"/>
    </xf>
    <xf numFmtId="0" fontId="5" fillId="16" borderId="29" xfId="0" applyFont="1" applyFill="1" applyBorder="1" applyAlignment="1" applyProtection="1">
      <alignment horizontal="justify" vertical="top" wrapText="1"/>
      <protection locked="0"/>
    </xf>
    <xf numFmtId="0" fontId="23" fillId="40" borderId="29" xfId="0" applyFont="1" applyFill="1" applyBorder="1" applyAlignment="1" applyProtection="1">
      <alignment horizontal="center" vertical="center"/>
      <protection locked="0"/>
    </xf>
    <xf numFmtId="0" fontId="23" fillId="40" borderId="1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protection locked="0"/>
    </xf>
    <xf numFmtId="0" fontId="0" fillId="14" borderId="16" xfId="0" applyFill="1" applyBorder="1" applyAlignment="1" applyProtection="1">
      <alignment horizontal="center" vertical="center"/>
      <protection locked="0"/>
    </xf>
    <xf numFmtId="0" fontId="0" fillId="2" borderId="1" xfId="0" applyFont="1" applyFill="1" applyBorder="1" applyAlignment="1" applyProtection="1">
      <protection locked="0"/>
    </xf>
    <xf numFmtId="0" fontId="0" fillId="27" borderId="1" xfId="0" applyFont="1" applyFill="1" applyBorder="1" applyAlignment="1" applyProtection="1">
      <protection locked="0"/>
    </xf>
    <xf numFmtId="0" fontId="0" fillId="26" borderId="5" xfId="0" applyFill="1" applyBorder="1" applyAlignment="1" applyProtection="1">
      <alignment horizontal="center" vertical="center" wrapTex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3" fillId="27" borderId="1" xfId="0" applyFont="1" applyFill="1" applyBorder="1" applyAlignment="1" applyProtection="1">
      <alignment horizontal="center" vertical="center"/>
      <protection locked="0"/>
    </xf>
    <xf numFmtId="0" fontId="0" fillId="27" borderId="1" xfId="0" applyFill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/>
      <protection locked="0"/>
    </xf>
    <xf numFmtId="165" fontId="0" fillId="0" borderId="1" xfId="0" applyNumberFormat="1" applyBorder="1" applyAlignment="1" applyProtection="1">
      <protection locked="0"/>
    </xf>
    <xf numFmtId="0" fontId="3" fillId="0" borderId="1" xfId="0" applyFont="1" applyFill="1" applyBorder="1" applyAlignment="1" applyProtection="1">
      <protection locked="0"/>
    </xf>
    <xf numFmtId="165" fontId="3" fillId="28" borderId="1" xfId="0" applyNumberFormat="1" applyFont="1" applyFill="1" applyBorder="1" applyAlignment="1" applyProtection="1">
      <alignment horizontal="center" vertical="center"/>
      <protection locked="0"/>
    </xf>
    <xf numFmtId="165" fontId="3" fillId="26" borderId="1" xfId="0" applyNumberFormat="1" applyFont="1" applyFill="1" applyBorder="1" applyAlignment="1" applyProtection="1">
      <alignment horizontal="center" vertical="center"/>
      <protection locked="0"/>
    </xf>
    <xf numFmtId="0" fontId="0" fillId="26" borderId="7" xfId="0" applyFill="1" applyBorder="1" applyAlignment="1" applyProtection="1">
      <alignment horizontal="center" vertical="center" wrapText="1"/>
      <protection locked="0"/>
    </xf>
    <xf numFmtId="0" fontId="0" fillId="26" borderId="8" xfId="0" applyFill="1" applyBorder="1" applyAlignment="1" applyProtection="1">
      <alignment horizontal="center" vertical="center" wrapText="1"/>
      <protection locked="0"/>
    </xf>
    <xf numFmtId="0" fontId="0" fillId="28" borderId="1" xfId="0" applyFill="1" applyBorder="1" applyAlignment="1" applyProtection="1">
      <protection locked="0"/>
    </xf>
    <xf numFmtId="0" fontId="0" fillId="28" borderId="2" xfId="0" applyFill="1" applyBorder="1" applyAlignment="1" applyProtection="1">
      <protection locked="0"/>
    </xf>
    <xf numFmtId="0" fontId="0" fillId="28" borderId="16" xfId="0" applyFill="1" applyBorder="1" applyAlignment="1" applyProtection="1">
      <protection locked="0"/>
    </xf>
    <xf numFmtId="0" fontId="0" fillId="26" borderId="1" xfId="0" applyFill="1" applyBorder="1" applyAlignment="1" applyProtection="1">
      <protection locked="0"/>
    </xf>
    <xf numFmtId="165" fontId="3" fillId="0" borderId="1" xfId="0" applyNumberFormat="1" applyFont="1" applyFill="1" applyBorder="1" applyAlignment="1" applyProtection="1">
      <protection locked="0"/>
    </xf>
    <xf numFmtId="165" fontId="3" fillId="0" borderId="0" xfId="0" applyNumberFormat="1" applyFont="1" applyFill="1" applyBorder="1" applyAlignment="1" applyProtection="1">
      <protection locked="0"/>
    </xf>
    <xf numFmtId="0" fontId="3" fillId="4" borderId="1" xfId="0" applyFont="1" applyFill="1" applyBorder="1" applyAlignment="1" applyProtection="1">
      <protection locked="0"/>
    </xf>
    <xf numFmtId="165" fontId="3" fillId="4" borderId="1" xfId="0" applyNumberFormat="1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0" fontId="0" fillId="21" borderId="1" xfId="0" applyFont="1" applyFill="1" applyBorder="1" applyAlignment="1" applyProtection="1">
      <protection locked="0"/>
    </xf>
    <xf numFmtId="0" fontId="0" fillId="29" borderId="1" xfId="0" applyFont="1" applyFill="1" applyBorder="1" applyAlignment="1" applyProtection="1"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0" fillId="21" borderId="1" xfId="0" applyFill="1" applyBorder="1" applyAlignment="1" applyProtection="1">
      <alignment horizontal="center" vertical="center"/>
      <protection locked="0"/>
    </xf>
    <xf numFmtId="0" fontId="3" fillId="29" borderId="1" xfId="0" applyFont="1" applyFill="1" applyBorder="1" applyAlignment="1" applyProtection="1">
      <alignment horizontal="center" vertical="center"/>
      <protection locked="0"/>
    </xf>
    <xf numFmtId="0" fontId="0" fillId="29" borderId="1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protection locked="0"/>
    </xf>
    <xf numFmtId="165" fontId="3" fillId="30" borderId="1" xfId="0" applyNumberFormat="1" applyFont="1" applyFill="1" applyBorder="1" applyAlignment="1" applyProtection="1">
      <alignment horizontal="center" vertical="center"/>
      <protection locked="0"/>
    </xf>
    <xf numFmtId="165" fontId="3" fillId="31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65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31" borderId="1" xfId="0" applyFill="1" applyBorder="1" applyAlignment="1" applyProtection="1">
      <protection locked="0"/>
    </xf>
    <xf numFmtId="0" fontId="3" fillId="0" borderId="11" xfId="0" applyFont="1" applyBorder="1" applyProtection="1"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0" fillId="21" borderId="11" xfId="0" applyFill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21" borderId="22" xfId="0" applyFill="1" applyBorder="1" applyAlignment="1" applyProtection="1">
      <alignment horizontal="center"/>
      <protection locked="0"/>
    </xf>
    <xf numFmtId="0" fontId="0" fillId="0" borderId="19" xfId="0" applyNumberFormat="1" applyBorder="1" applyProtection="1">
      <protection locked="0"/>
    </xf>
    <xf numFmtId="0" fontId="0" fillId="0" borderId="17" xfId="0" applyNumberFormat="1" applyBorder="1" applyProtection="1"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165" fontId="0" fillId="0" borderId="1" xfId="7" applyNumberFormat="1" applyFont="1" applyBorder="1" applyAlignment="1" applyProtection="1">
      <alignment vertical="center" wrapText="1"/>
      <protection locked="0"/>
    </xf>
    <xf numFmtId="165" fontId="0" fillId="0" borderId="1" xfId="7" applyNumberFormat="1" applyFont="1" applyBorder="1" applyAlignment="1" applyProtection="1">
      <alignment vertical="top" wrapText="1"/>
      <protection locked="0"/>
    </xf>
    <xf numFmtId="165" fontId="0" fillId="0" borderId="1" xfId="0" applyNumberFormat="1" applyBorder="1" applyAlignment="1" applyProtection="1">
      <alignment vertical="center" wrapText="1"/>
      <protection locked="0"/>
    </xf>
    <xf numFmtId="165" fontId="0" fillId="0" borderId="20" xfId="0" applyNumberFormat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protection locked="0"/>
    </xf>
    <xf numFmtId="165" fontId="0" fillId="0" borderId="1" xfId="0" applyNumberFormat="1" applyFill="1" applyBorder="1" applyAlignment="1" applyProtection="1">
      <alignment vertical="center" wrapText="1"/>
      <protection locked="0"/>
    </xf>
    <xf numFmtId="0" fontId="0" fillId="23" borderId="1" xfId="0" applyFill="1" applyBorder="1" applyAlignment="1" applyProtection="1">
      <alignment horizontal="center" vertical="center"/>
      <protection locked="0"/>
    </xf>
    <xf numFmtId="165" fontId="0" fillId="23" borderId="1" xfId="0" applyNumberFormat="1" applyFill="1" applyBorder="1" applyAlignment="1" applyProtection="1">
      <alignment vertical="center" wrapText="1"/>
      <protection locked="0"/>
    </xf>
    <xf numFmtId="0" fontId="0" fillId="0" borderId="0" xfId="0" applyAlignment="1" applyProtection="1">
      <protection locked="0"/>
    </xf>
    <xf numFmtId="0" fontId="53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locked="0"/>
    </xf>
    <xf numFmtId="173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vertical="center"/>
      <protection locked="0"/>
    </xf>
    <xf numFmtId="0" fontId="61" fillId="0" borderId="0" xfId="0" applyFont="1" applyFill="1" applyAlignment="1" applyProtection="1">
      <alignment vertical="top"/>
      <protection locked="0"/>
    </xf>
    <xf numFmtId="0" fontId="60" fillId="0" borderId="19" xfId="8" applyFont="1" applyBorder="1" applyAlignment="1" applyProtection="1">
      <alignment vertical="center"/>
      <protection locked="0"/>
    </xf>
    <xf numFmtId="0" fontId="59" fillId="0" borderId="18" xfId="8" applyFont="1" applyBorder="1" applyAlignment="1" applyProtection="1">
      <alignment vertical="center"/>
      <protection locked="0"/>
    </xf>
    <xf numFmtId="0" fontId="47" fillId="0" borderId="18" xfId="10" applyBorder="1" applyAlignment="1" applyProtection="1">
      <alignment vertical="center"/>
      <protection locked="0"/>
    </xf>
    <xf numFmtId="173" fontId="48" fillId="0" borderId="18" xfId="11" applyNumberFormat="1" applyBorder="1" applyAlignment="1" applyProtection="1">
      <alignment horizontal="left" vertical="center" indent="1"/>
      <protection locked="0"/>
    </xf>
    <xf numFmtId="0" fontId="47" fillId="0" borderId="18" xfId="10" applyBorder="1" applyAlignment="1" applyProtection="1">
      <alignment horizontal="right" vertical="center"/>
      <protection locked="0"/>
    </xf>
    <xf numFmtId="0" fontId="58" fillId="0" borderId="18" xfId="10" applyFont="1" applyBorder="1" applyAlignment="1" applyProtection="1">
      <alignment horizontal="right" vertical="center"/>
      <protection locked="0"/>
    </xf>
    <xf numFmtId="0" fontId="47" fillId="0" borderId="17" xfId="10" applyBorder="1" applyAlignment="1" applyProtection="1">
      <alignment horizontal="right" vertical="center"/>
      <protection locked="0"/>
    </xf>
    <xf numFmtId="176" fontId="15" fillId="9" borderId="0" xfId="16" applyNumberFormat="1" applyFont="1" applyFill="1" applyBorder="1" applyAlignment="1" applyProtection="1">
      <alignment horizontal="left" vertical="center" indent="1"/>
      <protection locked="0"/>
    </xf>
    <xf numFmtId="0" fontId="57" fillId="47" borderId="0" xfId="9" applyNumberFormat="1" applyFont="1" applyFill="1" applyBorder="1" applyAlignment="1" applyProtection="1">
      <alignment horizontal="left" vertical="center" wrapText="1" indent="1"/>
      <protection locked="0"/>
    </xf>
    <xf numFmtId="173" fontId="57" fillId="47" borderId="0" xfId="9" applyNumberFormat="1" applyFont="1" applyFill="1" applyBorder="1" applyAlignment="1" applyProtection="1">
      <alignment horizontal="left" vertical="center" wrapText="1" indent="1"/>
      <protection locked="0"/>
    </xf>
    <xf numFmtId="0" fontId="15" fillId="0" borderId="0" xfId="15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15" applyNumberFormat="1" applyFont="1" applyFill="1" applyBorder="1" applyAlignment="1" applyProtection="1">
      <alignment horizontal="center" vertical="center" wrapText="1"/>
      <protection locked="0"/>
    </xf>
    <xf numFmtId="173" fontId="15" fillId="0" borderId="0" xfId="14" applyNumberFormat="1" applyFont="1" applyFill="1" applyBorder="1" applyAlignment="1" applyProtection="1">
      <alignment horizontal="center" vertical="center"/>
      <protection locked="0"/>
    </xf>
    <xf numFmtId="0" fontId="15" fillId="0" borderId="0" xfId="13" applyNumberFormat="1" applyFont="1" applyFill="1" applyBorder="1" applyAlignment="1" applyProtection="1">
      <alignment horizontal="center" vertical="center"/>
      <protection locked="0"/>
    </xf>
    <xf numFmtId="0" fontId="0" fillId="0" borderId="0" xfId="13" applyNumberFormat="1" applyFont="1" applyFill="1" applyBorder="1" applyAlignment="1" applyProtection="1">
      <alignment horizontal="center" vertical="center"/>
      <protection locked="0"/>
    </xf>
    <xf numFmtId="0" fontId="0" fillId="0" borderId="0" xfId="12" applyNumberFormat="1" applyFont="1" applyFill="1" applyBorder="1" applyAlignment="1" applyProtection="1">
      <alignment horizontal="center" vertical="center"/>
      <protection locked="0"/>
    </xf>
    <xf numFmtId="0" fontId="15" fillId="51" borderId="0" xfId="15" applyNumberFormat="1" applyFont="1" applyFill="1" applyBorder="1" applyAlignment="1" applyProtection="1">
      <alignment horizontal="center" vertical="center" wrapText="1"/>
      <protection locked="0"/>
    </xf>
    <xf numFmtId="0" fontId="0" fillId="51" borderId="0" xfId="15" applyNumberFormat="1" applyFont="1" applyFill="1" applyBorder="1" applyAlignment="1" applyProtection="1">
      <alignment horizontal="center" vertical="center" wrapText="1"/>
      <protection locked="0"/>
    </xf>
    <xf numFmtId="173" fontId="15" fillId="51" borderId="0" xfId="14" applyNumberFormat="1" applyFont="1" applyFill="1" applyBorder="1" applyAlignment="1" applyProtection="1">
      <alignment horizontal="center" vertical="center"/>
      <protection locked="0"/>
    </xf>
    <xf numFmtId="0" fontId="15" fillId="51" borderId="0" xfId="13" applyNumberFormat="1" applyFont="1" applyFill="1" applyBorder="1" applyAlignment="1" applyProtection="1">
      <alignment horizontal="center" vertical="center"/>
      <protection locked="0"/>
    </xf>
    <xf numFmtId="0" fontId="56" fillId="51" borderId="0" xfId="13" applyNumberFormat="1" applyFont="1" applyFill="1" applyBorder="1" applyAlignment="1" applyProtection="1">
      <alignment horizontal="center" vertical="center"/>
      <protection locked="0"/>
    </xf>
    <xf numFmtId="0" fontId="0" fillId="51" borderId="0" xfId="13" applyNumberFormat="1" applyFont="1" applyFill="1" applyBorder="1" applyAlignment="1" applyProtection="1">
      <alignment horizontal="center" vertical="center"/>
      <protection locked="0"/>
    </xf>
    <xf numFmtId="0" fontId="0" fillId="51" borderId="0" xfId="12" applyNumberFormat="1" applyFont="1" applyFill="1" applyBorder="1" applyAlignment="1" applyProtection="1">
      <alignment horizontal="center" vertical="center"/>
      <protection locked="0"/>
    </xf>
    <xf numFmtId="0" fontId="55" fillId="51" borderId="0" xfId="13" applyNumberFormat="1" applyFont="1" applyFill="1" applyBorder="1" applyAlignment="1" applyProtection="1">
      <alignment horizontal="center" vertical="center"/>
      <protection locked="0"/>
    </xf>
    <xf numFmtId="0" fontId="54" fillId="51" borderId="0" xfId="13" applyNumberFormat="1" applyFont="1" applyFill="1" applyBorder="1" applyAlignment="1" applyProtection="1">
      <alignment horizontal="center" vertical="center"/>
      <protection locked="0"/>
    </xf>
    <xf numFmtId="3" fontId="27" fillId="0" borderId="0" xfId="0" applyNumberFormat="1" applyFont="1" applyAlignment="1" applyProtection="1">
      <alignment horizontal="center"/>
      <protection locked="0"/>
    </xf>
    <xf numFmtId="0" fontId="27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center"/>
      <protection locked="0"/>
    </xf>
    <xf numFmtId="3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3" fontId="12" fillId="0" borderId="0" xfId="0" applyNumberFormat="1" applyFont="1" applyBorder="1" applyAlignment="1" applyProtection="1">
      <alignment horizontal="center" vertical="center"/>
      <protection locked="0"/>
    </xf>
    <xf numFmtId="3" fontId="27" fillId="0" borderId="0" xfId="0" applyNumberFormat="1" applyFont="1" applyAlignment="1" applyProtection="1">
      <alignment horizontal="center" vertical="center"/>
      <protection locked="0"/>
    </xf>
    <xf numFmtId="0" fontId="12" fillId="14" borderId="11" xfId="0" applyFont="1" applyFill="1" applyBorder="1" applyAlignment="1" applyProtection="1">
      <alignment horizontal="center"/>
      <protection locked="0"/>
    </xf>
    <xf numFmtId="3" fontId="27" fillId="14" borderId="29" xfId="0" applyNumberFormat="1" applyFont="1" applyFill="1" applyBorder="1" applyAlignment="1" applyProtection="1">
      <alignment horizontal="center"/>
      <protection locked="0"/>
    </xf>
    <xf numFmtId="0" fontId="27" fillId="14" borderId="29" xfId="0" applyFont="1" applyFill="1" applyBorder="1" applyAlignment="1" applyProtection="1">
      <alignment horizontal="center"/>
      <protection locked="0"/>
    </xf>
    <xf numFmtId="0" fontId="12" fillId="14" borderId="22" xfId="0" applyFont="1" applyFill="1" applyBorder="1" applyAlignment="1" applyProtection="1">
      <alignment horizontal="center"/>
      <protection locked="0"/>
    </xf>
    <xf numFmtId="3" fontId="51" fillId="34" borderId="8" xfId="0" applyNumberFormat="1" applyFont="1" applyFill="1" applyBorder="1" applyAlignment="1" applyProtection="1">
      <alignment horizontal="center" vertical="center"/>
      <protection locked="0"/>
    </xf>
    <xf numFmtId="3" fontId="5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protection locked="0"/>
    </xf>
    <xf numFmtId="0" fontId="12" fillId="14" borderId="24" xfId="0" applyFont="1" applyFill="1" applyBorder="1" applyAlignment="1" applyProtection="1">
      <alignment horizontal="center"/>
      <protection locked="0"/>
    </xf>
    <xf numFmtId="3" fontId="51" fillId="34" borderId="16" xfId="0" applyNumberFormat="1" applyFont="1" applyFill="1" applyBorder="1" applyAlignment="1" applyProtection="1">
      <alignment horizontal="center" vertical="center"/>
      <protection locked="0"/>
    </xf>
    <xf numFmtId="3" fontId="51" fillId="5" borderId="2" xfId="0" applyNumberFormat="1" applyFont="1" applyFill="1" applyBorder="1" applyAlignment="1" applyProtection="1">
      <alignment horizontal="center" vertical="center"/>
      <protection locked="0"/>
    </xf>
    <xf numFmtId="3" fontId="27" fillId="34" borderId="0" xfId="0" applyNumberFormat="1" applyFont="1" applyFill="1" applyAlignment="1" applyProtection="1">
      <alignment horizontal="center"/>
      <protection locked="0"/>
    </xf>
    <xf numFmtId="0" fontId="12" fillId="14" borderId="25" xfId="0" applyFont="1" applyFill="1" applyBorder="1" applyAlignment="1" applyProtection="1">
      <alignment horizontal="center"/>
      <protection locked="0"/>
    </xf>
    <xf numFmtId="0" fontId="12" fillId="0" borderId="0" xfId="0" applyFont="1" applyAlignment="1" applyProtection="1">
      <protection locked="0"/>
    </xf>
    <xf numFmtId="0" fontId="34" fillId="0" borderId="0" xfId="0" applyFont="1" applyProtection="1">
      <protection locked="0"/>
    </xf>
    <xf numFmtId="0" fontId="34" fillId="0" borderId="0" xfId="0" applyFont="1" applyBorder="1" applyProtection="1">
      <protection locked="0"/>
    </xf>
    <xf numFmtId="0" fontId="34" fillId="16" borderId="39" xfId="0" applyFont="1" applyFill="1" applyBorder="1" applyProtection="1">
      <protection locked="0"/>
    </xf>
    <xf numFmtId="0" fontId="67" fillId="16" borderId="0" xfId="0" applyFont="1" applyFill="1" applyBorder="1" applyProtection="1">
      <protection locked="0"/>
    </xf>
    <xf numFmtId="0" fontId="34" fillId="16" borderId="0" xfId="0" applyFont="1" applyFill="1" applyBorder="1" applyProtection="1">
      <protection locked="0"/>
    </xf>
    <xf numFmtId="0" fontId="34" fillId="16" borderId="40" xfId="0" applyFont="1" applyFill="1" applyBorder="1" applyProtection="1">
      <protection locked="0"/>
    </xf>
    <xf numFmtId="0" fontId="34" fillId="0" borderId="0" xfId="0" applyFont="1" applyAlignment="1" applyProtection="1">
      <alignment horizontal="center"/>
      <protection locked="0"/>
    </xf>
    <xf numFmtId="0" fontId="70" fillId="62" borderId="0" xfId="0" applyFont="1" applyFill="1" applyAlignment="1" applyProtection="1">
      <alignment vertical="center"/>
      <protection locked="0"/>
    </xf>
    <xf numFmtId="0" fontId="71" fillId="16" borderId="0" xfId="0" applyFont="1" applyFill="1" applyBorder="1" applyAlignment="1" applyProtection="1">
      <alignment wrapText="1"/>
      <protection locked="0"/>
    </xf>
    <xf numFmtId="0" fontId="72" fillId="16" borderId="0" xfId="0" applyFont="1" applyFill="1" applyBorder="1" applyAlignment="1" applyProtection="1">
      <alignment wrapText="1"/>
      <protection locked="0"/>
    </xf>
    <xf numFmtId="0" fontId="34" fillId="16" borderId="0" xfId="0" applyFont="1" applyFill="1" applyBorder="1" applyAlignment="1" applyProtection="1">
      <alignment horizontal="center"/>
      <protection locked="0"/>
    </xf>
    <xf numFmtId="0" fontId="73" fillId="62" borderId="0" xfId="0" applyFont="1" applyFill="1" applyAlignment="1" applyProtection="1">
      <alignment horizontal="left" vertical="center"/>
      <protection locked="0"/>
    </xf>
    <xf numFmtId="0" fontId="34" fillId="16" borderId="42" xfId="0" applyFont="1" applyFill="1" applyBorder="1" applyProtection="1">
      <protection locked="0"/>
    </xf>
    <xf numFmtId="0" fontId="34" fillId="16" borderId="41" xfId="0" applyFont="1" applyFill="1" applyBorder="1" applyProtection="1">
      <protection locked="0"/>
    </xf>
    <xf numFmtId="0" fontId="34" fillId="16" borderId="60" xfId="0" applyFont="1" applyFill="1" applyBorder="1" applyProtection="1">
      <protection locked="0"/>
    </xf>
    <xf numFmtId="0" fontId="74" fillId="16" borderId="41" xfId="0" applyFont="1" applyFill="1" applyBorder="1" applyProtection="1">
      <protection locked="0"/>
    </xf>
    <xf numFmtId="0" fontId="34" fillId="16" borderId="43" xfId="0" applyFont="1" applyFill="1" applyBorder="1" applyProtection="1">
      <protection locked="0"/>
    </xf>
    <xf numFmtId="0" fontId="76" fillId="9" borderId="0" xfId="17" applyFont="1" applyFill="1" applyAlignment="1" applyProtection="1">
      <alignment horizontal="left"/>
      <protection locked="0"/>
    </xf>
    <xf numFmtId="0" fontId="34" fillId="0" borderId="0" xfId="0" applyFont="1" applyBorder="1" applyAlignment="1" applyProtection="1">
      <protection locked="0"/>
    </xf>
    <xf numFmtId="0" fontId="34" fillId="63" borderId="36" xfId="0" applyFont="1" applyFill="1" applyBorder="1" applyProtection="1">
      <protection locked="0"/>
    </xf>
    <xf numFmtId="0" fontId="34" fillId="63" borderId="37" xfId="0" applyFont="1" applyFill="1" applyBorder="1" applyProtection="1">
      <protection locked="0"/>
    </xf>
    <xf numFmtId="0" fontId="34" fillId="63" borderId="38" xfId="0" applyFont="1" applyFill="1" applyBorder="1" applyProtection="1">
      <protection locked="0"/>
    </xf>
    <xf numFmtId="0" fontId="34" fillId="63" borderId="39" xfId="0" applyFont="1" applyFill="1" applyBorder="1" applyProtection="1">
      <protection locked="0"/>
    </xf>
    <xf numFmtId="0" fontId="36" fillId="63" borderId="0" xfId="0" applyFont="1" applyFill="1" applyBorder="1" applyProtection="1">
      <protection locked="0"/>
    </xf>
    <xf numFmtId="0" fontId="34" fillId="63" borderId="0" xfId="0" applyFont="1" applyFill="1" applyBorder="1" applyProtection="1">
      <protection locked="0"/>
    </xf>
    <xf numFmtId="0" fontId="36" fillId="63" borderId="0" xfId="0" applyFont="1" applyFill="1" applyBorder="1" applyAlignment="1" applyProtection="1">
      <alignment horizontal="right"/>
      <protection locked="0"/>
    </xf>
    <xf numFmtId="0" fontId="36" fillId="63" borderId="0" xfId="0" applyFont="1" applyFill="1" applyBorder="1" applyAlignment="1" applyProtection="1">
      <alignment horizontal="center"/>
      <protection locked="0"/>
    </xf>
    <xf numFmtId="0" fontId="36" fillId="63" borderId="0" xfId="0" applyFont="1" applyFill="1" applyBorder="1" applyAlignment="1" applyProtection="1">
      <protection locked="0"/>
    </xf>
    <xf numFmtId="0" fontId="34" fillId="63" borderId="40" xfId="0" applyFont="1" applyFill="1" applyBorder="1" applyProtection="1">
      <protection locked="0"/>
    </xf>
    <xf numFmtId="0" fontId="34" fillId="63" borderId="42" xfId="0" applyFont="1" applyFill="1" applyBorder="1" applyProtection="1">
      <protection locked="0"/>
    </xf>
    <xf numFmtId="0" fontId="34" fillId="63" borderId="41" xfId="0" applyFont="1" applyFill="1" applyBorder="1" applyProtection="1">
      <protection locked="0"/>
    </xf>
    <xf numFmtId="0" fontId="34" fillId="63" borderId="41" xfId="0" applyFont="1" applyFill="1" applyBorder="1" applyAlignment="1" applyProtection="1">
      <alignment horizontal="right"/>
      <protection locked="0"/>
    </xf>
    <xf numFmtId="170" fontId="34" fillId="63" borderId="41" xfId="0" applyNumberFormat="1" applyFont="1" applyFill="1" applyBorder="1" applyAlignment="1" applyProtection="1">
      <alignment horizontal="center"/>
      <protection locked="0"/>
    </xf>
    <xf numFmtId="0" fontId="34" fillId="63" borderId="41" xfId="0" applyFont="1" applyFill="1" applyBorder="1" applyAlignment="1" applyProtection="1">
      <alignment horizontal="center"/>
      <protection locked="0"/>
    </xf>
    <xf numFmtId="171" fontId="34" fillId="63" borderId="41" xfId="0" applyNumberFormat="1" applyFont="1" applyFill="1" applyBorder="1" applyAlignment="1" applyProtection="1">
      <alignment horizontal="center"/>
      <protection locked="0"/>
    </xf>
    <xf numFmtId="0" fontId="34" fillId="63" borderId="41" xfId="0" applyFont="1" applyFill="1" applyBorder="1" applyAlignment="1" applyProtection="1">
      <alignment horizontal="right" wrapText="1"/>
      <protection locked="0"/>
    </xf>
    <xf numFmtId="0" fontId="34" fillId="63" borderId="43" xfId="0" applyFont="1" applyFill="1" applyBorder="1" applyProtection="1">
      <protection locked="0"/>
    </xf>
    <xf numFmtId="0" fontId="34" fillId="0" borderId="0" xfId="0" applyFont="1" applyAlignment="1" applyProtection="1">
      <alignment wrapText="1"/>
      <protection locked="0"/>
    </xf>
    <xf numFmtId="0" fontId="34" fillId="0" borderId="36" xfId="0" applyFont="1" applyFill="1" applyBorder="1" applyProtection="1">
      <protection locked="0"/>
    </xf>
    <xf numFmtId="0" fontId="34" fillId="0" borderId="37" xfId="0" applyFont="1" applyFill="1" applyBorder="1" applyProtection="1">
      <protection locked="0"/>
    </xf>
    <xf numFmtId="0" fontId="34" fillId="0" borderId="38" xfId="0" applyFont="1" applyFill="1" applyBorder="1" applyProtection="1">
      <protection locked="0"/>
    </xf>
    <xf numFmtId="0" fontId="34" fillId="0" borderId="39" xfId="0" applyFont="1" applyFill="1" applyBorder="1" applyProtection="1">
      <protection locked="0"/>
    </xf>
    <xf numFmtId="0" fontId="35" fillId="0" borderId="0" xfId="0" applyFont="1" applyFill="1" applyBorder="1" applyProtection="1">
      <protection locked="0"/>
    </xf>
    <xf numFmtId="0" fontId="36" fillId="0" borderId="0" xfId="0" applyFont="1" applyFill="1" applyBorder="1" applyProtection="1">
      <protection locked="0"/>
    </xf>
    <xf numFmtId="0" fontId="34" fillId="0" borderId="0" xfId="0" applyFont="1" applyFill="1" applyBorder="1" applyProtection="1">
      <protection locked="0"/>
    </xf>
    <xf numFmtId="0" fontId="34" fillId="0" borderId="40" xfId="0" applyFont="1" applyFill="1" applyBorder="1" applyProtection="1">
      <protection locked="0"/>
    </xf>
    <xf numFmtId="0" fontId="34" fillId="0" borderId="0" xfId="0" applyFont="1" applyFill="1" applyBorder="1" applyAlignment="1" applyProtection="1">
      <protection locked="0"/>
    </xf>
    <xf numFmtId="0" fontId="34" fillId="0" borderId="0" xfId="0" applyFont="1" applyFill="1" applyBorder="1" applyAlignment="1" applyProtection="1">
      <alignment horizontal="left"/>
      <protection locked="0"/>
    </xf>
    <xf numFmtId="165" fontId="36" fillId="0" borderId="0" xfId="0" applyNumberFormat="1" applyFont="1" applyFill="1" applyBorder="1" applyProtection="1">
      <protection locked="0"/>
    </xf>
    <xf numFmtId="0" fontId="36" fillId="0" borderId="39" xfId="0" applyFont="1" applyFill="1" applyBorder="1" applyProtection="1">
      <protection locked="0"/>
    </xf>
    <xf numFmtId="0" fontId="36" fillId="0" borderId="0" xfId="0" applyFont="1" applyFill="1" applyBorder="1" applyAlignment="1" applyProtection="1">
      <protection locked="0"/>
    </xf>
    <xf numFmtId="0" fontId="36" fillId="0" borderId="0" xfId="0" applyFont="1" applyFill="1" applyBorder="1" applyAlignment="1" applyProtection="1">
      <alignment horizontal="right"/>
      <protection locked="0"/>
    </xf>
    <xf numFmtId="0" fontId="34" fillId="0" borderId="0" xfId="0" applyFont="1" applyFill="1" applyProtection="1">
      <protection locked="0"/>
    </xf>
    <xf numFmtId="0" fontId="35" fillId="0" borderId="0" xfId="0" applyFont="1" applyFill="1" applyBorder="1" applyAlignment="1" applyProtection="1">
      <alignment horizontal="right"/>
      <protection locked="0"/>
    </xf>
    <xf numFmtId="165" fontId="34" fillId="0" borderId="0" xfId="0" applyNumberFormat="1" applyFont="1" applyFill="1" applyBorder="1" applyAlignment="1" applyProtection="1">
      <protection locked="0"/>
    </xf>
    <xf numFmtId="165" fontId="34" fillId="0" borderId="0" xfId="0" applyNumberFormat="1" applyFont="1" applyFill="1" applyBorder="1" applyProtection="1">
      <protection locked="0"/>
    </xf>
    <xf numFmtId="0" fontId="34" fillId="0" borderId="42" xfId="0" applyFont="1" applyFill="1" applyBorder="1" applyProtection="1">
      <protection locked="0"/>
    </xf>
    <xf numFmtId="0" fontId="34" fillId="0" borderId="41" xfId="0" applyFont="1" applyFill="1" applyBorder="1" applyProtection="1">
      <protection locked="0"/>
    </xf>
    <xf numFmtId="0" fontId="34" fillId="0" borderId="43" xfId="0" applyFont="1" applyFill="1" applyBorder="1" applyProtection="1">
      <protection locked="0"/>
    </xf>
    <xf numFmtId="0" fontId="34" fillId="5" borderId="36" xfId="0" applyFont="1" applyFill="1" applyBorder="1" applyProtection="1">
      <protection locked="0"/>
    </xf>
    <xf numFmtId="0" fontId="34" fillId="5" borderId="37" xfId="0" applyFont="1" applyFill="1" applyBorder="1" applyProtection="1">
      <protection locked="0"/>
    </xf>
    <xf numFmtId="0" fontId="34" fillId="5" borderId="38" xfId="0" applyFont="1" applyFill="1" applyBorder="1" applyProtection="1">
      <protection locked="0"/>
    </xf>
    <xf numFmtId="0" fontId="34" fillId="5" borderId="39" xfId="0" applyFont="1" applyFill="1" applyBorder="1" applyProtection="1">
      <protection locked="0"/>
    </xf>
    <xf numFmtId="0" fontId="34" fillId="5" borderId="40" xfId="0" applyFont="1" applyFill="1" applyBorder="1" applyProtection="1">
      <protection locked="0"/>
    </xf>
    <xf numFmtId="0" fontId="34" fillId="5" borderId="0" xfId="0" applyFont="1" applyFill="1" applyBorder="1" applyProtection="1">
      <protection locked="0"/>
    </xf>
    <xf numFmtId="0" fontId="36" fillId="5" borderId="0" xfId="0" applyFont="1" applyFill="1" applyBorder="1" applyProtection="1">
      <protection locked="0"/>
    </xf>
    <xf numFmtId="0" fontId="36" fillId="5" borderId="0" xfId="0" applyFont="1" applyFill="1" applyBorder="1" applyAlignment="1" applyProtection="1">
      <alignment horizontal="right"/>
      <protection locked="0"/>
    </xf>
    <xf numFmtId="0" fontId="35" fillId="5" borderId="0" xfId="0" applyFont="1" applyFill="1" applyBorder="1" applyAlignment="1" applyProtection="1">
      <alignment horizontal="right"/>
      <protection locked="0"/>
    </xf>
    <xf numFmtId="165" fontId="34" fillId="5" borderId="0" xfId="0" applyNumberFormat="1" applyFont="1" applyFill="1" applyBorder="1" applyProtection="1">
      <protection locked="0"/>
    </xf>
    <xf numFmtId="0" fontId="34" fillId="5" borderId="42" xfId="0" applyFont="1" applyFill="1" applyBorder="1" applyProtection="1">
      <protection locked="0"/>
    </xf>
    <xf numFmtId="0" fontId="34" fillId="5" borderId="41" xfId="0" applyFont="1" applyFill="1" applyBorder="1" applyProtection="1">
      <protection locked="0"/>
    </xf>
    <xf numFmtId="0" fontId="34" fillId="5" borderId="43" xfId="0" applyFont="1" applyFill="1" applyBorder="1" applyProtection="1">
      <protection locked="0"/>
    </xf>
    <xf numFmtId="0" fontId="34" fillId="0" borderId="0" xfId="0" applyFont="1" applyAlignment="1" applyProtection="1">
      <alignment horizontal="right"/>
      <protection locked="0"/>
    </xf>
    <xf numFmtId="0" fontId="73" fillId="62" borderId="0" xfId="0" applyFont="1" applyFill="1" applyAlignment="1" applyProtection="1">
      <alignment horizontal="center" vertical="center"/>
      <protection locked="0"/>
    </xf>
    <xf numFmtId="0" fontId="70" fillId="62" borderId="0" xfId="0" applyFont="1" applyFill="1" applyAlignment="1" applyProtection="1">
      <alignment horizontal="left" vertical="center"/>
      <protection locked="0"/>
    </xf>
    <xf numFmtId="0" fontId="70" fillId="62" borderId="0" xfId="0" applyFont="1" applyFill="1" applyAlignment="1" applyProtection="1">
      <alignment horizontal="center" vertical="center"/>
      <protection locked="0"/>
    </xf>
    <xf numFmtId="0" fontId="78" fillId="0" borderId="0" xfId="0" applyFont="1" applyAlignment="1" applyProtection="1">
      <alignment horizontal="right"/>
      <protection locked="0"/>
    </xf>
    <xf numFmtId="0" fontId="79" fillId="0" borderId="0" xfId="0" applyFont="1" applyProtection="1">
      <protection locked="0"/>
    </xf>
    <xf numFmtId="0" fontId="76" fillId="9" borderId="0" xfId="17" applyFont="1" applyFill="1" applyAlignment="1" applyProtection="1">
      <alignment horizontal="right"/>
      <protection locked="0"/>
    </xf>
    <xf numFmtId="0" fontId="79" fillId="0" borderId="0" xfId="0" applyFont="1" applyAlignment="1" applyProtection="1">
      <alignment horizontal="right"/>
      <protection locked="0"/>
    </xf>
    <xf numFmtId="0" fontId="34" fillId="0" borderId="0" xfId="0" applyFont="1" applyBorder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0" fillId="0" borderId="0" xfId="0" applyFont="1" applyProtection="1">
      <protection locked="0"/>
    </xf>
    <xf numFmtId="38" fontId="75" fillId="0" borderId="0" xfId="17" applyNumberFormat="1" applyAlignment="1" applyProtection="1">
      <alignment horizontal="left"/>
      <protection locked="0"/>
    </xf>
    <xf numFmtId="0" fontId="44" fillId="25" borderId="1" xfId="6" applyNumberFormat="1" applyFont="1" applyFill="1" applyBorder="1" applyAlignment="1" applyProtection="1">
      <alignment horizontal="center" vertical="center" wrapText="1"/>
      <protection locked="0"/>
    </xf>
    <xf numFmtId="0" fontId="0" fillId="34" borderId="1" xfId="0" applyFill="1" applyBorder="1" applyAlignment="1" applyProtection="1">
      <alignment horizontal="center" vertical="center" wrapText="1"/>
      <protection locked="0"/>
    </xf>
    <xf numFmtId="0" fontId="65" fillId="34" borderId="1" xfId="5" applyFont="1" applyFill="1" applyBorder="1" applyAlignment="1" applyProtection="1">
      <alignment horizontal="center" vertical="center" wrapText="1"/>
      <protection locked="0"/>
    </xf>
    <xf numFmtId="0" fontId="0" fillId="40" borderId="1" xfId="0" applyFill="1" applyBorder="1" applyAlignment="1" applyProtection="1">
      <alignment horizontal="center" vertical="center" wrapText="1"/>
      <protection locked="0"/>
    </xf>
    <xf numFmtId="0" fontId="0" fillId="23" borderId="1" xfId="0" applyFill="1" applyBorder="1" applyAlignment="1" applyProtection="1">
      <alignment horizontal="center" vertical="center" wrapText="1"/>
      <protection locked="0"/>
    </xf>
    <xf numFmtId="0" fontId="0" fillId="40" borderId="20" xfId="0" applyFill="1" applyBorder="1" applyAlignment="1" applyProtection="1">
      <alignment horizontal="center" vertical="center" wrapText="1"/>
      <protection locked="0"/>
    </xf>
    <xf numFmtId="0" fontId="0" fillId="16" borderId="1" xfId="0" applyFill="1" applyBorder="1" applyAlignment="1" applyProtection="1">
      <alignment horizontal="center" vertical="center" wrapText="1"/>
      <protection locked="0"/>
    </xf>
    <xf numFmtId="3" fontId="26" fillId="25" borderId="1" xfId="0" applyNumberFormat="1" applyFont="1" applyFill="1" applyBorder="1" applyAlignment="1" applyProtection="1">
      <alignment horizontal="center"/>
      <protection locked="0"/>
    </xf>
    <xf numFmtId="3" fontId="25" fillId="0" borderId="1" xfId="0" applyNumberFormat="1" applyFont="1" applyBorder="1" applyAlignment="1" applyProtection="1">
      <protection locked="0"/>
    </xf>
    <xf numFmtId="0" fontId="24" fillId="0" borderId="1" xfId="0" applyFont="1" applyBorder="1" applyAlignment="1" applyProtection="1">
      <alignment wrapText="1"/>
      <protection locked="0"/>
    </xf>
    <xf numFmtId="3" fontId="25" fillId="0" borderId="1" xfId="0" applyNumberFormat="1" applyFont="1" applyBorder="1" applyAlignment="1" applyProtection="1">
      <alignment horizontal="center"/>
      <protection locked="0"/>
    </xf>
    <xf numFmtId="0" fontId="16" fillId="9" borderId="0" xfId="0" applyFont="1" applyFill="1" applyProtection="1">
      <protection locked="0"/>
    </xf>
    <xf numFmtId="0" fontId="17" fillId="40" borderId="19" xfId="0" applyFont="1" applyFill="1" applyBorder="1" applyAlignment="1" applyProtection="1">
      <alignment horizontal="center"/>
      <protection locked="0"/>
    </xf>
    <xf numFmtId="0" fontId="17" fillId="40" borderId="11" xfId="0" applyFont="1" applyFill="1" applyBorder="1" applyAlignment="1" applyProtection="1">
      <alignment horizontal="center"/>
      <protection locked="0"/>
    </xf>
    <xf numFmtId="0" fontId="17" fillId="40" borderId="17" xfId="0" applyFont="1" applyFill="1" applyBorder="1" applyAlignment="1" applyProtection="1">
      <alignment horizontal="center"/>
      <protection locked="0"/>
    </xf>
    <xf numFmtId="0" fontId="16" fillId="0" borderId="46" xfId="0" applyFont="1" applyBorder="1" applyAlignment="1" applyProtection="1">
      <alignment vertical="center" wrapText="1"/>
      <protection locked="0"/>
    </xf>
    <xf numFmtId="0" fontId="16" fillId="0" borderId="22" xfId="0" applyFont="1" applyBorder="1" applyAlignment="1" applyProtection="1">
      <alignment vertical="center" wrapText="1"/>
      <protection locked="0"/>
    </xf>
    <xf numFmtId="0" fontId="16" fillId="0" borderId="47" xfId="0" applyFont="1" applyBorder="1" applyAlignment="1" applyProtection="1">
      <alignment vertical="center" wrapText="1"/>
      <protection locked="0"/>
    </xf>
    <xf numFmtId="0" fontId="16" fillId="0" borderId="48" xfId="0" applyFont="1" applyBorder="1" applyAlignment="1" applyProtection="1">
      <alignment vertical="center" wrapText="1"/>
      <protection locked="0"/>
    </xf>
    <xf numFmtId="0" fontId="16" fillId="0" borderId="24" xfId="0" applyFont="1" applyBorder="1" applyAlignment="1" applyProtection="1">
      <alignment vertical="center" wrapText="1"/>
      <protection locked="0"/>
    </xf>
    <xf numFmtId="0" fontId="16" fillId="0" borderId="49" xfId="0" applyFont="1" applyBorder="1" applyAlignment="1" applyProtection="1">
      <alignment vertical="center" wrapText="1"/>
      <protection locked="0"/>
    </xf>
    <xf numFmtId="0" fontId="16" fillId="0" borderId="50" xfId="0" applyFont="1" applyBorder="1" applyAlignment="1" applyProtection="1">
      <alignment vertical="center" wrapText="1"/>
      <protection locked="0"/>
    </xf>
    <xf numFmtId="0" fontId="16" fillId="0" borderId="51" xfId="0" applyFont="1" applyBorder="1" applyAlignment="1" applyProtection="1">
      <alignment vertical="center" wrapText="1"/>
      <protection locked="0"/>
    </xf>
    <xf numFmtId="0" fontId="16" fillId="0" borderId="52" xfId="0" applyFont="1" applyBorder="1" applyAlignment="1" applyProtection="1">
      <alignment vertical="center" wrapText="1"/>
      <protection locked="0"/>
    </xf>
    <xf numFmtId="0" fontId="16" fillId="0" borderId="46" xfId="0" applyFont="1" applyBorder="1" applyAlignment="1" applyProtection="1">
      <alignment horizontal="left" vertical="center" wrapText="1"/>
      <protection locked="0"/>
    </xf>
    <xf numFmtId="0" fontId="16" fillId="0" borderId="22" xfId="0" applyFont="1" applyBorder="1" applyAlignment="1" applyProtection="1">
      <alignment horizontal="left" vertical="center" wrapText="1"/>
      <protection locked="0"/>
    </xf>
    <xf numFmtId="0" fontId="16" fillId="0" borderId="47" xfId="0" applyFont="1" applyBorder="1" applyAlignment="1" applyProtection="1">
      <alignment horizontal="left" vertical="center" wrapText="1"/>
      <protection locked="0"/>
    </xf>
    <xf numFmtId="0" fontId="16" fillId="0" borderId="48" xfId="0" applyFont="1" applyBorder="1" applyAlignment="1" applyProtection="1">
      <alignment horizontal="left" vertical="center" wrapText="1"/>
      <protection locked="0"/>
    </xf>
    <xf numFmtId="0" fontId="16" fillId="0" borderId="24" xfId="0" applyFont="1" applyBorder="1" applyAlignment="1" applyProtection="1">
      <alignment horizontal="left" vertical="center" wrapText="1"/>
      <protection locked="0"/>
    </xf>
    <xf numFmtId="0" fontId="16" fillId="0" borderId="49" xfId="0" applyFont="1" applyBorder="1" applyAlignment="1" applyProtection="1">
      <alignment horizontal="left" vertical="center" wrapText="1"/>
      <protection locked="0"/>
    </xf>
    <xf numFmtId="0" fontId="16" fillId="0" borderId="50" xfId="0" applyFont="1" applyBorder="1" applyAlignment="1" applyProtection="1">
      <alignment horizontal="left" vertical="center" wrapText="1"/>
      <protection locked="0"/>
    </xf>
    <xf numFmtId="0" fontId="16" fillId="0" borderId="51" xfId="0" applyFont="1" applyBorder="1" applyAlignment="1" applyProtection="1">
      <alignment horizontal="left" vertical="center" wrapText="1"/>
      <protection locked="0"/>
    </xf>
    <xf numFmtId="0" fontId="16" fillId="0" borderId="52" xfId="0" applyFont="1" applyBorder="1" applyAlignment="1" applyProtection="1">
      <alignment horizontal="left" vertical="center" wrapText="1"/>
      <protection locked="0"/>
    </xf>
    <xf numFmtId="0" fontId="17" fillId="16" borderId="19" xfId="0" applyFont="1" applyFill="1" applyBorder="1" applyAlignment="1" applyProtection="1">
      <alignment horizontal="center"/>
      <protection locked="0"/>
    </xf>
    <xf numFmtId="0" fontId="17" fillId="16" borderId="11" xfId="0" applyFont="1" applyFill="1" applyBorder="1" applyAlignment="1" applyProtection="1">
      <alignment horizontal="center"/>
      <protection locked="0"/>
    </xf>
    <xf numFmtId="0" fontId="17" fillId="16" borderId="17" xfId="0" applyFont="1" applyFill="1" applyBorder="1" applyAlignment="1" applyProtection="1">
      <alignment horizontal="center"/>
      <protection locked="0"/>
    </xf>
    <xf numFmtId="0" fontId="17" fillId="40" borderId="50" xfId="0" applyFont="1" applyFill="1" applyBorder="1" applyAlignment="1" applyProtection="1">
      <alignment horizontal="center"/>
      <protection locked="0"/>
    </xf>
    <xf numFmtId="0" fontId="17" fillId="40" borderId="51" xfId="0" applyFont="1" applyFill="1" applyBorder="1" applyAlignment="1" applyProtection="1">
      <alignment horizontal="center"/>
      <protection locked="0"/>
    </xf>
    <xf numFmtId="0" fontId="17" fillId="40" borderId="52" xfId="0" applyFont="1" applyFill="1" applyBorder="1" applyAlignment="1" applyProtection="1">
      <alignment horizontal="center"/>
      <protection locked="0"/>
    </xf>
    <xf numFmtId="0" fontId="16" fillId="0" borderId="55" xfId="0" applyFont="1" applyBorder="1" applyAlignment="1" applyProtection="1">
      <alignment horizontal="left" vertical="center" wrapText="1"/>
      <protection locked="0"/>
    </xf>
    <xf numFmtId="0" fontId="16" fillId="0" borderId="57" xfId="0" applyFont="1" applyBorder="1" applyAlignment="1" applyProtection="1">
      <alignment horizontal="left" vertical="center" wrapText="1"/>
      <protection locked="0"/>
    </xf>
    <xf numFmtId="0" fontId="16" fillId="0" borderId="58" xfId="0" applyFont="1" applyBorder="1" applyAlignment="1" applyProtection="1">
      <alignment horizontal="left" vertical="center" wrapText="1"/>
      <protection locked="0"/>
    </xf>
    <xf numFmtId="0" fontId="16" fillId="0" borderId="59" xfId="0" applyFont="1" applyBorder="1" applyAlignment="1" applyProtection="1">
      <alignment horizontal="left" vertical="center" wrapText="1"/>
      <protection locked="0"/>
    </xf>
    <xf numFmtId="0" fontId="16" fillId="0" borderId="25" xfId="0" applyFont="1" applyBorder="1" applyAlignment="1" applyProtection="1">
      <alignment horizontal="left" vertical="center" wrapText="1"/>
      <protection locked="0"/>
    </xf>
    <xf numFmtId="0" fontId="16" fillId="0" borderId="61" xfId="0" applyFont="1" applyBorder="1" applyAlignment="1" applyProtection="1">
      <alignment horizontal="left" vertical="center" wrapText="1"/>
      <protection locked="0"/>
    </xf>
    <xf numFmtId="0" fontId="27" fillId="9" borderId="0" xfId="0" applyFont="1" applyFill="1" applyProtection="1">
      <protection locked="0"/>
    </xf>
    <xf numFmtId="0" fontId="27" fillId="9" borderId="0" xfId="0" applyFont="1" applyFill="1" applyBorder="1" applyProtection="1">
      <protection locked="0"/>
    </xf>
    <xf numFmtId="0" fontId="30" fillId="9" borderId="0" xfId="0" applyFont="1" applyFill="1" applyProtection="1">
      <protection locked="0"/>
    </xf>
    <xf numFmtId="0" fontId="30" fillId="9" borderId="0" xfId="0" applyFont="1" applyFill="1" applyAlignment="1" applyProtection="1">
      <alignment horizontal="left" wrapText="1"/>
      <protection locked="0"/>
    </xf>
    <xf numFmtId="0" fontId="0" fillId="9" borderId="0" xfId="0" applyFill="1" applyProtection="1">
      <protection locked="0"/>
    </xf>
    <xf numFmtId="0" fontId="12" fillId="9" borderId="0" xfId="0" applyFont="1" applyFill="1" applyProtection="1">
      <protection locked="0"/>
    </xf>
    <xf numFmtId="0" fontId="31" fillId="9" borderId="0" xfId="0" applyFont="1" applyFill="1" applyBorder="1" applyAlignment="1" applyProtection="1">
      <alignment horizontal="left"/>
      <protection locked="0"/>
    </xf>
    <xf numFmtId="49" fontId="12" fillId="9" borderId="0" xfId="0" applyNumberFormat="1" applyFont="1" applyFill="1" applyAlignment="1" applyProtection="1">
      <alignment horizontal="right"/>
      <protection locked="0"/>
    </xf>
    <xf numFmtId="14" fontId="12" fillId="9" borderId="0" xfId="0" applyNumberFormat="1" applyFont="1" applyFill="1" applyProtection="1">
      <protection locked="0"/>
    </xf>
    <xf numFmtId="0" fontId="12" fillId="9" borderId="0" xfId="0" applyFont="1" applyFill="1" applyAlignment="1" applyProtection="1">
      <alignment horizontal="left"/>
      <protection locked="0"/>
    </xf>
    <xf numFmtId="172" fontId="12" fillId="9" borderId="0" xfId="0" applyNumberFormat="1" applyFont="1" applyFill="1" applyProtection="1">
      <protection locked="0"/>
    </xf>
    <xf numFmtId="0" fontId="27" fillId="9" borderId="0" xfId="0" applyFont="1" applyFill="1" applyAlignment="1" applyProtection="1">
      <alignment vertical="top"/>
      <protection locked="0"/>
    </xf>
    <xf numFmtId="168" fontId="12" fillId="9" borderId="0" xfId="0" applyNumberFormat="1" applyFont="1" applyFill="1" applyProtection="1">
      <protection locked="0"/>
    </xf>
    <xf numFmtId="0" fontId="31" fillId="40" borderId="0" xfId="0" applyFont="1" applyFill="1" applyAlignment="1" applyProtection="1">
      <alignment horizontal="left"/>
      <protection locked="0"/>
    </xf>
    <xf numFmtId="165" fontId="31" fillId="40" borderId="0" xfId="0" applyNumberFormat="1" applyFont="1" applyFill="1" applyProtection="1">
      <protection locked="0"/>
    </xf>
    <xf numFmtId="0" fontId="31" fillId="9" borderId="0" xfId="0" applyFont="1" applyFill="1" applyAlignment="1" applyProtection="1">
      <alignment horizontal="left"/>
      <protection locked="0"/>
    </xf>
    <xf numFmtId="0" fontId="31" fillId="40" borderId="62" xfId="0" applyFont="1" applyFill="1" applyBorder="1" applyAlignment="1" applyProtection="1">
      <alignment horizontal="right"/>
      <protection locked="0"/>
    </xf>
    <xf numFmtId="0" fontId="31" fillId="40" borderId="64" xfId="0" applyFont="1" applyFill="1" applyBorder="1" applyAlignment="1" applyProtection="1">
      <alignment horizontal="right"/>
      <protection locked="0"/>
    </xf>
    <xf numFmtId="169" fontId="31" fillId="40" borderId="65" xfId="0" applyNumberFormat="1" applyFont="1" applyFill="1" applyBorder="1" applyAlignment="1" applyProtection="1">
      <alignment horizontal="right"/>
      <protection locked="0"/>
    </xf>
    <xf numFmtId="0" fontId="27" fillId="9" borderId="64" xfId="0" applyFont="1" applyFill="1" applyBorder="1" applyProtection="1">
      <protection locked="0"/>
    </xf>
    <xf numFmtId="0" fontId="27" fillId="9" borderId="65" xfId="0" applyFont="1" applyFill="1" applyBorder="1" applyAlignment="1" applyProtection="1">
      <alignment horizontal="right"/>
      <protection locked="0"/>
    </xf>
    <xf numFmtId="165" fontId="27" fillId="9" borderId="65" xfId="0" applyNumberFormat="1" applyFont="1" applyFill="1" applyBorder="1" applyProtection="1">
      <protection locked="0"/>
    </xf>
    <xf numFmtId="0" fontId="27" fillId="9" borderId="65" xfId="0" applyFont="1" applyFill="1" applyBorder="1" applyProtection="1">
      <protection locked="0"/>
    </xf>
    <xf numFmtId="169" fontId="27" fillId="9" borderId="0" xfId="0" applyNumberFormat="1" applyFont="1" applyFill="1" applyBorder="1" applyProtection="1">
      <protection locked="0"/>
    </xf>
    <xf numFmtId="169" fontId="27" fillId="9" borderId="0" xfId="0" applyNumberFormat="1" applyFont="1" applyFill="1" applyProtection="1">
      <protection locked="0"/>
    </xf>
    <xf numFmtId="165" fontId="27" fillId="9" borderId="23" xfId="0" applyNumberFormat="1" applyFont="1" applyFill="1" applyBorder="1" applyProtection="1">
      <protection locked="0"/>
    </xf>
    <xf numFmtId="165" fontId="27" fillId="9" borderId="0" xfId="0" applyNumberFormat="1" applyFont="1" applyFill="1" applyProtection="1">
      <protection locked="0"/>
    </xf>
    <xf numFmtId="165" fontId="33" fillId="40" borderId="0" xfId="0" applyNumberFormat="1" applyFont="1" applyFill="1" applyProtection="1">
      <protection locked="0"/>
    </xf>
    <xf numFmtId="0" fontId="39" fillId="16" borderId="1" xfId="0" applyFont="1" applyFill="1" applyBorder="1" applyAlignment="1" applyProtection="1">
      <alignment horizontal="center" wrapText="1"/>
      <protection locked="0" hidden="1"/>
    </xf>
    <xf numFmtId="171" fontId="39" fillId="16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39" fillId="16" borderId="20" xfId="0" applyNumberFormat="1" applyFont="1" applyFill="1" applyBorder="1" applyAlignment="1" applyProtection="1">
      <alignment horizontal="center" vertical="center" wrapText="1"/>
      <protection locked="0" hidden="1"/>
    </xf>
    <xf numFmtId="0" fontId="39" fillId="16" borderId="1" xfId="0" applyNumberFormat="1" applyFont="1" applyFill="1" applyBorder="1" applyAlignment="1" applyProtection="1">
      <alignment horizontal="center" vertical="center" wrapText="1"/>
      <protection locked="0" hidden="1"/>
    </xf>
    <xf numFmtId="1" fontId="39" fillId="16" borderId="1" xfId="0" applyNumberFormat="1" applyFont="1" applyFill="1" applyBorder="1" applyAlignment="1" applyProtection="1">
      <alignment horizontal="center" vertical="center" wrapText="1"/>
      <protection locked="0" hidden="1"/>
    </xf>
    <xf numFmtId="1" fontId="39" fillId="16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64" fillId="17" borderId="0" xfId="5" applyFont="1" applyFill="1" applyAlignment="1" applyProtection="1">
      <alignment horizontal="center" vertical="center" wrapText="1"/>
      <protection locked="0" hidden="1"/>
    </xf>
    <xf numFmtId="0" fontId="38" fillId="37" borderId="0" xfId="0" applyFont="1" applyFill="1" applyBorder="1" applyAlignment="1" applyProtection="1">
      <alignment vertical="center" wrapText="1"/>
      <protection locked="0" hidden="1"/>
    </xf>
    <xf numFmtId="0" fontId="0" fillId="7" borderId="0" xfId="0" applyFill="1" applyBorder="1" applyAlignment="1" applyProtection="1">
      <alignment vertical="center" wrapText="1"/>
      <protection locked="0" hidden="1"/>
    </xf>
    <xf numFmtId="0" fontId="0" fillId="0" borderId="0" xfId="0" applyNumberFormat="1" applyProtection="1">
      <protection locked="0" hidden="1"/>
    </xf>
    <xf numFmtId="0" fontId="23" fillId="58" borderId="1" xfId="0" applyFont="1" applyFill="1" applyBorder="1" applyAlignment="1" applyProtection="1">
      <alignment horizontal="center"/>
      <protection locked="0" hidden="1"/>
    </xf>
    <xf numFmtId="171" fontId="23" fillId="58" borderId="1" xfId="0" applyNumberFormat="1" applyFont="1" applyFill="1" applyBorder="1" applyAlignment="1" applyProtection="1">
      <alignment horizontal="center"/>
      <protection locked="0" hidden="1"/>
    </xf>
    <xf numFmtId="171" fontId="23" fillId="58" borderId="2" xfId="0" applyNumberFormat="1" applyFont="1" applyFill="1" applyBorder="1" applyAlignment="1" applyProtection="1">
      <alignment horizontal="center"/>
      <protection locked="0" hidden="1"/>
    </xf>
    <xf numFmtId="0" fontId="0" fillId="9" borderId="3" xfId="0" applyNumberFormat="1" applyFill="1" applyBorder="1" applyAlignment="1" applyProtection="1">
      <alignment horizontal="center"/>
      <protection locked="0" hidden="1"/>
    </xf>
    <xf numFmtId="0" fontId="0" fillId="9" borderId="53" xfId="0" applyNumberFormat="1" applyFill="1" applyBorder="1" applyAlignment="1" applyProtection="1">
      <alignment horizontal="center"/>
      <protection locked="0" hidden="1"/>
    </xf>
    <xf numFmtId="0" fontId="0" fillId="9" borderId="4" xfId="0" applyNumberFormat="1" applyFill="1" applyBorder="1" applyAlignment="1" applyProtection="1">
      <alignment horizontal="center"/>
      <protection locked="0" hidden="1"/>
    </xf>
    <xf numFmtId="20" fontId="0" fillId="39" borderId="16" xfId="0" applyNumberFormat="1" applyFill="1" applyBorder="1" applyAlignment="1" applyProtection="1">
      <alignment horizontal="left"/>
      <protection locked="0" hidden="1"/>
    </xf>
    <xf numFmtId="1" fontId="0" fillId="39" borderId="1" xfId="0" applyNumberFormat="1" applyFill="1" applyBorder="1" applyAlignment="1" applyProtection="1">
      <alignment horizontal="center"/>
      <protection locked="0" hidden="1"/>
    </xf>
    <xf numFmtId="1" fontId="0" fillId="39" borderId="0" xfId="0" applyNumberForma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vertical="center"/>
      <protection locked="0" hidden="1"/>
    </xf>
    <xf numFmtId="0" fontId="0" fillId="9" borderId="5" xfId="0" applyNumberFormat="1" applyFill="1" applyBorder="1" applyAlignment="1" applyProtection="1">
      <alignment horizontal="center"/>
      <protection locked="0" hidden="1"/>
    </xf>
    <xf numFmtId="0" fontId="0" fillId="9" borderId="0" xfId="0" applyNumberFormat="1" applyFill="1" applyBorder="1" applyAlignment="1" applyProtection="1">
      <alignment horizontal="center"/>
      <protection locked="0" hidden="1"/>
    </xf>
    <xf numFmtId="0" fontId="0" fillId="9" borderId="6" xfId="0" applyNumberFormat="1" applyFill="1" applyBorder="1" applyAlignment="1" applyProtection="1">
      <alignment horizontal="center"/>
      <protection locked="0" hidden="1"/>
    </xf>
    <xf numFmtId="0" fontId="0" fillId="0" borderId="0" xfId="0" applyProtection="1">
      <protection locked="0" hidden="1"/>
    </xf>
    <xf numFmtId="0" fontId="23" fillId="0" borderId="1" xfId="0" applyFont="1" applyFill="1" applyBorder="1" applyAlignment="1" applyProtection="1">
      <alignment horizontal="center"/>
      <protection locked="0" hidden="1"/>
    </xf>
    <xf numFmtId="171" fontId="23" fillId="0" borderId="1" xfId="0" applyNumberFormat="1" applyFont="1" applyFill="1" applyBorder="1" applyAlignment="1" applyProtection="1">
      <alignment horizontal="center"/>
      <protection locked="0" hidden="1"/>
    </xf>
    <xf numFmtId="171" fontId="23" fillId="0" borderId="2" xfId="0" applyNumberFormat="1" applyFont="1" applyFill="1" applyBorder="1" applyAlignment="1" applyProtection="1">
      <alignment horizontal="center"/>
      <protection locked="0" hidden="1"/>
    </xf>
    <xf numFmtId="0" fontId="23" fillId="13" borderId="1" xfId="0" applyFont="1" applyFill="1" applyBorder="1" applyAlignment="1" applyProtection="1">
      <alignment horizontal="center"/>
      <protection locked="0" hidden="1"/>
    </xf>
    <xf numFmtId="171" fontId="23" fillId="13" borderId="1" xfId="0" applyNumberFormat="1" applyFont="1" applyFill="1" applyBorder="1" applyAlignment="1" applyProtection="1">
      <alignment horizontal="center"/>
      <protection locked="0" hidden="1"/>
    </xf>
    <xf numFmtId="171" fontId="23" fillId="13" borderId="2" xfId="0" applyNumberFormat="1" applyFont="1" applyFill="1" applyBorder="1" applyAlignment="1" applyProtection="1">
      <alignment horizontal="center"/>
      <protection locked="0" hidden="1"/>
    </xf>
    <xf numFmtId="0" fontId="23" fillId="23" borderId="1" xfId="0" applyFont="1" applyFill="1" applyBorder="1" applyAlignment="1" applyProtection="1">
      <alignment horizontal="center"/>
      <protection locked="0" hidden="1"/>
    </xf>
    <xf numFmtId="171" fontId="23" fillId="23" borderId="1" xfId="0" applyNumberFormat="1" applyFont="1" applyFill="1" applyBorder="1" applyAlignment="1" applyProtection="1">
      <alignment horizontal="center"/>
      <protection locked="0" hidden="1"/>
    </xf>
    <xf numFmtId="171" fontId="23" fillId="23" borderId="2" xfId="0" applyNumberFormat="1" applyFont="1" applyFill="1" applyBorder="1" applyAlignment="1" applyProtection="1">
      <alignment horizontal="center"/>
      <protection locked="0" hidden="1"/>
    </xf>
    <xf numFmtId="0" fontId="0" fillId="0" borderId="1" xfId="0" applyBorder="1" applyAlignment="1" applyProtection="1">
      <alignment horizontal="center"/>
      <protection locked="0" hidden="1"/>
    </xf>
    <xf numFmtId="171" fontId="0" fillId="0" borderId="1" xfId="0" applyNumberFormat="1" applyBorder="1" applyAlignment="1" applyProtection="1">
      <alignment horizontal="center" vertical="center"/>
      <protection locked="0" hidden="1"/>
    </xf>
    <xf numFmtId="171" fontId="0" fillId="0" borderId="2" xfId="0" applyNumberFormat="1" applyFill="1" applyBorder="1" applyAlignment="1" applyProtection="1">
      <alignment horizontal="center" vertical="center"/>
      <protection locked="0" hidden="1"/>
    </xf>
    <xf numFmtId="0" fontId="23" fillId="59" borderId="1" xfId="0" applyFont="1" applyFill="1" applyBorder="1" applyAlignment="1" applyProtection="1">
      <alignment horizontal="center"/>
      <protection locked="0" hidden="1"/>
    </xf>
    <xf numFmtId="171" fontId="23" fillId="59" borderId="1" xfId="0" applyNumberFormat="1" applyFont="1" applyFill="1" applyBorder="1" applyAlignment="1" applyProtection="1">
      <alignment horizontal="center"/>
      <protection locked="0" hidden="1"/>
    </xf>
    <xf numFmtId="171" fontId="23" fillId="59" borderId="2" xfId="0" applyNumberFormat="1" applyFont="1" applyFill="1" applyBorder="1" applyAlignment="1" applyProtection="1">
      <alignment horizontal="center"/>
      <protection locked="0" hidden="1"/>
    </xf>
    <xf numFmtId="171" fontId="0" fillId="0" borderId="2" xfId="0" applyNumberFormat="1" applyBorder="1" applyAlignment="1" applyProtection="1">
      <alignment horizontal="center" vertical="center"/>
      <protection locked="0" hidden="1"/>
    </xf>
    <xf numFmtId="0" fontId="23" fillId="28" borderId="1" xfId="0" applyFont="1" applyFill="1" applyBorder="1" applyAlignment="1" applyProtection="1">
      <alignment horizontal="center"/>
      <protection locked="0" hidden="1"/>
    </xf>
    <xf numFmtId="171" fontId="23" fillId="28" borderId="1" xfId="0" applyNumberFormat="1" applyFont="1" applyFill="1" applyBorder="1" applyAlignment="1" applyProtection="1">
      <alignment horizontal="center"/>
      <protection locked="0" hidden="1"/>
    </xf>
    <xf numFmtId="171" fontId="23" fillId="28" borderId="2" xfId="0" applyNumberFormat="1" applyFont="1" applyFill="1" applyBorder="1" applyAlignment="1" applyProtection="1">
      <alignment horizontal="center"/>
      <protection locked="0" hidden="1"/>
    </xf>
    <xf numFmtId="0" fontId="23" fillId="60" borderId="1" xfId="0" applyFont="1" applyFill="1" applyBorder="1" applyAlignment="1" applyProtection="1">
      <alignment horizontal="center"/>
      <protection locked="0" hidden="1"/>
    </xf>
    <xf numFmtId="171" fontId="23" fillId="60" borderId="1" xfId="0" applyNumberFormat="1" applyFont="1" applyFill="1" applyBorder="1" applyAlignment="1" applyProtection="1">
      <alignment horizontal="center"/>
      <protection locked="0" hidden="1"/>
    </xf>
    <xf numFmtId="171" fontId="23" fillId="60" borderId="2" xfId="0" applyNumberFormat="1" applyFont="1" applyFill="1" applyBorder="1" applyAlignment="1" applyProtection="1">
      <alignment horizontal="center"/>
      <protection locked="0" hidden="1"/>
    </xf>
    <xf numFmtId="0" fontId="23" fillId="4" borderId="1" xfId="0" applyFont="1" applyFill="1" applyBorder="1" applyAlignment="1" applyProtection="1">
      <alignment horizontal="center"/>
      <protection locked="0" hidden="1"/>
    </xf>
    <xf numFmtId="171" fontId="23" fillId="4" borderId="1" xfId="0" applyNumberFormat="1" applyFont="1" applyFill="1" applyBorder="1" applyAlignment="1" applyProtection="1">
      <alignment horizontal="center"/>
      <protection locked="0" hidden="1"/>
    </xf>
    <xf numFmtId="171" fontId="23" fillId="4" borderId="2" xfId="0" applyNumberFormat="1" applyFont="1" applyFill="1" applyBorder="1" applyAlignment="1" applyProtection="1">
      <alignment horizontal="center"/>
      <protection locked="0" hidden="1"/>
    </xf>
    <xf numFmtId="0" fontId="23" fillId="8" borderId="1" xfId="0" applyFont="1" applyFill="1" applyBorder="1" applyAlignment="1" applyProtection="1">
      <alignment horizontal="center"/>
      <protection locked="0" hidden="1"/>
    </xf>
    <xf numFmtId="171" fontId="23" fillId="8" borderId="1" xfId="0" applyNumberFormat="1" applyFont="1" applyFill="1" applyBorder="1" applyAlignment="1" applyProtection="1">
      <alignment horizontal="center"/>
      <protection locked="0" hidden="1"/>
    </xf>
    <xf numFmtId="171" fontId="23" fillId="8" borderId="2" xfId="0" applyNumberFormat="1" applyFont="1" applyFill="1" applyBorder="1" applyAlignment="1" applyProtection="1">
      <alignment horizontal="center"/>
      <protection locked="0" hidden="1"/>
    </xf>
    <xf numFmtId="0" fontId="23" fillId="18" borderId="1" xfId="0" applyFont="1" applyFill="1" applyBorder="1" applyAlignment="1" applyProtection="1">
      <alignment horizontal="center"/>
      <protection locked="0" hidden="1"/>
    </xf>
    <xf numFmtId="171" fontId="23" fillId="18" borderId="1" xfId="0" applyNumberFormat="1" applyFont="1" applyFill="1" applyBorder="1" applyAlignment="1" applyProtection="1">
      <alignment horizontal="center"/>
      <protection locked="0" hidden="1"/>
    </xf>
    <xf numFmtId="171" fontId="23" fillId="18" borderId="2" xfId="0" applyNumberFormat="1" applyFont="1" applyFill="1" applyBorder="1" applyAlignment="1" applyProtection="1">
      <alignment horizontal="center"/>
      <protection locked="0" hidden="1"/>
    </xf>
    <xf numFmtId="0" fontId="23" fillId="56" borderId="1" xfId="0" applyFont="1" applyFill="1" applyBorder="1" applyAlignment="1" applyProtection="1">
      <alignment horizontal="center"/>
      <protection locked="0" hidden="1"/>
    </xf>
    <xf numFmtId="171" fontId="23" fillId="56" borderId="1" xfId="0" applyNumberFormat="1" applyFont="1" applyFill="1" applyBorder="1" applyAlignment="1" applyProtection="1">
      <alignment horizontal="center"/>
      <protection locked="0" hidden="1"/>
    </xf>
    <xf numFmtId="171" fontId="23" fillId="56" borderId="2" xfId="0" applyNumberFormat="1" applyFont="1" applyFill="1" applyBorder="1" applyAlignment="1" applyProtection="1">
      <alignment horizontal="center"/>
      <protection locked="0" hidden="1"/>
    </xf>
    <xf numFmtId="0" fontId="23" fillId="14" borderId="1" xfId="0" applyFont="1" applyFill="1" applyBorder="1" applyAlignment="1" applyProtection="1">
      <alignment horizontal="center"/>
      <protection locked="0" hidden="1"/>
    </xf>
    <xf numFmtId="171" fontId="23" fillId="14" borderId="1" xfId="0" applyNumberFormat="1" applyFont="1" applyFill="1" applyBorder="1" applyAlignment="1" applyProtection="1">
      <alignment horizontal="center"/>
      <protection locked="0" hidden="1"/>
    </xf>
    <xf numFmtId="171" fontId="23" fillId="14" borderId="2" xfId="0" applyNumberFormat="1" applyFont="1" applyFill="1" applyBorder="1" applyAlignment="1" applyProtection="1">
      <alignment horizontal="center"/>
      <protection locked="0" hidden="1"/>
    </xf>
    <xf numFmtId="0" fontId="23" fillId="11" borderId="1" xfId="0" applyFont="1" applyFill="1" applyBorder="1" applyAlignment="1" applyProtection="1">
      <alignment horizontal="center"/>
      <protection locked="0" hidden="1"/>
    </xf>
    <xf numFmtId="171" fontId="23" fillId="11" borderId="1" xfId="0" applyNumberFormat="1" applyFont="1" applyFill="1" applyBorder="1" applyAlignment="1" applyProtection="1">
      <alignment horizontal="center"/>
      <protection locked="0" hidden="1"/>
    </xf>
    <xf numFmtId="171" fontId="23" fillId="11" borderId="2" xfId="0" applyNumberFormat="1" applyFont="1" applyFill="1" applyBorder="1" applyAlignment="1" applyProtection="1">
      <alignment horizontal="center"/>
      <protection locked="0" hidden="1"/>
    </xf>
    <xf numFmtId="0" fontId="0" fillId="9" borderId="7" xfId="0" applyNumberFormat="1" applyFill="1" applyBorder="1" applyAlignment="1" applyProtection="1">
      <alignment horizontal="center"/>
      <protection locked="0" hidden="1"/>
    </xf>
    <xf numFmtId="0" fontId="0" fillId="9" borderId="23" xfId="0" applyNumberFormat="1" applyFill="1" applyBorder="1" applyAlignment="1" applyProtection="1">
      <alignment horizontal="center"/>
      <protection locked="0" hidden="1"/>
    </xf>
    <xf numFmtId="0" fontId="0" fillId="9" borderId="8" xfId="0" applyNumberForma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171" fontId="0" fillId="0" borderId="0" xfId="0" applyNumberFormat="1" applyBorder="1" applyAlignment="1" applyProtection="1">
      <alignment horizontal="center" vertical="center"/>
      <protection locked="0" hidden="1"/>
    </xf>
    <xf numFmtId="0" fontId="0" fillId="0" borderId="0" xfId="0" applyNumberFormat="1" applyBorder="1" applyAlignment="1" applyProtection="1">
      <alignment horizontal="center" vertical="center"/>
      <protection locked="0" hidden="1"/>
    </xf>
    <xf numFmtId="0" fontId="0" fillId="0" borderId="0" xfId="0" applyNumberFormat="1" applyBorder="1" applyAlignment="1" applyProtection="1">
      <alignment horizontal="left" vertical="center"/>
      <protection locked="0" hidden="1"/>
    </xf>
    <xf numFmtId="1" fontId="0" fillId="0" borderId="0" xfId="0" applyNumberForma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171" fontId="0" fillId="0" borderId="34" xfId="0" applyNumberFormat="1" applyBorder="1" applyAlignment="1" applyProtection="1">
      <alignment horizontal="center" vertical="center"/>
      <protection locked="0" hidden="1"/>
    </xf>
    <xf numFmtId="0" fontId="0" fillId="0" borderId="34" xfId="0" applyNumberFormat="1" applyBorder="1" applyAlignment="1" applyProtection="1">
      <alignment horizontal="left" vertical="center"/>
      <protection locked="0" hidden="1"/>
    </xf>
    <xf numFmtId="1" fontId="0" fillId="0" borderId="34" xfId="0" applyNumberFormat="1" applyBorder="1" applyAlignment="1" applyProtection="1">
      <alignment horizontal="center" vertical="center"/>
      <protection locked="0" hidden="1"/>
    </xf>
    <xf numFmtId="171" fontId="0" fillId="0" borderId="34" xfId="0" applyNumberFormat="1" applyBorder="1" applyAlignment="1" applyProtection="1">
      <alignment horizontal="center"/>
      <protection locked="0" hidden="1"/>
    </xf>
    <xf numFmtId="0" fontId="0" fillId="0" borderId="0" xfId="0" applyNumberFormat="1" applyBorder="1" applyAlignment="1" applyProtection="1">
      <alignment horizontal="center"/>
      <protection locked="0" hidden="1"/>
    </xf>
    <xf numFmtId="0" fontId="0" fillId="0" borderId="34" xfId="0" applyNumberFormat="1" applyBorder="1" applyAlignment="1" applyProtection="1">
      <alignment horizontal="left"/>
      <protection locked="0" hidden="1"/>
    </xf>
    <xf numFmtId="1" fontId="0" fillId="0" borderId="34" xfId="0" applyNumberFormat="1" applyBorder="1" applyAlignment="1" applyProtection="1">
      <alignment horizontal="center"/>
      <protection locked="0" hidden="1"/>
    </xf>
    <xf numFmtId="1" fontId="0" fillId="0" borderId="0" xfId="0" applyNumberFormat="1" applyBorder="1" applyAlignment="1" applyProtection="1">
      <alignment horizontal="center"/>
      <protection locked="0" hidden="1"/>
    </xf>
    <xf numFmtId="0" fontId="39" fillId="38" borderId="0" xfId="0" applyFont="1" applyFill="1" applyAlignment="1" applyProtection="1">
      <alignment horizontal="right" wrapText="1"/>
      <protection locked="0" hidden="1"/>
    </xf>
    <xf numFmtId="0" fontId="40" fillId="17" borderId="68" xfId="0" applyNumberFormat="1" applyFont="1" applyFill="1" applyBorder="1" applyAlignment="1" applyProtection="1">
      <alignment horizontal="center" vertical="center"/>
      <protection locked="0" hidden="1"/>
    </xf>
    <xf numFmtId="0" fontId="23" fillId="0" borderId="0" xfId="0" applyFont="1" applyFill="1" applyProtection="1">
      <protection locked="0" hidden="1"/>
    </xf>
    <xf numFmtId="0" fontId="23" fillId="57" borderId="36" xfId="0" applyFont="1" applyFill="1" applyBorder="1" applyProtection="1">
      <protection hidden="1"/>
    </xf>
    <xf numFmtId="20" fontId="0" fillId="57" borderId="37" xfId="0" applyNumberFormat="1" applyFill="1" applyBorder="1" applyAlignment="1" applyProtection="1">
      <alignment horizontal="center"/>
      <protection hidden="1"/>
    </xf>
    <xf numFmtId="0" fontId="23" fillId="57" borderId="37" xfId="0" applyFont="1" applyFill="1" applyBorder="1" applyProtection="1">
      <protection hidden="1"/>
    </xf>
    <xf numFmtId="0" fontId="42" fillId="16" borderId="1" xfId="0" applyFont="1" applyFill="1" applyBorder="1" applyAlignment="1" applyProtection="1">
      <alignment horizontal="center" vertical="center" wrapText="1"/>
      <protection locked="0" hidden="1"/>
    </xf>
    <xf numFmtId="0" fontId="42" fillId="16" borderId="20" xfId="0" applyFont="1" applyFill="1" applyBorder="1" applyAlignment="1" applyProtection="1">
      <alignment horizontal="center" vertical="center" wrapText="1"/>
      <protection locked="0" hidden="1"/>
    </xf>
    <xf numFmtId="0" fontId="23" fillId="16" borderId="0" xfId="0" applyFont="1" applyFill="1" applyAlignment="1" applyProtection="1">
      <alignment horizontal="center" vertical="center" wrapText="1"/>
      <protection locked="0" hidden="1"/>
    </xf>
    <xf numFmtId="0" fontId="23" fillId="0" borderId="0" xfId="0" applyFont="1" applyFill="1" applyAlignment="1" applyProtection="1">
      <alignment wrapText="1"/>
      <protection locked="0" hidden="1"/>
    </xf>
    <xf numFmtId="0" fontId="23" fillId="2" borderId="72" xfId="0" applyFont="1" applyFill="1" applyBorder="1" applyAlignment="1" applyProtection="1">
      <alignment wrapText="1"/>
      <protection hidden="1"/>
    </xf>
    <xf numFmtId="18" fontId="23" fillId="24" borderId="1" xfId="0" applyNumberFormat="1" applyFont="1" applyFill="1" applyBorder="1" applyProtection="1">
      <protection hidden="1"/>
    </xf>
    <xf numFmtId="0" fontId="23" fillId="24" borderId="1" xfId="0" applyNumberFormat="1" applyFont="1" applyFill="1" applyBorder="1" applyProtection="1">
      <protection hidden="1"/>
    </xf>
    <xf numFmtId="20" fontId="0" fillId="54" borderId="0" xfId="0" applyNumberFormat="1" applyFill="1" applyBorder="1" applyAlignment="1" applyProtection="1">
      <alignment horizontal="center"/>
      <protection hidden="1"/>
    </xf>
    <xf numFmtId="0" fontId="50" fillId="2" borderId="0" xfId="0" applyFont="1" applyFill="1" applyBorder="1" applyAlignment="1" applyProtection="1">
      <alignment horizontal="center" vertical="center" wrapText="1"/>
      <protection hidden="1"/>
    </xf>
    <xf numFmtId="0" fontId="62" fillId="2" borderId="0" xfId="0" applyFont="1" applyFill="1" applyBorder="1" applyAlignment="1" applyProtection="1">
      <alignment horizontal="center" vertical="center"/>
      <protection hidden="1"/>
    </xf>
    <xf numFmtId="18" fontId="23" fillId="14" borderId="1" xfId="0" applyNumberFormat="1" applyFont="1" applyFill="1" applyBorder="1" applyProtection="1">
      <protection hidden="1"/>
    </xf>
    <xf numFmtId="18" fontId="23" fillId="14" borderId="73" xfId="0" applyNumberFormat="1" applyFont="1" applyFill="1" applyBorder="1" applyProtection="1">
      <protection hidden="1"/>
    </xf>
    <xf numFmtId="0" fontId="0" fillId="0" borderId="1" xfId="0" applyFill="1" applyBorder="1" applyAlignment="1" applyProtection="1">
      <alignment horizontal="center"/>
      <protection locked="0" hidden="1"/>
    </xf>
    <xf numFmtId="14" fontId="23" fillId="40" borderId="1" xfId="0" applyNumberFormat="1" applyFont="1" applyFill="1" applyBorder="1" applyAlignment="1" applyProtection="1">
      <alignment horizontal="center" vertical="center" wrapText="1"/>
      <protection locked="0" hidden="1"/>
    </xf>
    <xf numFmtId="18" fontId="23" fillId="24" borderId="1" xfId="0" applyNumberFormat="1" applyFont="1" applyFill="1" applyBorder="1" applyAlignment="1" applyProtection="1">
      <alignment horizontal="center" vertical="center"/>
      <protection locked="0" hidden="1"/>
    </xf>
    <xf numFmtId="18" fontId="23" fillId="24" borderId="2" xfId="0" applyNumberFormat="1" applyFont="1" applyFill="1" applyBorder="1" applyAlignment="1" applyProtection="1">
      <alignment horizontal="center" vertical="center"/>
      <protection locked="0" hidden="1"/>
    </xf>
    <xf numFmtId="0" fontId="0" fillId="9" borderId="0" xfId="0" applyNumberFormat="1" applyFill="1" applyBorder="1" applyAlignment="1" applyProtection="1">
      <alignment horizontal="center" vertical="center"/>
      <protection locked="0" hidden="1"/>
    </xf>
    <xf numFmtId="0" fontId="23" fillId="9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9" borderId="0" xfId="0" applyNumberFormat="1" applyFill="1" applyBorder="1" applyAlignment="1" applyProtection="1">
      <alignment horizontal="center" vertical="center" wrapText="1"/>
      <protection locked="0" hidden="1"/>
    </xf>
    <xf numFmtId="0" fontId="23" fillId="9" borderId="0" xfId="0" applyNumberFormat="1" applyFont="1" applyFill="1" applyBorder="1" applyAlignment="1" applyProtection="1">
      <alignment horizontal="center" vertical="center"/>
      <protection locked="0" hidden="1"/>
    </xf>
    <xf numFmtId="2" fontId="0" fillId="5" borderId="16" xfId="0" applyNumberFormat="1" applyFill="1" applyBorder="1" applyAlignment="1" applyProtection="1">
      <alignment horizontal="center"/>
      <protection locked="0" hidden="1"/>
    </xf>
    <xf numFmtId="0" fontId="0" fillId="55" borderId="1" xfId="0" applyNumberFormat="1" applyFill="1" applyBorder="1" applyAlignment="1" applyProtection="1">
      <alignment horizontal="center"/>
      <protection locked="0" hidden="1"/>
    </xf>
    <xf numFmtId="1" fontId="0" fillId="5" borderId="1" xfId="0" applyNumberFormat="1" applyFill="1" applyBorder="1" applyAlignment="1" applyProtection="1">
      <alignment horizontal="center"/>
      <protection locked="0" hidden="1"/>
    </xf>
    <xf numFmtId="14" fontId="23" fillId="40" borderId="72" xfId="0" applyNumberFormat="1" applyFont="1" applyFill="1" applyBorder="1" applyAlignment="1" applyProtection="1">
      <alignment wrapText="1"/>
      <protection hidden="1"/>
    </xf>
    <xf numFmtId="20" fontId="0" fillId="49" borderId="0" xfId="0" applyNumberFormat="1" applyFill="1" applyBorder="1" applyAlignment="1" applyProtection="1">
      <alignment horizontal="center"/>
      <protection hidden="1"/>
    </xf>
    <xf numFmtId="18" fontId="0" fillId="34" borderId="1" xfId="0" applyNumberFormat="1" applyFill="1" applyBorder="1" applyAlignment="1" applyProtection="1">
      <alignment horizontal="center"/>
      <protection locked="0" hidden="1"/>
    </xf>
    <xf numFmtId="0" fontId="23" fillId="57" borderId="0" xfId="0" applyFont="1" applyFill="1" applyBorder="1" applyProtection="1">
      <protection hidden="1"/>
    </xf>
    <xf numFmtId="0" fontId="23" fillId="0" borderId="0" xfId="0" applyFont="1" applyFill="1" applyBorder="1" applyAlignment="1" applyProtection="1">
      <alignment wrapText="1"/>
      <protection locked="0" hidden="1"/>
    </xf>
    <xf numFmtId="20" fontId="0" fillId="14" borderId="0" xfId="0" applyNumberFormat="1" applyFill="1" applyBorder="1" applyAlignment="1" applyProtection="1">
      <alignment horizontal="center"/>
      <protection hidden="1"/>
    </xf>
    <xf numFmtId="14" fontId="23" fillId="40" borderId="72" xfId="0" applyNumberFormat="1" applyFont="1" applyFill="1" applyBorder="1" applyProtection="1">
      <protection hidden="1"/>
    </xf>
    <xf numFmtId="20" fontId="0" fillId="24" borderId="0" xfId="0" applyNumberFormat="1" applyFill="1" applyBorder="1" applyAlignment="1" applyProtection="1">
      <alignment horizontal="center"/>
      <protection hidden="1"/>
    </xf>
    <xf numFmtId="20" fontId="0" fillId="38" borderId="0" xfId="0" applyNumberFormat="1" applyFill="1" applyBorder="1" applyAlignment="1" applyProtection="1">
      <alignment horizontal="center"/>
      <protection hidden="1"/>
    </xf>
    <xf numFmtId="0" fontId="23" fillId="35" borderId="0" xfId="0" applyFont="1" applyFill="1" applyBorder="1" applyAlignment="1" applyProtection="1">
      <alignment horizontal="center" vertical="center" wrapText="1"/>
      <protection hidden="1"/>
    </xf>
    <xf numFmtId="18" fontId="23" fillId="44" borderId="1" xfId="0" applyNumberFormat="1" applyFont="1" applyFill="1" applyBorder="1" applyProtection="1">
      <protection hidden="1"/>
    </xf>
    <xf numFmtId="0" fontId="23" fillId="43" borderId="1" xfId="0" applyNumberFormat="1" applyFont="1" applyFill="1" applyBorder="1" applyProtection="1">
      <protection hidden="1"/>
    </xf>
    <xf numFmtId="0" fontId="23" fillId="43" borderId="0" xfId="0" applyFont="1" applyFill="1" applyBorder="1" applyAlignment="1" applyProtection="1">
      <alignment horizontal="center" vertical="center" wrapText="1"/>
      <protection hidden="1"/>
    </xf>
    <xf numFmtId="20" fontId="0" fillId="41" borderId="0" xfId="0" applyNumberFormat="1" applyFill="1" applyBorder="1" applyAlignment="1" applyProtection="1">
      <alignment horizontal="center"/>
      <protection hidden="1"/>
    </xf>
    <xf numFmtId="0" fontId="0" fillId="0" borderId="20" xfId="0" applyFill="1" applyBorder="1" applyAlignment="1" applyProtection="1">
      <alignment horizontal="center"/>
      <protection locked="0" hidden="1"/>
    </xf>
    <xf numFmtId="14" fontId="23" fillId="40" borderId="20" xfId="0" applyNumberFormat="1" applyFont="1" applyFill="1" applyBorder="1" applyAlignment="1" applyProtection="1">
      <alignment horizontal="center" vertical="center" wrapText="1"/>
      <protection locked="0" hidden="1"/>
    </xf>
    <xf numFmtId="18" fontId="23" fillId="24" borderId="20" xfId="0" applyNumberFormat="1" applyFont="1" applyFill="1" applyBorder="1" applyAlignment="1" applyProtection="1">
      <alignment horizontal="center" vertical="center"/>
      <protection locked="0" hidden="1"/>
    </xf>
    <xf numFmtId="18" fontId="23" fillId="24" borderId="3" xfId="0" applyNumberFormat="1" applyFont="1" applyFill="1" applyBorder="1" applyAlignment="1" applyProtection="1">
      <alignment horizontal="center" vertical="center"/>
      <protection locked="0" hidden="1"/>
    </xf>
    <xf numFmtId="14" fontId="0" fillId="40" borderId="1" xfId="0" applyNumberFormat="1" applyFill="1" applyBorder="1" applyAlignment="1" applyProtection="1">
      <alignment horizontal="center" vertical="center"/>
      <protection locked="0" hidden="1"/>
    </xf>
    <xf numFmtId="18" fontId="0" fillId="24" borderId="1" xfId="0" applyNumberForma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locked="0" hidden="1"/>
    </xf>
    <xf numFmtId="14" fontId="23" fillId="40" borderId="1" xfId="0" applyNumberFormat="1" applyFont="1" applyFill="1" applyBorder="1" applyAlignment="1" applyProtection="1">
      <alignment horizontal="center" vertical="center"/>
      <protection locked="0" hidden="1"/>
    </xf>
    <xf numFmtId="0" fontId="23" fillId="40" borderId="1" xfId="0" applyFont="1" applyFill="1" applyBorder="1" applyAlignment="1" applyProtection="1">
      <alignment horizontal="center" vertical="center"/>
      <protection locked="0" hidden="1"/>
    </xf>
    <xf numFmtId="0" fontId="23" fillId="57" borderId="39" xfId="0" applyFont="1" applyFill="1" applyBorder="1" applyProtection="1">
      <protection hidden="1"/>
    </xf>
    <xf numFmtId="0" fontId="23" fillId="38" borderId="0" xfId="0" applyFont="1" applyFill="1" applyBorder="1" applyAlignment="1" applyProtection="1">
      <alignment horizontal="center" vertical="center" wrapText="1"/>
      <protection hidden="1"/>
    </xf>
    <xf numFmtId="0" fontId="23" fillId="14" borderId="0" xfId="0" applyFont="1" applyFill="1" applyBorder="1" applyProtection="1">
      <protection hidden="1"/>
    </xf>
    <xf numFmtId="0" fontId="23" fillId="49" borderId="0" xfId="0" applyFont="1" applyFill="1" applyBorder="1" applyProtection="1">
      <protection hidden="1"/>
    </xf>
    <xf numFmtId="0" fontId="23" fillId="57" borderId="40" xfId="0" applyFont="1" applyFill="1" applyBorder="1" applyProtection="1">
      <protection hidden="1"/>
    </xf>
    <xf numFmtId="0" fontId="23" fillId="54" borderId="0" xfId="0" applyFont="1" applyFill="1" applyBorder="1" applyProtection="1">
      <protection hidden="1"/>
    </xf>
    <xf numFmtId="0" fontId="23" fillId="9" borderId="0" xfId="0" applyNumberFormat="1" applyFont="1" applyFill="1" applyAlignment="1" applyProtection="1">
      <alignment horizontal="center" vertical="center"/>
      <protection locked="0" hidden="1"/>
    </xf>
    <xf numFmtId="0" fontId="23" fillId="9" borderId="7" xfId="0" applyNumberFormat="1" applyFont="1" applyFill="1" applyBorder="1" applyAlignment="1" applyProtection="1">
      <alignment horizontal="center" vertical="center"/>
      <protection locked="0" hidden="1"/>
    </xf>
    <xf numFmtId="0" fontId="23" fillId="9" borderId="23" xfId="0" applyNumberFormat="1" applyFont="1" applyFill="1" applyBorder="1" applyAlignment="1" applyProtection="1">
      <alignment horizontal="center" vertical="center"/>
      <protection locked="0" hidden="1"/>
    </xf>
    <xf numFmtId="0" fontId="23" fillId="57" borderId="42" xfId="0" applyFont="1" applyFill="1" applyBorder="1" applyProtection="1">
      <protection hidden="1"/>
    </xf>
    <xf numFmtId="0" fontId="23" fillId="57" borderId="41" xfId="0" applyFont="1" applyFill="1" applyBorder="1" applyProtection="1">
      <protection hidden="1"/>
    </xf>
    <xf numFmtId="18" fontId="0" fillId="34" borderId="74" xfId="0" applyNumberFormat="1" applyFill="1" applyBorder="1" applyAlignment="1" applyProtection="1">
      <alignment horizontal="center"/>
      <protection locked="0" hidden="1"/>
    </xf>
    <xf numFmtId="0" fontId="23" fillId="57" borderId="43" xfId="0" applyFont="1" applyFill="1" applyBorder="1" applyProtection="1">
      <protection hidden="1"/>
    </xf>
    <xf numFmtId="0" fontId="23" fillId="57" borderId="0" xfId="0" applyFont="1" applyFill="1" applyProtection="1">
      <protection locked="0" hidden="1"/>
    </xf>
    <xf numFmtId="165" fontId="0" fillId="0" borderId="1" xfId="0" applyNumberFormat="1" applyBorder="1" applyAlignment="1" applyProtection="1">
      <alignment horizontal="right" vertical="center" wrapText="1"/>
      <protection locked="0"/>
    </xf>
    <xf numFmtId="165" fontId="0" fillId="0" borderId="14" xfId="0" applyNumberFormat="1" applyBorder="1" applyAlignment="1" applyProtection="1">
      <alignment horizontal="right" vertical="center" wrapText="1"/>
      <protection locked="0"/>
    </xf>
    <xf numFmtId="165" fontId="0" fillId="13" borderId="1" xfId="0" applyNumberFormat="1" applyFill="1" applyBorder="1" applyAlignment="1" applyProtection="1">
      <alignment horizontal="center" vertical="center" wrapText="1"/>
      <protection locked="0"/>
    </xf>
    <xf numFmtId="0" fontId="0" fillId="10" borderId="1" xfId="0" applyFill="1" applyBorder="1" applyAlignment="1">
      <alignment horizontal="center"/>
    </xf>
    <xf numFmtId="0" fontId="1" fillId="0" borderId="1" xfId="0" applyFont="1" applyBorder="1" applyAlignment="1" applyProtection="1">
      <alignment horizontal="center" vertical="center" textRotation="255" wrapText="1"/>
      <protection locked="0"/>
    </xf>
    <xf numFmtId="0" fontId="0" fillId="0" borderId="0" xfId="0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0" fillId="15" borderId="0" xfId="0" applyFill="1" applyAlignment="1" applyProtection="1">
      <alignment horizontal="center"/>
      <protection locked="0"/>
    </xf>
    <xf numFmtId="0" fontId="0" fillId="66" borderId="0" xfId="0" applyFill="1" applyAlignment="1" applyProtection="1">
      <alignment horizontal="center"/>
      <protection locked="0"/>
    </xf>
    <xf numFmtId="0" fontId="23" fillId="46" borderId="53" xfId="0" applyFont="1" applyFill="1" applyBorder="1" applyAlignment="1" applyProtection="1">
      <alignment horizontal="center"/>
      <protection locked="0"/>
    </xf>
    <xf numFmtId="0" fontId="23" fillId="46" borderId="4" xfId="0" applyFont="1" applyFill="1" applyBorder="1" applyAlignment="1" applyProtection="1">
      <alignment horizontal="center"/>
      <protection locked="0"/>
    </xf>
    <xf numFmtId="42" fontId="0" fillId="2" borderId="1" xfId="0" applyNumberForma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53" borderId="23" xfId="0" applyFill="1" applyBorder="1" applyAlignment="1" applyProtection="1">
      <alignment horizontal="center"/>
      <protection locked="0"/>
    </xf>
    <xf numFmtId="14" fontId="0" fillId="5" borderId="1" xfId="0" applyNumberFormat="1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 vertical="center" wrapText="1"/>
      <protection locked="0"/>
    </xf>
    <xf numFmtId="42" fontId="0" fillId="0" borderId="2" xfId="0" applyNumberFormat="1" applyFill="1" applyBorder="1" applyAlignment="1" applyProtection="1">
      <alignment horizontal="center" vertical="center" wrapText="1"/>
      <protection locked="0"/>
    </xf>
    <xf numFmtId="0" fontId="0" fillId="0" borderId="16" xfId="0" applyFill="1" applyBorder="1" applyAlignment="1" applyProtection="1">
      <alignment horizontal="center" vertical="center" wrapText="1"/>
      <protection locked="0"/>
    </xf>
    <xf numFmtId="42" fontId="0" fillId="24" borderId="1" xfId="0" applyNumberFormat="1" applyFill="1" applyBorder="1" applyAlignment="1" applyProtection="1">
      <alignment horizont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0" fontId="0" fillId="52" borderId="0" xfId="0" applyFill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87" fillId="45" borderId="19" xfId="0" applyFont="1" applyFill="1" applyBorder="1" applyAlignment="1" applyProtection="1">
      <alignment horizontal="center" vertical="center"/>
      <protection locked="0"/>
    </xf>
    <xf numFmtId="0" fontId="38" fillId="45" borderId="18" xfId="0" applyFont="1" applyFill="1" applyBorder="1" applyAlignment="1" applyProtection="1">
      <alignment horizontal="center" vertical="center"/>
      <protection locked="0"/>
    </xf>
    <xf numFmtId="0" fontId="38" fillId="45" borderId="17" xfId="0" applyFont="1" applyFill="1" applyBorder="1" applyAlignment="1" applyProtection="1">
      <alignment horizontal="center" vertical="center"/>
      <protection locked="0"/>
    </xf>
    <xf numFmtId="0" fontId="5" fillId="25" borderId="9" xfId="0" applyFont="1" applyFill="1" applyBorder="1" applyAlignment="1" applyProtection="1">
      <alignment horizontal="center" vertical="center"/>
      <protection locked="0"/>
    </xf>
    <xf numFmtId="0" fontId="5" fillId="25" borderId="15" xfId="0" applyFont="1" applyFill="1" applyBorder="1" applyAlignment="1" applyProtection="1">
      <alignment horizontal="center" vertical="center"/>
      <protection locked="0"/>
    </xf>
    <xf numFmtId="0" fontId="0" fillId="29" borderId="20" xfId="0" applyFill="1" applyBorder="1" applyAlignment="1" applyProtection="1">
      <alignment horizontal="center"/>
      <protection locked="0"/>
    </xf>
    <xf numFmtId="0" fontId="0" fillId="29" borderId="1" xfId="0" applyFill="1" applyBorder="1" applyAlignment="1" applyProtection="1">
      <alignment horizontal="center"/>
      <protection locked="0"/>
    </xf>
    <xf numFmtId="0" fontId="0" fillId="31" borderId="1" xfId="0" applyFill="1" applyBorder="1" applyAlignment="1" applyProtection="1">
      <alignment horizontal="center"/>
      <protection locked="0"/>
    </xf>
    <xf numFmtId="0" fontId="0" fillId="21" borderId="1" xfId="0" applyFont="1" applyFill="1" applyBorder="1" applyAlignment="1" applyProtection="1">
      <alignment horizontal="center"/>
      <protection locked="0"/>
    </xf>
    <xf numFmtId="0" fontId="0" fillId="21" borderId="20" xfId="0" applyFill="1" applyBorder="1" applyAlignment="1" applyProtection="1">
      <alignment horizontal="center"/>
      <protection locked="0"/>
    </xf>
    <xf numFmtId="0" fontId="0" fillId="21" borderId="1" xfId="0" applyFill="1" applyBorder="1" applyAlignment="1" applyProtection="1">
      <alignment horizontal="center"/>
      <protection locked="0"/>
    </xf>
    <xf numFmtId="0" fontId="0" fillId="30" borderId="1" xfId="0" applyFill="1" applyBorder="1" applyAlignment="1" applyProtection="1">
      <alignment horizontal="center"/>
      <protection locked="0"/>
    </xf>
    <xf numFmtId="0" fontId="0" fillId="29" borderId="1" xfId="0" applyFont="1" applyFill="1" applyBorder="1" applyAlignment="1" applyProtection="1">
      <alignment horizontal="center"/>
      <protection locked="0"/>
    </xf>
    <xf numFmtId="0" fontId="0" fillId="30" borderId="2" xfId="0" applyFill="1" applyBorder="1" applyAlignment="1" applyProtection="1">
      <alignment horizontal="center"/>
      <protection locked="0"/>
    </xf>
    <xf numFmtId="0" fontId="0" fillId="30" borderId="21" xfId="0" applyFill="1" applyBorder="1" applyAlignment="1" applyProtection="1">
      <alignment horizontal="center"/>
      <protection locked="0"/>
    </xf>
    <xf numFmtId="0" fontId="0" fillId="30" borderId="16" xfId="0" applyFill="1" applyBorder="1" applyAlignment="1" applyProtection="1">
      <alignment horizontal="center"/>
      <protection locked="0"/>
    </xf>
    <xf numFmtId="0" fontId="0" fillId="26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28" borderId="1" xfId="0" applyFill="1" applyBorder="1" applyAlignment="1" applyProtection="1">
      <alignment horizontal="center"/>
      <protection locked="0"/>
    </xf>
    <xf numFmtId="0" fontId="0" fillId="27" borderId="20" xfId="0" applyFill="1" applyBorder="1" applyAlignment="1" applyProtection="1">
      <alignment horizontal="center"/>
      <protection locked="0"/>
    </xf>
    <xf numFmtId="0" fontId="0" fillId="27" borderId="1" xfId="0" applyFill="1" applyBorder="1" applyAlignment="1" applyProtection="1">
      <alignment horizontal="center"/>
      <protection locked="0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  <protection locked="0"/>
    </xf>
    <xf numFmtId="0" fontId="0" fillId="27" borderId="1" xfId="0" applyFont="1" applyFill="1" applyBorder="1" applyAlignment="1" applyProtection="1">
      <alignment horizontal="center"/>
      <protection locked="0"/>
    </xf>
    <xf numFmtId="0" fontId="11" fillId="2" borderId="19" xfId="0" applyFont="1" applyFill="1" applyBorder="1" applyAlignment="1" applyProtection="1">
      <alignment horizontal="center"/>
      <protection locked="0"/>
    </xf>
    <xf numFmtId="0" fontId="11" fillId="2" borderId="18" xfId="0" applyFont="1" applyFill="1" applyBorder="1" applyAlignment="1" applyProtection="1">
      <alignment horizontal="center"/>
      <protection locked="0"/>
    </xf>
    <xf numFmtId="0" fontId="11" fillId="2" borderId="17" xfId="0" applyFont="1" applyFill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12" fillId="14" borderId="19" xfId="0" applyFont="1" applyFill="1" applyBorder="1" applyAlignment="1" applyProtection="1">
      <alignment horizontal="center"/>
      <protection locked="0"/>
    </xf>
    <xf numFmtId="0" fontId="12" fillId="14" borderId="18" xfId="0" applyFont="1" applyFill="1" applyBorder="1" applyAlignment="1" applyProtection="1">
      <alignment horizontal="center"/>
      <protection locked="0"/>
    </xf>
    <xf numFmtId="0" fontId="12" fillId="14" borderId="17" xfId="0" applyFont="1" applyFill="1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3" fillId="0" borderId="17" xfId="0" applyFont="1" applyBorder="1" applyAlignment="1" applyProtection="1">
      <alignment horizontal="center"/>
      <protection locked="0"/>
    </xf>
    <xf numFmtId="0" fontId="0" fillId="41" borderId="1" xfId="0" applyFill="1" applyBorder="1" applyAlignment="1" applyProtection="1">
      <alignment horizontal="left" vertical="top" wrapText="1"/>
      <protection locked="0"/>
    </xf>
    <xf numFmtId="0" fontId="0" fillId="14" borderId="16" xfId="0" applyFill="1" applyBorder="1" applyAlignment="1" applyProtection="1">
      <alignment horizontal="center"/>
      <protection locked="0"/>
    </xf>
    <xf numFmtId="0" fontId="0" fillId="14" borderId="1" xfId="0" applyFill="1" applyBorder="1" applyAlignment="1" applyProtection="1">
      <alignment horizontal="center"/>
      <protection locked="0"/>
    </xf>
    <xf numFmtId="0" fontId="0" fillId="14" borderId="20" xfId="0" applyFill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26" borderId="2" xfId="0" applyFill="1" applyBorder="1" applyAlignment="1" applyProtection="1">
      <alignment horizontal="center" vertical="center"/>
      <protection locked="0"/>
    </xf>
    <xf numFmtId="0" fontId="0" fillId="26" borderId="16" xfId="0" applyFill="1" applyBorder="1" applyAlignment="1" applyProtection="1">
      <alignment horizontal="center" vertical="center"/>
      <protection locked="0"/>
    </xf>
    <xf numFmtId="0" fontId="0" fillId="21" borderId="1" xfId="0" applyFill="1" applyBorder="1" applyAlignment="1" applyProtection="1">
      <alignment horizontal="center" vertical="center"/>
      <protection locked="0"/>
    </xf>
    <xf numFmtId="0" fontId="0" fillId="29" borderId="1" xfId="0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 applyProtection="1">
      <alignment horizontal="center" vertical="center" wrapText="1"/>
      <protection locked="0"/>
    </xf>
    <xf numFmtId="165" fontId="0" fillId="0" borderId="1" xfId="0" applyNumberFormat="1" applyBorder="1" applyAlignment="1" applyProtection="1">
      <alignment horizontal="center"/>
      <protection locked="0"/>
    </xf>
    <xf numFmtId="0" fontId="0" fillId="13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6" borderId="1" xfId="0" applyFill="1" applyBorder="1" applyAlignment="1" applyProtection="1">
      <alignment horizontal="center" vertical="center"/>
      <protection locked="0"/>
    </xf>
    <xf numFmtId="3" fontId="12" fillId="44" borderId="1" xfId="0" applyNumberFormat="1" applyFont="1" applyFill="1" applyBorder="1" applyAlignment="1" applyProtection="1">
      <alignment horizontal="center" vertical="center"/>
      <protection locked="0"/>
    </xf>
    <xf numFmtId="0" fontId="12" fillId="0" borderId="16" xfId="0" applyFont="1" applyBorder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27" fillId="21" borderId="19" xfId="0" applyFont="1" applyFill="1" applyBorder="1" applyAlignment="1" applyProtection="1">
      <alignment horizontal="center" vertical="center"/>
      <protection locked="0"/>
    </xf>
    <xf numFmtId="0" fontId="27" fillId="21" borderId="18" xfId="0" applyFont="1" applyFill="1" applyBorder="1" applyAlignment="1" applyProtection="1">
      <alignment horizontal="center" vertical="center"/>
      <protection locked="0"/>
    </xf>
    <xf numFmtId="0" fontId="27" fillId="21" borderId="17" xfId="0" applyFont="1" applyFill="1" applyBorder="1" applyAlignment="1" applyProtection="1">
      <alignment horizontal="center" vertical="center"/>
      <protection locked="0"/>
    </xf>
    <xf numFmtId="0" fontId="27" fillId="36" borderId="36" xfId="0" applyFont="1" applyFill="1" applyBorder="1" applyAlignment="1" applyProtection="1">
      <alignment horizontal="center" vertical="center"/>
      <protection locked="0"/>
    </xf>
    <xf numFmtId="0" fontId="27" fillId="36" borderId="37" xfId="0" applyFont="1" applyFill="1" applyBorder="1" applyAlignment="1" applyProtection="1">
      <alignment horizontal="center" vertical="center"/>
      <protection locked="0"/>
    </xf>
    <xf numFmtId="0" fontId="27" fillId="36" borderId="38" xfId="0" applyFont="1" applyFill="1" applyBorder="1" applyAlignment="1" applyProtection="1">
      <alignment horizontal="center" vertical="center"/>
      <protection locked="0"/>
    </xf>
    <xf numFmtId="0" fontId="27" fillId="48" borderId="19" xfId="0" applyFont="1" applyFill="1" applyBorder="1" applyAlignment="1" applyProtection="1">
      <alignment horizontal="center" vertical="center"/>
      <protection locked="0"/>
    </xf>
    <xf numFmtId="0" fontId="27" fillId="48" borderId="18" xfId="0" applyFont="1" applyFill="1" applyBorder="1" applyAlignment="1" applyProtection="1">
      <alignment horizontal="center" vertical="center"/>
      <protection locked="0"/>
    </xf>
    <xf numFmtId="0" fontId="27" fillId="48" borderId="17" xfId="0" applyFont="1" applyFill="1" applyBorder="1" applyAlignment="1" applyProtection="1">
      <alignment horizontal="center" vertical="center"/>
      <protection locked="0"/>
    </xf>
    <xf numFmtId="0" fontId="27" fillId="2" borderId="19" xfId="0" applyFont="1" applyFill="1" applyBorder="1" applyAlignment="1" applyProtection="1">
      <alignment horizontal="center" vertical="center"/>
      <protection locked="0"/>
    </xf>
    <xf numFmtId="0" fontId="27" fillId="2" borderId="18" xfId="0" applyFont="1" applyFill="1" applyBorder="1" applyAlignment="1" applyProtection="1">
      <alignment horizontal="center" vertical="center"/>
      <protection locked="0"/>
    </xf>
    <xf numFmtId="0" fontId="27" fillId="2" borderId="17" xfId="0" applyFont="1" applyFill="1" applyBorder="1" applyAlignment="1" applyProtection="1">
      <alignment horizontal="center" vertical="center"/>
      <protection locked="0"/>
    </xf>
    <xf numFmtId="0" fontId="27" fillId="47" borderId="19" xfId="0" applyFont="1" applyFill="1" applyBorder="1" applyAlignment="1" applyProtection="1">
      <alignment horizontal="center" vertical="center"/>
      <protection locked="0"/>
    </xf>
    <xf numFmtId="0" fontId="27" fillId="47" borderId="18" xfId="0" applyFont="1" applyFill="1" applyBorder="1" applyAlignment="1" applyProtection="1">
      <alignment horizontal="center" vertical="center"/>
      <protection locked="0"/>
    </xf>
    <xf numFmtId="0" fontId="27" fillId="47" borderId="17" xfId="0" applyFont="1" applyFill="1" applyBorder="1" applyAlignment="1" applyProtection="1">
      <alignment horizontal="center" vertical="center"/>
      <protection locked="0"/>
    </xf>
    <xf numFmtId="0" fontId="27" fillId="46" borderId="19" xfId="0" applyFont="1" applyFill="1" applyBorder="1" applyAlignment="1" applyProtection="1">
      <alignment horizontal="center" vertical="center"/>
      <protection locked="0"/>
    </xf>
    <xf numFmtId="0" fontId="27" fillId="46" borderId="18" xfId="0" applyFont="1" applyFill="1" applyBorder="1" applyAlignment="1" applyProtection="1">
      <alignment horizontal="center" vertical="center"/>
      <protection locked="0"/>
    </xf>
    <xf numFmtId="0" fontId="27" fillId="46" borderId="17" xfId="0" applyFont="1" applyFill="1" applyBorder="1" applyAlignment="1" applyProtection="1">
      <alignment horizontal="center" vertical="center"/>
      <protection locked="0"/>
    </xf>
    <xf numFmtId="0" fontId="27" fillId="49" borderId="19" xfId="0" applyFont="1" applyFill="1" applyBorder="1" applyAlignment="1" applyProtection="1">
      <alignment horizontal="center" vertical="center"/>
      <protection locked="0"/>
    </xf>
    <xf numFmtId="0" fontId="27" fillId="49" borderId="18" xfId="0" applyFont="1" applyFill="1" applyBorder="1" applyAlignment="1" applyProtection="1">
      <alignment horizontal="center" vertical="center"/>
      <protection locked="0"/>
    </xf>
    <xf numFmtId="0" fontId="27" fillId="49" borderId="17" xfId="0" applyFont="1" applyFill="1" applyBorder="1" applyAlignment="1" applyProtection="1">
      <alignment horizontal="center" vertical="center"/>
      <protection locked="0"/>
    </xf>
    <xf numFmtId="0" fontId="27" fillId="4" borderId="19" xfId="0" applyFont="1" applyFill="1" applyBorder="1" applyAlignment="1" applyProtection="1">
      <alignment horizontal="center" vertical="center"/>
      <protection locked="0"/>
    </xf>
    <xf numFmtId="0" fontId="27" fillId="4" borderId="18" xfId="0" applyFont="1" applyFill="1" applyBorder="1" applyAlignment="1" applyProtection="1">
      <alignment horizontal="center" vertical="center"/>
      <protection locked="0"/>
    </xf>
    <xf numFmtId="0" fontId="27" fillId="4" borderId="17" xfId="0" applyFont="1" applyFill="1" applyBorder="1" applyAlignment="1" applyProtection="1">
      <alignment horizontal="center" vertical="center"/>
      <protection locked="0"/>
    </xf>
    <xf numFmtId="0" fontId="52" fillId="44" borderId="36" xfId="0" applyFont="1" applyFill="1" applyBorder="1" applyAlignment="1" applyProtection="1">
      <alignment horizontal="center" vertical="center" wrapText="1"/>
      <protection locked="0"/>
    </xf>
    <xf numFmtId="0" fontId="52" fillId="44" borderId="37" xfId="0" applyFont="1" applyFill="1" applyBorder="1" applyAlignment="1" applyProtection="1">
      <alignment horizontal="center" vertical="center"/>
      <protection locked="0"/>
    </xf>
    <xf numFmtId="0" fontId="52" fillId="44" borderId="38" xfId="0" applyFont="1" applyFill="1" applyBorder="1" applyAlignment="1" applyProtection="1">
      <alignment horizontal="center" vertical="center"/>
      <protection locked="0"/>
    </xf>
    <xf numFmtId="0" fontId="52" fillId="44" borderId="42" xfId="0" applyFont="1" applyFill="1" applyBorder="1" applyAlignment="1" applyProtection="1">
      <alignment horizontal="center" vertical="center"/>
      <protection locked="0"/>
    </xf>
    <xf numFmtId="0" fontId="52" fillId="44" borderId="41" xfId="0" applyFont="1" applyFill="1" applyBorder="1" applyAlignment="1" applyProtection="1">
      <alignment horizontal="center" vertical="center"/>
      <protection locked="0"/>
    </xf>
    <xf numFmtId="0" fontId="52" fillId="44" borderId="43" xfId="0" applyFont="1" applyFill="1" applyBorder="1" applyAlignment="1" applyProtection="1">
      <alignment horizontal="center" vertical="center"/>
      <protection locked="0"/>
    </xf>
    <xf numFmtId="0" fontId="27" fillId="45" borderId="19" xfId="0" applyFont="1" applyFill="1" applyBorder="1" applyAlignment="1" applyProtection="1">
      <alignment horizontal="center" vertical="center"/>
      <protection locked="0"/>
    </xf>
    <xf numFmtId="0" fontId="27" fillId="45" borderId="18" xfId="0" applyFont="1" applyFill="1" applyBorder="1" applyAlignment="1" applyProtection="1">
      <alignment horizontal="center" vertical="center"/>
      <protection locked="0"/>
    </xf>
    <xf numFmtId="0" fontId="27" fillId="45" borderId="17" xfId="0" applyFont="1" applyFill="1" applyBorder="1" applyAlignment="1" applyProtection="1">
      <alignment horizontal="center" vertical="center"/>
      <protection locked="0"/>
    </xf>
    <xf numFmtId="0" fontId="12" fillId="44" borderId="1" xfId="0" applyFont="1" applyFill="1" applyBorder="1" applyAlignment="1" applyProtection="1">
      <alignment horizontal="center" vertical="center" wrapText="1"/>
      <protection locked="0"/>
    </xf>
    <xf numFmtId="0" fontId="12" fillId="44" borderId="1" xfId="0" applyFont="1" applyFill="1" applyBorder="1" applyAlignment="1" applyProtection="1">
      <alignment horizontal="center" vertical="center"/>
      <protection locked="0"/>
    </xf>
    <xf numFmtId="0" fontId="27" fillId="23" borderId="19" xfId="0" applyFont="1" applyFill="1" applyBorder="1" applyAlignment="1" applyProtection="1">
      <alignment horizontal="center" vertical="center"/>
      <protection locked="0"/>
    </xf>
    <xf numFmtId="0" fontId="27" fillId="23" borderId="18" xfId="0" applyFont="1" applyFill="1" applyBorder="1" applyAlignment="1" applyProtection="1">
      <alignment horizontal="center" vertical="center"/>
      <protection locked="0"/>
    </xf>
    <xf numFmtId="0" fontId="27" fillId="23" borderId="17" xfId="0" applyFont="1" applyFill="1" applyBorder="1" applyAlignment="1" applyProtection="1">
      <alignment horizontal="center" vertical="center"/>
      <protection locked="0"/>
    </xf>
    <xf numFmtId="0" fontId="27" fillId="32" borderId="19" xfId="0" applyFont="1" applyFill="1" applyBorder="1" applyAlignment="1" applyProtection="1">
      <alignment horizontal="center" vertical="center"/>
      <protection locked="0"/>
    </xf>
    <xf numFmtId="0" fontId="27" fillId="32" borderId="18" xfId="0" applyFont="1" applyFill="1" applyBorder="1" applyAlignment="1" applyProtection="1">
      <alignment horizontal="center" vertical="center"/>
      <protection locked="0"/>
    </xf>
    <xf numFmtId="0" fontId="27" fillId="32" borderId="17" xfId="0" applyFont="1" applyFill="1" applyBorder="1" applyAlignment="1" applyProtection="1">
      <alignment horizontal="center" vertical="center"/>
      <protection locked="0"/>
    </xf>
    <xf numFmtId="0" fontId="52" fillId="50" borderId="36" xfId="0" applyFont="1" applyFill="1" applyBorder="1" applyAlignment="1" applyProtection="1">
      <alignment horizontal="center" vertical="center"/>
      <protection locked="0"/>
    </xf>
    <xf numFmtId="0" fontId="52" fillId="50" borderId="37" xfId="0" applyFont="1" applyFill="1" applyBorder="1" applyAlignment="1" applyProtection="1">
      <alignment horizontal="center" vertical="center"/>
      <protection locked="0"/>
    </xf>
    <xf numFmtId="0" fontId="52" fillId="50" borderId="38" xfId="0" applyFont="1" applyFill="1" applyBorder="1" applyAlignment="1" applyProtection="1">
      <alignment horizontal="center" vertical="center"/>
      <protection locked="0"/>
    </xf>
    <xf numFmtId="0" fontId="52" fillId="50" borderId="42" xfId="0" applyFont="1" applyFill="1" applyBorder="1" applyAlignment="1" applyProtection="1">
      <alignment horizontal="center" vertical="center"/>
      <protection locked="0"/>
    </xf>
    <xf numFmtId="0" fontId="52" fillId="50" borderId="41" xfId="0" applyFont="1" applyFill="1" applyBorder="1" applyAlignment="1" applyProtection="1">
      <alignment horizontal="center" vertical="center"/>
      <protection locked="0"/>
    </xf>
    <xf numFmtId="0" fontId="52" fillId="50" borderId="43" xfId="0" applyFont="1" applyFill="1" applyBorder="1" applyAlignment="1" applyProtection="1">
      <alignment horizontal="center" vertical="center"/>
      <protection locked="0"/>
    </xf>
    <xf numFmtId="0" fontId="27" fillId="44" borderId="19" xfId="0" applyFont="1" applyFill="1" applyBorder="1" applyAlignment="1" applyProtection="1">
      <alignment horizontal="center" vertical="center"/>
      <protection locked="0"/>
    </xf>
    <xf numFmtId="0" fontId="27" fillId="44" borderId="18" xfId="0" applyFont="1" applyFill="1" applyBorder="1" applyAlignment="1" applyProtection="1">
      <alignment horizontal="center" vertical="center"/>
      <protection locked="0"/>
    </xf>
    <xf numFmtId="0" fontId="27" fillId="44" borderId="17" xfId="0" applyFont="1" applyFill="1" applyBorder="1" applyAlignment="1" applyProtection="1">
      <alignment horizontal="center" vertical="center"/>
      <protection locked="0"/>
    </xf>
    <xf numFmtId="0" fontId="12" fillId="0" borderId="8" xfId="0" applyFont="1" applyBorder="1" applyAlignment="1" applyProtection="1">
      <alignment horizontal="center"/>
      <protection locked="0"/>
    </xf>
    <xf numFmtId="0" fontId="12" fillId="0" borderId="14" xfId="0" applyFont="1" applyBorder="1" applyAlignment="1" applyProtection="1">
      <alignment horizontal="center"/>
      <protection locked="0"/>
    </xf>
    <xf numFmtId="0" fontId="12" fillId="14" borderId="45" xfId="0" applyFont="1" applyFill="1" applyBorder="1" applyAlignment="1" applyProtection="1">
      <alignment horizontal="center"/>
      <protection locked="0"/>
    </xf>
    <xf numFmtId="0" fontId="12" fillId="14" borderId="29" xfId="0" applyFont="1" applyFill="1" applyBorder="1" applyAlignment="1" applyProtection="1">
      <alignment horizontal="center"/>
      <protection locked="0"/>
    </xf>
    <xf numFmtId="0" fontId="89" fillId="16" borderId="36" xfId="0" applyFont="1" applyFill="1" applyBorder="1" applyAlignment="1" applyProtection="1">
      <alignment horizontal="center" vertical="center" wrapText="1"/>
      <protection locked="0"/>
    </xf>
    <xf numFmtId="0" fontId="88" fillId="16" borderId="37" xfId="0" applyFont="1" applyFill="1" applyBorder="1" applyAlignment="1" applyProtection="1">
      <alignment horizontal="center" vertical="center" wrapText="1"/>
      <protection locked="0"/>
    </xf>
    <xf numFmtId="0" fontId="88" fillId="16" borderId="38" xfId="0" applyFont="1" applyFill="1" applyBorder="1" applyAlignment="1" applyProtection="1">
      <alignment horizontal="center" vertical="center" wrapText="1"/>
      <protection locked="0"/>
    </xf>
    <xf numFmtId="0" fontId="77" fillId="0" borderId="0" xfId="17" applyFont="1" applyAlignment="1" applyProtection="1">
      <alignment horizontal="center" vertical="center"/>
      <protection locked="0"/>
    </xf>
    <xf numFmtId="0" fontId="77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6" fillId="5" borderId="0" xfId="0" applyFont="1" applyFill="1" applyBorder="1" applyAlignment="1" applyProtection="1">
      <alignment horizontal="left"/>
      <protection locked="0"/>
    </xf>
    <xf numFmtId="165" fontId="36" fillId="5" borderId="23" xfId="0" applyNumberFormat="1" applyFont="1" applyFill="1" applyBorder="1" applyAlignment="1" applyProtection="1">
      <alignment horizontal="center"/>
      <protection locked="0"/>
    </xf>
    <xf numFmtId="0" fontId="37" fillId="5" borderId="0" xfId="0" applyFont="1" applyFill="1" applyBorder="1" applyAlignment="1" applyProtection="1">
      <alignment horizontal="left" wrapText="1"/>
      <protection locked="0"/>
    </xf>
    <xf numFmtId="0" fontId="36" fillId="5" borderId="0" xfId="0" applyFont="1" applyFill="1" applyBorder="1" applyAlignment="1" applyProtection="1">
      <alignment horizontal="center"/>
      <protection locked="0"/>
    </xf>
    <xf numFmtId="165" fontId="36" fillId="0" borderId="23" xfId="0" applyNumberFormat="1" applyFont="1" applyFill="1" applyBorder="1" applyAlignment="1" applyProtection="1">
      <alignment horizontal="center"/>
      <protection locked="0"/>
    </xf>
    <xf numFmtId="0" fontId="36" fillId="0" borderId="0" xfId="0" applyFont="1" applyFill="1" applyBorder="1" applyAlignment="1" applyProtection="1">
      <alignment horizontal="center"/>
      <protection locked="0"/>
    </xf>
    <xf numFmtId="0" fontId="36" fillId="0" borderId="0" xfId="0" applyFont="1" applyFill="1" applyBorder="1" applyAlignment="1" applyProtection="1">
      <alignment horizontal="left"/>
      <protection locked="0"/>
    </xf>
    <xf numFmtId="0" fontId="37" fillId="0" borderId="0" xfId="0" applyFont="1" applyFill="1" applyBorder="1" applyAlignment="1" applyProtection="1">
      <alignment horizontal="left" indent="5"/>
      <protection locked="0"/>
    </xf>
    <xf numFmtId="0" fontId="36" fillId="0" borderId="23" xfId="0" applyFont="1" applyFill="1" applyBorder="1" applyAlignment="1" applyProtection="1">
      <alignment horizontal="left"/>
      <protection locked="0"/>
    </xf>
    <xf numFmtId="0" fontId="36" fillId="0" borderId="21" xfId="0" applyFont="1" applyFill="1" applyBorder="1" applyAlignment="1" applyProtection="1">
      <alignment horizontal="left"/>
      <protection locked="0"/>
    </xf>
    <xf numFmtId="0" fontId="36" fillId="0" borderId="53" xfId="0" applyFont="1" applyFill="1" applyBorder="1" applyAlignment="1" applyProtection="1">
      <alignment horizontal="left"/>
      <protection locked="0"/>
    </xf>
    <xf numFmtId="0" fontId="36" fillId="16" borderId="2" xfId="0" applyFont="1" applyFill="1" applyBorder="1" applyAlignment="1" applyProtection="1">
      <alignment horizontal="center"/>
      <protection locked="0"/>
    </xf>
    <xf numFmtId="0" fontId="36" fillId="16" borderId="21" xfId="0" applyFont="1" applyFill="1" applyBorder="1" applyAlignment="1" applyProtection="1">
      <alignment horizontal="center"/>
      <protection locked="0"/>
    </xf>
    <xf numFmtId="0" fontId="36" fillId="16" borderId="16" xfId="0" applyFont="1" applyFill="1" applyBorder="1" applyAlignment="1" applyProtection="1">
      <alignment horizontal="center"/>
      <protection locked="0"/>
    </xf>
    <xf numFmtId="171" fontId="36" fillId="63" borderId="67" xfId="0" applyNumberFormat="1" applyFont="1" applyFill="1" applyBorder="1" applyAlignment="1" applyProtection="1">
      <alignment horizontal="center"/>
      <protection locked="0"/>
    </xf>
    <xf numFmtId="0" fontId="68" fillId="0" borderId="0" xfId="0" applyFont="1" applyAlignment="1" applyProtection="1">
      <alignment horizontal="center"/>
      <protection locked="0"/>
    </xf>
    <xf numFmtId="0" fontId="36" fillId="16" borderId="2" xfId="0" applyFont="1" applyFill="1" applyBorder="1" applyAlignment="1" applyProtection="1">
      <alignment horizontal="left"/>
      <protection locked="0"/>
    </xf>
    <xf numFmtId="0" fontId="36" fillId="16" borderId="21" xfId="0" applyFont="1" applyFill="1" applyBorder="1" applyAlignment="1" applyProtection="1">
      <alignment horizontal="left"/>
      <protection locked="0"/>
    </xf>
    <xf numFmtId="0" fontId="36" fillId="16" borderId="16" xfId="0" applyFont="1" applyFill="1" applyBorder="1" applyAlignment="1" applyProtection="1">
      <alignment horizontal="left"/>
      <protection locked="0"/>
    </xf>
    <xf numFmtId="0" fontId="69" fillId="16" borderId="2" xfId="0" applyFont="1" applyFill="1" applyBorder="1" applyAlignment="1" applyProtection="1">
      <alignment horizontal="left"/>
      <protection locked="0"/>
    </xf>
    <xf numFmtId="0" fontId="69" fillId="16" borderId="21" xfId="0" applyFont="1" applyFill="1" applyBorder="1" applyAlignment="1" applyProtection="1">
      <alignment horizontal="left"/>
      <protection locked="0"/>
    </xf>
    <xf numFmtId="0" fontId="69" fillId="16" borderId="16" xfId="0" applyFont="1" applyFill="1" applyBorder="1" applyAlignment="1" applyProtection="1">
      <alignment horizontal="left"/>
      <protection locked="0"/>
    </xf>
    <xf numFmtId="0" fontId="23" fillId="61" borderId="2" xfId="0" applyFont="1" applyFill="1" applyBorder="1" applyAlignment="1" applyProtection="1">
      <alignment horizontal="center" wrapText="1"/>
      <protection locked="0"/>
    </xf>
    <xf numFmtId="0" fontId="23" fillId="61" borderId="21" xfId="0" applyFont="1" applyFill="1" applyBorder="1" applyAlignment="1" applyProtection="1">
      <alignment horizontal="center" wrapText="1"/>
      <protection locked="0"/>
    </xf>
    <xf numFmtId="0" fontId="0" fillId="13" borderId="2" xfId="0" applyFill="1" applyBorder="1" applyAlignment="1" applyProtection="1">
      <alignment horizontal="center" wrapText="1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3" borderId="16" xfId="0" applyFill="1" applyBorder="1" applyAlignment="1" applyProtection="1">
      <alignment horizontal="center" wrapText="1"/>
      <protection locked="0"/>
    </xf>
    <xf numFmtId="0" fontId="0" fillId="33" borderId="23" xfId="0" applyFill="1" applyBorder="1" applyAlignment="1" applyProtection="1">
      <alignment horizontal="center" vertical="center"/>
      <protection locked="0"/>
    </xf>
    <xf numFmtId="0" fontId="0" fillId="14" borderId="1" xfId="0" applyFill="1" applyBorder="1" applyAlignment="1" applyProtection="1">
      <alignment horizontal="center" vertical="center"/>
      <protection locked="0"/>
    </xf>
    <xf numFmtId="0" fontId="0" fillId="61" borderId="1" xfId="0" applyFill="1" applyBorder="1" applyAlignment="1" applyProtection="1">
      <alignment horizontal="center" vertical="center" wrapText="1"/>
      <protection locked="0"/>
    </xf>
    <xf numFmtId="0" fontId="0" fillId="61" borderId="5" xfId="0" applyFill="1" applyBorder="1" applyAlignment="1" applyProtection="1">
      <alignment horizontal="center" vertical="center"/>
      <protection locked="0"/>
    </xf>
    <xf numFmtId="0" fontId="0" fillId="61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3" fillId="2" borderId="56" xfId="0" applyFont="1" applyFill="1" applyBorder="1" applyAlignment="1" applyProtection="1">
      <alignment horizontal="center" wrapText="1"/>
      <protection hidden="1"/>
    </xf>
    <xf numFmtId="0" fontId="23" fillId="2" borderId="58" xfId="0" applyFont="1" applyFill="1" applyBorder="1" applyAlignment="1" applyProtection="1">
      <alignment horizontal="center" wrapText="1"/>
      <protection hidden="1"/>
    </xf>
    <xf numFmtId="0" fontId="0" fillId="57" borderId="0" xfId="0" applyFill="1" applyAlignment="1" applyProtection="1">
      <alignment horizontal="center"/>
      <protection hidden="1"/>
    </xf>
    <xf numFmtId="0" fontId="3" fillId="57" borderId="0" xfId="0" applyFont="1" applyFill="1" applyAlignment="1" applyProtection="1">
      <alignment horizontal="center"/>
      <protection hidden="1"/>
    </xf>
    <xf numFmtId="0" fontId="23" fillId="2" borderId="56" xfId="0" applyFont="1" applyFill="1" applyBorder="1" applyAlignment="1" applyProtection="1">
      <alignment horizontal="center"/>
      <protection hidden="1"/>
    </xf>
    <xf numFmtId="0" fontId="49" fillId="40" borderId="0" xfId="3" applyFont="1" applyFill="1" applyAlignment="1" applyProtection="1">
      <alignment horizontal="center" vertical="center" wrapText="1"/>
      <protection locked="0" hidden="1"/>
    </xf>
    <xf numFmtId="0" fontId="39" fillId="38" borderId="23" xfId="0" applyFont="1" applyFill="1" applyBorder="1" applyAlignment="1" applyProtection="1">
      <alignment horizontal="center" vertical="center" wrapText="1"/>
      <protection locked="0" hidden="1"/>
    </xf>
    <xf numFmtId="0" fontId="39" fillId="66" borderId="23" xfId="0" applyFont="1" applyFill="1" applyBorder="1" applyAlignment="1" applyProtection="1">
      <alignment horizontal="center" vertical="center" wrapText="1"/>
      <protection locked="0" hidden="1"/>
    </xf>
    <xf numFmtId="0" fontId="0" fillId="0" borderId="0" xfId="0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16" fillId="0" borderId="48" xfId="0" applyFont="1" applyBorder="1" applyAlignment="1" applyProtection="1">
      <alignment horizontal="left" vertical="center" wrapText="1"/>
      <protection locked="0"/>
    </xf>
    <xf numFmtId="0" fontId="16" fillId="0" borderId="21" xfId="0" applyFont="1" applyBorder="1" applyAlignment="1" applyProtection="1">
      <alignment horizontal="left" vertical="center" wrapText="1"/>
      <protection locked="0"/>
    </xf>
    <xf numFmtId="0" fontId="16" fillId="0" borderId="48" xfId="0" applyFont="1" applyBorder="1" applyAlignment="1" applyProtection="1">
      <alignment horizontal="center" vertical="center" wrapText="1"/>
      <protection locked="0"/>
    </xf>
    <xf numFmtId="0" fontId="16" fillId="0" borderId="49" xfId="0" applyFont="1" applyBorder="1" applyAlignment="1" applyProtection="1">
      <alignment horizontal="center" vertical="center" wrapText="1"/>
      <protection locked="0"/>
    </xf>
    <xf numFmtId="0" fontId="16" fillId="0" borderId="59" xfId="0" applyFont="1" applyBorder="1" applyAlignment="1" applyProtection="1">
      <alignment horizontal="left" vertical="center" wrapText="1"/>
      <protection locked="0"/>
    </xf>
    <xf numFmtId="0" fontId="16" fillId="0" borderId="60" xfId="0" applyFont="1" applyBorder="1" applyAlignment="1" applyProtection="1">
      <alignment horizontal="left" vertical="center" wrapText="1"/>
      <protection locked="0"/>
    </xf>
    <xf numFmtId="0" fontId="16" fillId="0" borderId="59" xfId="0" applyFont="1" applyBorder="1" applyAlignment="1" applyProtection="1">
      <alignment horizontal="center" vertical="center" wrapText="1"/>
      <protection locked="0"/>
    </xf>
    <xf numFmtId="0" fontId="16" fillId="0" borderId="61" xfId="0" applyFont="1" applyBorder="1" applyAlignment="1" applyProtection="1">
      <alignment horizontal="center" vertical="center" wrapText="1"/>
      <protection locked="0"/>
    </xf>
    <xf numFmtId="0" fontId="0" fillId="0" borderId="41" xfId="0" applyBorder="1" applyAlignment="1" applyProtection="1">
      <alignment horizontal="center"/>
      <protection locked="0"/>
    </xf>
    <xf numFmtId="0" fontId="80" fillId="0" borderId="0" xfId="0" applyFont="1" applyAlignment="1" applyProtection="1">
      <alignment horizontal="center"/>
      <protection locked="0"/>
    </xf>
    <xf numFmtId="0" fontId="16" fillId="0" borderId="49" xfId="0" applyFont="1" applyBorder="1" applyAlignment="1" applyProtection="1">
      <alignment horizontal="left" vertical="center" wrapText="1"/>
      <protection locked="0"/>
    </xf>
    <xf numFmtId="0" fontId="17" fillId="40" borderId="50" xfId="0" applyFont="1" applyFill="1" applyBorder="1" applyAlignment="1" applyProtection="1">
      <alignment horizontal="left"/>
      <protection locked="0"/>
    </xf>
    <xf numFmtId="0" fontId="17" fillId="40" borderId="53" xfId="0" applyFont="1" applyFill="1" applyBorder="1" applyAlignment="1" applyProtection="1">
      <alignment horizontal="left"/>
      <protection locked="0"/>
    </xf>
    <xf numFmtId="0" fontId="17" fillId="40" borderId="4" xfId="0" applyFont="1" applyFill="1" applyBorder="1" applyAlignment="1" applyProtection="1">
      <alignment horizontal="center"/>
      <protection locked="0"/>
    </xf>
    <xf numFmtId="0" fontId="17" fillId="40" borderId="54" xfId="0" applyFont="1" applyFill="1" applyBorder="1" applyAlignment="1" applyProtection="1">
      <alignment horizontal="center"/>
      <protection locked="0"/>
    </xf>
    <xf numFmtId="0" fontId="16" fillId="0" borderId="55" xfId="0" applyFont="1" applyBorder="1" applyAlignment="1" applyProtection="1">
      <alignment horizontal="left" vertical="center" wrapText="1"/>
      <protection locked="0"/>
    </xf>
    <xf numFmtId="0" fontId="16" fillId="0" borderId="56" xfId="0" applyFont="1" applyBorder="1" applyAlignment="1" applyProtection="1">
      <alignment horizontal="left" vertical="center" wrapText="1"/>
      <protection locked="0"/>
    </xf>
    <xf numFmtId="0" fontId="16" fillId="0" borderId="55" xfId="0" applyFont="1" applyBorder="1" applyAlignment="1" applyProtection="1">
      <alignment horizontal="center" vertical="center" wrapText="1"/>
      <protection locked="0"/>
    </xf>
    <xf numFmtId="0" fontId="16" fillId="0" borderId="58" xfId="0" applyFont="1" applyBorder="1" applyAlignment="1" applyProtection="1">
      <alignment horizontal="center" vertical="center" wrapText="1"/>
      <protection locked="0"/>
    </xf>
    <xf numFmtId="0" fontId="16" fillId="0" borderId="50" xfId="0" applyFont="1" applyBorder="1" applyAlignment="1" applyProtection="1">
      <alignment horizontal="left" vertical="center" wrapText="1"/>
      <protection locked="0"/>
    </xf>
    <xf numFmtId="0" fontId="16" fillId="0" borderId="53" xfId="0" applyFont="1" applyBorder="1" applyAlignment="1" applyProtection="1">
      <alignment horizontal="left" vertical="center" wrapText="1"/>
      <protection locked="0"/>
    </xf>
    <xf numFmtId="0" fontId="16" fillId="0" borderId="50" xfId="0" applyFont="1" applyBorder="1" applyAlignment="1" applyProtection="1">
      <alignment horizontal="center" vertical="center" wrapText="1"/>
      <protection locked="0"/>
    </xf>
    <xf numFmtId="0" fontId="16" fillId="0" borderId="52" xfId="0" applyFont="1" applyBorder="1" applyAlignment="1" applyProtection="1">
      <alignment horizontal="center" vertical="center" wrapText="1"/>
      <protection locked="0"/>
    </xf>
    <xf numFmtId="0" fontId="17" fillId="16" borderId="19" xfId="0" applyFont="1" applyFill="1" applyBorder="1" applyAlignment="1" applyProtection="1">
      <alignment horizontal="left"/>
      <protection locked="0"/>
    </xf>
    <xf numFmtId="0" fontId="17" fillId="16" borderId="18" xfId="0" applyFont="1" applyFill="1" applyBorder="1" applyAlignment="1" applyProtection="1">
      <alignment horizontal="left"/>
      <protection locked="0"/>
    </xf>
    <xf numFmtId="0" fontId="17" fillId="16" borderId="45" xfId="0" applyFont="1" applyFill="1" applyBorder="1" applyAlignment="1" applyProtection="1">
      <alignment horizontal="center"/>
      <protection locked="0"/>
    </xf>
    <xf numFmtId="0" fontId="17" fillId="16" borderId="13" xfId="0" applyFont="1" applyFill="1" applyBorder="1" applyAlignment="1" applyProtection="1">
      <alignment horizontal="center"/>
      <protection locked="0"/>
    </xf>
    <xf numFmtId="0" fontId="16" fillId="0" borderId="46" xfId="0" applyFont="1" applyBorder="1" applyAlignment="1" applyProtection="1">
      <alignment horizontal="left" vertical="center" wrapText="1"/>
      <protection locked="0"/>
    </xf>
    <xf numFmtId="0" fontId="16" fillId="0" borderId="23" xfId="0" applyFont="1" applyBorder="1" applyAlignment="1" applyProtection="1">
      <alignment horizontal="left" vertical="center" wrapText="1"/>
      <protection locked="0"/>
    </xf>
    <xf numFmtId="0" fontId="16" fillId="0" borderId="46" xfId="0" applyFont="1" applyBorder="1" applyAlignment="1" applyProtection="1">
      <alignment horizontal="center" vertical="center" wrapText="1"/>
      <protection locked="0"/>
    </xf>
    <xf numFmtId="0" fontId="16" fillId="0" borderId="47" xfId="0" applyFont="1" applyBorder="1" applyAlignment="1" applyProtection="1">
      <alignment horizontal="center" vertical="center" wrapText="1"/>
      <protection locked="0"/>
    </xf>
    <xf numFmtId="0" fontId="17" fillId="40" borderId="19" xfId="0" applyFont="1" applyFill="1" applyBorder="1" applyAlignment="1" applyProtection="1">
      <alignment horizontal="left"/>
      <protection locked="0"/>
    </xf>
    <xf numFmtId="0" fontId="17" fillId="40" borderId="18" xfId="0" applyFont="1" applyFill="1" applyBorder="1" applyAlignment="1" applyProtection="1">
      <alignment horizontal="left"/>
      <protection locked="0"/>
    </xf>
    <xf numFmtId="0" fontId="17" fillId="40" borderId="45" xfId="0" applyFont="1" applyFill="1" applyBorder="1" applyAlignment="1" applyProtection="1">
      <alignment horizontal="center"/>
      <protection locked="0"/>
    </xf>
    <xf numFmtId="0" fontId="17" fillId="40" borderId="13" xfId="0" applyFont="1" applyFill="1" applyBorder="1" applyAlignment="1" applyProtection="1">
      <alignment horizontal="center"/>
      <protection locked="0"/>
    </xf>
    <xf numFmtId="0" fontId="16" fillId="0" borderId="47" xfId="0" applyFont="1" applyBorder="1" applyAlignment="1" applyProtection="1">
      <alignment horizontal="left" vertical="center" wrapText="1"/>
      <protection locked="0"/>
    </xf>
    <xf numFmtId="0" fontId="16" fillId="0" borderId="21" xfId="0" applyFont="1" applyBorder="1" applyAlignment="1" applyProtection="1">
      <alignment horizontal="center" vertical="center" wrapText="1"/>
      <protection locked="0"/>
    </xf>
    <xf numFmtId="0" fontId="16" fillId="0" borderId="53" xfId="0" applyFont="1" applyBorder="1" applyAlignment="1" applyProtection="1">
      <alignment horizontal="center" vertical="center" wrapText="1"/>
      <protection locked="0"/>
    </xf>
    <xf numFmtId="0" fontId="16" fillId="0" borderId="48" xfId="0" applyFont="1" applyBorder="1" applyAlignment="1" applyProtection="1">
      <alignment vertical="center" wrapText="1"/>
      <protection locked="0"/>
    </xf>
    <xf numFmtId="0" fontId="16" fillId="0" borderId="21" xfId="0" applyFont="1" applyBorder="1" applyAlignment="1" applyProtection="1">
      <alignment vertical="center" wrapText="1"/>
      <protection locked="0"/>
    </xf>
    <xf numFmtId="0" fontId="16" fillId="0" borderId="46" xfId="0" applyFont="1" applyBorder="1" applyAlignment="1" applyProtection="1">
      <alignment vertical="center" wrapText="1"/>
      <protection locked="0"/>
    </xf>
    <xf numFmtId="0" fontId="16" fillId="0" borderId="23" xfId="0" applyFont="1" applyBorder="1" applyAlignment="1" applyProtection="1">
      <alignment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 applyProtection="1">
      <alignment horizontal="left" vertical="top"/>
      <protection locked="0"/>
    </xf>
    <xf numFmtId="0" fontId="16" fillId="0" borderId="10" xfId="0" applyFont="1" applyBorder="1" applyAlignment="1" applyProtection="1">
      <alignment horizontal="left" vertical="top"/>
      <protection locked="0"/>
    </xf>
    <xf numFmtId="0" fontId="16" fillId="0" borderId="15" xfId="0" applyFont="1" applyBorder="1" applyAlignment="1" applyProtection="1">
      <alignment horizontal="left" vertical="top"/>
      <protection locked="0"/>
    </xf>
    <xf numFmtId="0" fontId="17" fillId="40" borderId="18" xfId="0" applyFont="1" applyFill="1" applyBorder="1" applyAlignment="1" applyProtection="1">
      <alignment horizontal="center"/>
      <protection locked="0"/>
    </xf>
    <xf numFmtId="0" fontId="16" fillId="9" borderId="36" xfId="0" applyFont="1" applyFill="1" applyBorder="1" applyAlignment="1" applyProtection="1">
      <alignment horizontal="left"/>
      <protection locked="0"/>
    </xf>
    <xf numFmtId="0" fontId="16" fillId="9" borderId="37" xfId="0" applyFont="1" applyFill="1" applyBorder="1" applyAlignment="1" applyProtection="1">
      <alignment horizontal="left"/>
      <protection locked="0"/>
    </xf>
    <xf numFmtId="0" fontId="16" fillId="9" borderId="38" xfId="0" applyFont="1" applyFill="1" applyBorder="1" applyAlignment="1" applyProtection="1">
      <alignment horizontal="left"/>
      <protection locked="0"/>
    </xf>
    <xf numFmtId="0" fontId="16" fillId="9" borderId="0" xfId="0" applyFont="1" applyFill="1" applyBorder="1" applyAlignment="1" applyProtection="1">
      <alignment horizontal="left"/>
      <protection locked="0"/>
    </xf>
    <xf numFmtId="0" fontId="16" fillId="9" borderId="39" xfId="0" applyFont="1" applyFill="1" applyBorder="1" applyAlignment="1" applyProtection="1">
      <alignment horizontal="left"/>
      <protection locked="0"/>
    </xf>
    <xf numFmtId="0" fontId="16" fillId="9" borderId="40" xfId="0" applyFont="1" applyFill="1" applyBorder="1" applyAlignment="1" applyProtection="1">
      <alignment horizontal="left"/>
      <protection locked="0"/>
    </xf>
    <xf numFmtId="0" fontId="16" fillId="9" borderId="41" xfId="0" applyFont="1" applyFill="1" applyBorder="1" applyAlignment="1" applyProtection="1">
      <alignment horizontal="left"/>
      <protection locked="0"/>
    </xf>
    <xf numFmtId="0" fontId="16" fillId="9" borderId="42" xfId="0" applyFont="1" applyFill="1" applyBorder="1" applyAlignment="1" applyProtection="1">
      <alignment horizontal="left"/>
      <protection locked="0"/>
    </xf>
    <xf numFmtId="0" fontId="16" fillId="9" borderId="43" xfId="0" applyFont="1" applyFill="1" applyBorder="1" applyAlignment="1" applyProtection="1">
      <alignment horizontal="left"/>
      <protection locked="0"/>
    </xf>
    <xf numFmtId="0" fontId="17" fillId="40" borderId="17" xfId="0" applyFont="1" applyFill="1" applyBorder="1" applyAlignment="1" applyProtection="1">
      <alignment horizontal="left"/>
      <protection locked="0"/>
    </xf>
    <xf numFmtId="0" fontId="17" fillId="40" borderId="12" xfId="0" applyFont="1" applyFill="1" applyBorder="1" applyAlignment="1" applyProtection="1">
      <alignment horizontal="left"/>
      <protection locked="0"/>
    </xf>
    <xf numFmtId="0" fontId="17" fillId="40" borderId="44" xfId="0" applyFont="1" applyFill="1" applyBorder="1" applyAlignment="1" applyProtection="1">
      <alignment horizontal="left"/>
      <protection locked="0"/>
    </xf>
    <xf numFmtId="0" fontId="27" fillId="9" borderId="65" xfId="0" applyFont="1" applyFill="1" applyBorder="1" applyAlignment="1" applyProtection="1">
      <alignment horizontal="center"/>
      <protection locked="0"/>
    </xf>
    <xf numFmtId="165" fontId="27" fillId="9" borderId="65" xfId="0" applyNumberFormat="1" applyFont="1" applyFill="1" applyBorder="1" applyAlignment="1" applyProtection="1">
      <alignment horizontal="center"/>
      <protection locked="0"/>
    </xf>
    <xf numFmtId="0" fontId="31" fillId="9" borderId="23" xfId="0" applyFont="1" applyFill="1" applyBorder="1" applyAlignment="1" applyProtection="1">
      <alignment horizontal="left"/>
      <protection locked="0"/>
    </xf>
    <xf numFmtId="9" fontId="27" fillId="9" borderId="53" xfId="0" applyNumberFormat="1" applyFont="1" applyFill="1" applyBorder="1" applyAlignment="1" applyProtection="1">
      <alignment horizontal="right"/>
      <protection locked="0"/>
    </xf>
    <xf numFmtId="0" fontId="33" fillId="40" borderId="0" xfId="0" applyFont="1" applyFill="1" applyAlignment="1" applyProtection="1">
      <alignment horizontal="left"/>
      <protection locked="0"/>
    </xf>
    <xf numFmtId="0" fontId="27" fillId="9" borderId="66" xfId="0" applyFont="1" applyFill="1" applyBorder="1" applyAlignment="1" applyProtection="1">
      <alignment horizontal="center"/>
      <protection locked="0"/>
    </xf>
    <xf numFmtId="0" fontId="27" fillId="9" borderId="0" xfId="0" applyFont="1" applyFill="1" applyBorder="1" applyAlignment="1" applyProtection="1">
      <alignment horizontal="center"/>
      <protection locked="0"/>
    </xf>
    <xf numFmtId="0" fontId="27" fillId="9" borderId="62" xfId="0" applyFont="1" applyFill="1" applyBorder="1" applyAlignment="1" applyProtection="1">
      <alignment horizontal="left"/>
      <protection locked="0"/>
    </xf>
    <xf numFmtId="0" fontId="27" fillId="9" borderId="63" xfId="0" applyFont="1" applyFill="1" applyBorder="1" applyAlignment="1" applyProtection="1">
      <alignment horizontal="left"/>
      <protection locked="0"/>
    </xf>
    <xf numFmtId="0" fontId="27" fillId="9" borderId="64" xfId="0" applyFont="1" applyFill="1" applyBorder="1" applyAlignment="1" applyProtection="1">
      <alignment horizontal="left"/>
      <protection locked="0"/>
    </xf>
    <xf numFmtId="0" fontId="12" fillId="9" borderId="0" xfId="0" applyFont="1" applyFill="1" applyAlignment="1" applyProtection="1">
      <alignment horizontal="left"/>
      <protection locked="0"/>
    </xf>
    <xf numFmtId="0" fontId="31" fillId="40" borderId="62" xfId="0" applyFont="1" applyFill="1" applyBorder="1" applyAlignment="1" applyProtection="1">
      <alignment horizontal="left"/>
      <protection locked="0"/>
    </xf>
    <xf numFmtId="0" fontId="31" fillId="40" borderId="63" xfId="0" applyFont="1" applyFill="1" applyBorder="1" applyAlignment="1" applyProtection="1">
      <alignment horizontal="left"/>
      <protection locked="0"/>
    </xf>
    <xf numFmtId="0" fontId="31" fillId="40" borderId="64" xfId="0" applyFont="1" applyFill="1" applyBorder="1" applyAlignment="1" applyProtection="1">
      <alignment horizontal="left"/>
      <protection locked="0"/>
    </xf>
    <xf numFmtId="0" fontId="31" fillId="40" borderId="62" xfId="0" applyFont="1" applyFill="1" applyBorder="1" applyAlignment="1" applyProtection="1">
      <alignment horizontal="right"/>
      <protection locked="0"/>
    </xf>
    <xf numFmtId="0" fontId="31" fillId="40" borderId="64" xfId="0" applyFont="1" applyFill="1" applyBorder="1" applyAlignment="1" applyProtection="1">
      <alignment horizontal="right"/>
      <protection locked="0"/>
    </xf>
    <xf numFmtId="0" fontId="29" fillId="9" borderId="0" xfId="0" applyFont="1" applyFill="1" applyAlignment="1" applyProtection="1">
      <alignment horizontal="left" wrapText="1"/>
      <protection locked="0"/>
    </xf>
    <xf numFmtId="0" fontId="30" fillId="9" borderId="0" xfId="0" applyFont="1" applyFill="1" applyAlignment="1" applyProtection="1">
      <alignment horizontal="left" wrapText="1"/>
      <protection locked="0"/>
    </xf>
    <xf numFmtId="0" fontId="12" fillId="9" borderId="0" xfId="0" applyFont="1" applyFill="1" applyAlignment="1" applyProtection="1">
      <alignment horizontal="left" vertical="top" wrapText="1"/>
      <protection locked="0"/>
    </xf>
    <xf numFmtId="0" fontId="32" fillId="9" borderId="23" xfId="0" applyFont="1" applyFill="1" applyBorder="1" applyAlignment="1" applyProtection="1">
      <alignment horizontal="left"/>
      <protection locked="0"/>
    </xf>
    <xf numFmtId="0" fontId="28" fillId="9" borderId="0" xfId="0" applyFont="1" applyFill="1" applyBorder="1" applyAlignment="1" applyProtection="1">
      <alignment horizontal="center" vertical="center"/>
      <protection locked="0"/>
    </xf>
    <xf numFmtId="0" fontId="84" fillId="15" borderId="5" xfId="0" applyFont="1" applyFill="1" applyBorder="1" applyAlignment="1" applyProtection="1">
      <alignment horizontal="center" vertical="center"/>
      <protection locked="0"/>
    </xf>
    <xf numFmtId="0" fontId="84" fillId="15" borderId="0" xfId="0" applyFont="1" applyFill="1" applyBorder="1" applyAlignment="1" applyProtection="1">
      <alignment horizontal="center" vertical="center"/>
      <protection locked="0"/>
    </xf>
    <xf numFmtId="0" fontId="85" fillId="15" borderId="5" xfId="0" applyFont="1" applyFill="1" applyBorder="1" applyAlignment="1" applyProtection="1">
      <alignment horizontal="center"/>
      <protection locked="0"/>
    </xf>
    <xf numFmtId="0" fontId="85" fillId="15" borderId="0" xfId="0" applyFont="1" applyFill="1" applyBorder="1" applyAlignment="1" applyProtection="1">
      <alignment horizontal="center"/>
      <protection locked="0"/>
    </xf>
    <xf numFmtId="0" fontId="3" fillId="11" borderId="19" xfId="0" applyFont="1" applyFill="1" applyBorder="1" applyAlignment="1" applyProtection="1">
      <alignment horizontal="center"/>
      <protection locked="0"/>
    </xf>
    <xf numFmtId="0" fontId="3" fillId="11" borderId="18" xfId="0" applyFont="1" applyFill="1" applyBorder="1" applyAlignment="1" applyProtection="1">
      <alignment horizontal="center"/>
      <protection locked="0"/>
    </xf>
    <xf numFmtId="0" fontId="3" fillId="11" borderId="17" xfId="0" applyFont="1" applyFill="1" applyBorder="1" applyAlignment="1" applyProtection="1">
      <alignment horizontal="center"/>
      <protection locked="0"/>
    </xf>
    <xf numFmtId="0" fontId="82" fillId="0" borderId="12" xfId="0" applyFont="1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23" borderId="19" xfId="0" applyFill="1" applyBorder="1" applyAlignment="1" applyProtection="1">
      <alignment horizontal="center" vertical="center"/>
      <protection locked="0"/>
    </xf>
    <xf numFmtId="0" fontId="0" fillId="23" borderId="17" xfId="0" applyFill="1" applyBorder="1" applyAlignment="1" applyProtection="1">
      <alignment horizontal="center" vertical="center"/>
      <protection locked="0"/>
    </xf>
    <xf numFmtId="0" fontId="3" fillId="5" borderId="19" xfId="0" applyFont="1" applyFill="1" applyBorder="1" applyAlignment="1" applyProtection="1">
      <alignment horizontal="center"/>
      <protection locked="0"/>
    </xf>
    <xf numFmtId="0" fontId="3" fillId="5" borderId="18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vertical="center" wrapText="1"/>
      <protection locked="0"/>
    </xf>
    <xf numFmtId="0" fontId="3" fillId="2" borderId="14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65" fontId="0" fillId="23" borderId="2" xfId="0" applyNumberFormat="1" applyFill="1" applyBorder="1" applyAlignment="1" applyProtection="1">
      <alignment horizontal="center"/>
      <protection locked="0"/>
    </xf>
    <xf numFmtId="165" fontId="0" fillId="23" borderId="16" xfId="0" applyNumberFormat="1" applyFill="1" applyBorder="1" applyAlignment="1" applyProtection="1">
      <alignment horizontal="center"/>
      <protection locked="0"/>
    </xf>
    <xf numFmtId="0" fontId="18" fillId="40" borderId="20" xfId="0" applyFont="1" applyFill="1" applyBorder="1" applyAlignment="1" applyProtection="1">
      <alignment horizontal="center" vertical="center" wrapText="1"/>
      <protection locked="0" hidden="1"/>
    </xf>
    <xf numFmtId="0" fontId="19" fillId="40" borderId="20" xfId="0" applyFont="1" applyFill="1" applyBorder="1" applyAlignment="1" applyProtection="1">
      <alignment horizontal="center" vertical="center" wrapText="1"/>
      <protection locked="0" hidden="1"/>
    </xf>
    <xf numFmtId="0" fontId="19" fillId="40" borderId="1" xfId="0" applyFont="1" applyFill="1" applyBorder="1" applyAlignment="1" applyProtection="1">
      <alignment horizontal="center" vertical="center" wrapText="1"/>
      <protection locked="0" hidden="1"/>
    </xf>
    <xf numFmtId="0" fontId="20" fillId="16" borderId="20" xfId="0" applyFont="1" applyFill="1" applyBorder="1" applyAlignment="1" applyProtection="1">
      <alignment horizontal="center" vertical="center" wrapText="1"/>
      <protection locked="0" hidden="1"/>
    </xf>
    <xf numFmtId="2" fontId="20" fillId="16" borderId="20" xfId="0" applyNumberFormat="1" applyFont="1" applyFill="1" applyBorder="1" applyAlignment="1" applyProtection="1">
      <alignment horizontal="center" vertical="center" wrapText="1"/>
      <protection locked="0" hidden="1"/>
    </xf>
    <xf numFmtId="3" fontId="21" fillId="16" borderId="20" xfId="0" applyNumberFormat="1" applyFont="1" applyFill="1" applyBorder="1" applyAlignment="1" applyProtection="1">
      <alignment horizontal="center"/>
      <protection locked="0" hidden="1"/>
    </xf>
    <xf numFmtId="3" fontId="22" fillId="16" borderId="16" xfId="0" applyNumberFormat="1" applyFont="1" applyFill="1" applyBorder="1" applyAlignment="1" applyProtection="1">
      <alignment horizontal="center" vertical="center" wrapText="1"/>
      <protection locked="0" hidden="1"/>
    </xf>
    <xf numFmtId="0" fontId="20" fillId="16" borderId="14" xfId="0" applyFont="1" applyFill="1" applyBorder="1" applyAlignment="1" applyProtection="1">
      <alignment horizontal="center" vertical="center" wrapText="1"/>
      <protection locked="0" hidden="1"/>
    </xf>
    <xf numFmtId="2" fontId="23" fillId="16" borderId="14" xfId="0" applyNumberFormat="1" applyFont="1" applyFill="1" applyBorder="1" applyAlignment="1" applyProtection="1">
      <alignment horizontal="center" vertical="center" wrapText="1"/>
      <protection locked="0" hidden="1"/>
    </xf>
    <xf numFmtId="3" fontId="21" fillId="16" borderId="14" xfId="0" applyNumberFormat="1" applyFont="1" applyFill="1" applyBorder="1" applyAlignment="1" applyProtection="1">
      <alignment horizontal="center" vertical="center" wrapText="1"/>
      <protection locked="0" hidden="1"/>
    </xf>
    <xf numFmtId="3" fontId="21" fillId="16" borderId="14" xfId="0" applyNumberFormat="1" applyFont="1" applyFill="1" applyBorder="1" applyAlignment="1" applyProtection="1">
      <alignment horizontal="center"/>
      <protection locked="0" hidden="1"/>
    </xf>
    <xf numFmtId="0" fontId="23" fillId="16" borderId="14" xfId="0" applyFont="1" applyFill="1" applyBorder="1" applyAlignment="1" applyProtection="1">
      <alignment horizontal="center" vertical="center" wrapText="1"/>
      <protection locked="0" hidden="1"/>
    </xf>
    <xf numFmtId="3" fontId="22" fillId="16" borderId="4" xfId="0" applyNumberFormat="1" applyFont="1" applyFill="1" applyBorder="1" applyAlignment="1" applyProtection="1">
      <alignment horizontal="center" vertical="center" wrapText="1"/>
      <protection locked="0" hidden="1"/>
    </xf>
    <xf numFmtId="0" fontId="24" fillId="0" borderId="14" xfId="0" applyFont="1" applyBorder="1" applyAlignment="1" applyProtection="1">
      <alignment wrapText="1"/>
      <protection locked="0" hidden="1"/>
    </xf>
    <xf numFmtId="3" fontId="25" fillId="0" borderId="14" xfId="0" applyNumberFormat="1" applyFont="1" applyBorder="1" applyAlignment="1" applyProtection="1">
      <alignment horizontal="center"/>
      <protection locked="0" hidden="1"/>
    </xf>
    <xf numFmtId="3" fontId="25" fillId="0" borderId="14" xfId="0" applyNumberFormat="1" applyFont="1" applyBorder="1" applyAlignment="1" applyProtection="1">
      <protection locked="0" hidden="1"/>
    </xf>
    <xf numFmtId="0" fontId="0" fillId="0" borderId="14" xfId="0" applyBorder="1" applyAlignment="1" applyProtection="1">
      <alignment horizontal="center"/>
      <protection locked="0" hidden="1"/>
    </xf>
    <xf numFmtId="3" fontId="26" fillId="25" borderId="1" xfId="0" applyNumberFormat="1" applyFont="1" applyFill="1" applyBorder="1" applyAlignment="1" applyProtection="1">
      <alignment horizontal="center"/>
      <protection locked="0" hidden="1"/>
    </xf>
    <xf numFmtId="3" fontId="25" fillId="0" borderId="1" xfId="0" applyNumberFormat="1" applyFont="1" applyBorder="1" applyAlignment="1" applyProtection="1">
      <protection locked="0" hidden="1"/>
    </xf>
    <xf numFmtId="0" fontId="0" fillId="0" borderId="1" xfId="0" applyFill="1" applyBorder="1" applyAlignment="1" applyProtection="1">
      <alignment vertical="center"/>
      <protection locked="0" hidden="1"/>
    </xf>
    <xf numFmtId="0" fontId="0" fillId="0" borderId="1" xfId="0" applyFill="1" applyBorder="1" applyAlignment="1" applyProtection="1">
      <alignment horizontal="center" vertical="center"/>
      <protection locked="0" hidden="1"/>
    </xf>
    <xf numFmtId="0" fontId="0" fillId="0" borderId="1" xfId="0" applyNumberFormat="1" applyFill="1" applyBorder="1" applyAlignment="1" applyProtection="1">
      <alignment horizontal="center" vertical="center"/>
      <protection locked="0" hidden="1"/>
    </xf>
    <xf numFmtId="14" fontId="0" fillId="0" borderId="1" xfId="0" applyNumberFormat="1" applyFill="1" applyBorder="1" applyAlignment="1" applyProtection="1">
      <alignment horizontal="center" vertical="center"/>
      <protection locked="0" hidden="1"/>
    </xf>
    <xf numFmtId="164" fontId="0" fillId="0" borderId="1" xfId="0" applyNumberFormat="1" applyFill="1" applyBorder="1" applyAlignment="1" applyProtection="1">
      <alignment horizontal="center" vertical="center"/>
      <protection locked="0" hidden="1"/>
    </xf>
    <xf numFmtId="165" fontId="0" fillId="0" borderId="1" xfId="0" applyNumberFormat="1" applyFill="1" applyBorder="1" applyAlignment="1" applyProtection="1">
      <alignment horizontal="center" vertical="center"/>
      <protection locked="0" hidden="1"/>
    </xf>
    <xf numFmtId="164" fontId="0" fillId="0" borderId="1" xfId="0" applyNumberFormat="1" applyFill="1" applyBorder="1" applyAlignment="1" applyProtection="1">
      <alignment horizontal="center" vertical="center" wrapText="1"/>
      <protection locked="0" hidden="1"/>
    </xf>
    <xf numFmtId="42" fontId="0" fillId="0" borderId="1" xfId="0" applyNumberFormat="1" applyFill="1" applyBorder="1" applyAlignment="1" applyProtection="1">
      <alignment horizontal="center" vertical="center"/>
      <protection locked="0" hidden="1"/>
    </xf>
    <xf numFmtId="42" fontId="0" fillId="0" borderId="1" xfId="0" applyNumberFormat="1" applyFill="1" applyBorder="1" applyAlignment="1" applyProtection="1">
      <alignment horizontal="center" vertical="center" wrapText="1"/>
      <protection locked="0" hidden="1"/>
    </xf>
    <xf numFmtId="1" fontId="0" fillId="0" borderId="1" xfId="0" applyNumberFormat="1" applyFill="1" applyBorder="1" applyAlignment="1" applyProtection="1">
      <alignment horizontal="center" vertical="center"/>
      <protection locked="0" hidden="1"/>
    </xf>
    <xf numFmtId="0" fontId="0" fillId="38" borderId="1" xfId="0" applyFill="1" applyBorder="1" applyAlignment="1" applyProtection="1">
      <alignment horizontal="center" vertical="center"/>
      <protection locked="0" hidden="1"/>
    </xf>
    <xf numFmtId="167" fontId="0" fillId="38" borderId="1" xfId="0" applyNumberFormat="1" applyFill="1" applyBorder="1" applyAlignment="1" applyProtection="1">
      <alignment vertical="center"/>
      <protection locked="0" hidden="1"/>
    </xf>
    <xf numFmtId="0" fontId="0" fillId="38" borderId="16" xfId="0" applyFill="1" applyBorder="1" applyAlignment="1" applyProtection="1">
      <alignment horizontal="center" vertical="center" wrapText="1"/>
      <protection locked="0" hidden="1"/>
    </xf>
    <xf numFmtId="0" fontId="0" fillId="38" borderId="1" xfId="0" applyFill="1" applyBorder="1" applyAlignment="1" applyProtection="1">
      <alignment horizontal="center" vertical="center" wrapText="1"/>
      <protection locked="0" hidden="1"/>
    </xf>
    <xf numFmtId="0" fontId="0" fillId="38" borderId="2" xfId="0" applyFill="1" applyBorder="1" applyAlignment="1" applyProtection="1">
      <alignment horizontal="center" vertical="center" wrapText="1"/>
      <protection locked="0" hidden="1"/>
    </xf>
    <xf numFmtId="177" fontId="0" fillId="38" borderId="1" xfId="0" applyNumberFormat="1" applyFill="1" applyBorder="1" applyAlignment="1" applyProtection="1">
      <alignment horizontal="center" vertical="center"/>
      <protection locked="0" hidden="1"/>
    </xf>
    <xf numFmtId="0" fontId="0" fillId="38" borderId="2" xfId="0" applyFill="1" applyBorder="1" applyAlignment="1" applyProtection="1">
      <alignment horizontal="center" wrapText="1"/>
      <protection locked="0" hidden="1"/>
    </xf>
    <xf numFmtId="0" fontId="0" fillId="38" borderId="21" xfId="0" applyFill="1" applyBorder="1" applyAlignment="1" applyProtection="1">
      <alignment horizontal="center" wrapText="1"/>
      <protection locked="0" hidden="1"/>
    </xf>
    <xf numFmtId="0" fontId="0" fillId="38" borderId="16" xfId="0" applyFill="1" applyBorder="1" applyAlignment="1" applyProtection="1">
      <alignment horizontal="center" wrapText="1"/>
      <protection locked="0" hidden="1"/>
    </xf>
    <xf numFmtId="0" fontId="0" fillId="38" borderId="1" xfId="0" applyFill="1" applyBorder="1" applyAlignment="1" applyProtection="1">
      <alignment horizontal="center" wrapText="1"/>
      <protection locked="0" hidden="1"/>
    </xf>
    <xf numFmtId="0" fontId="0" fillId="38" borderId="0" xfId="0" applyFill="1" applyAlignment="1" applyProtection="1">
      <alignment horizontal="center" vertical="center"/>
      <protection locked="0" hidden="1"/>
    </xf>
    <xf numFmtId="0" fontId="0" fillId="0" borderId="0" xfId="0" applyFill="1" applyBorder="1" applyAlignment="1" applyProtection="1">
      <alignment horizontal="center" vertical="center"/>
      <protection locked="0" hidden="1"/>
    </xf>
    <xf numFmtId="164" fontId="0" fillId="0" borderId="0" xfId="0" applyNumberForma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</cellXfs>
  <cellStyles count="20">
    <cellStyle name="Columna de marcas" xfId="16"/>
    <cellStyle name="Detalles de la tabla" xfId="3"/>
    <cellStyle name="Detalles de la tabla a la derecha" xfId="13"/>
    <cellStyle name="Detalles de la tabla a la izquierda" xfId="15"/>
    <cellStyle name="Encabezado 1" xfId="9" builtinId="16"/>
    <cellStyle name="Hipervínculo" xfId="1" builtinId="8"/>
    <cellStyle name="Hipervínculo 2" xfId="5"/>
    <cellStyle name="Hipervínculo 3" xfId="17"/>
    <cellStyle name="Millares [0]" xfId="7" builtinId="6"/>
    <cellStyle name="Moneda" xfId="18" builtinId="4"/>
    <cellStyle name="Moneda [0] 2" xfId="19"/>
    <cellStyle name="Moneda de la tabla" xfId="14"/>
    <cellStyle name="Normal" xfId="0" builtinId="0"/>
    <cellStyle name="Normal_Hoja1" xfId="6"/>
    <cellStyle name="Números de la tabla" xfId="4"/>
    <cellStyle name="Porcentaje 2" xfId="2"/>
    <cellStyle name="Suspendido" xfId="12"/>
    <cellStyle name="Título" xfId="8" builtinId="15"/>
    <cellStyle name="Título 2" xfId="10" builtinId="17"/>
    <cellStyle name="Título 3" xfId="11" builtinId="18"/>
  </cellStyles>
  <dxfs count="45"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u val="none"/>
        <color rgb="FFFF0000"/>
      </font>
      <fill>
        <patternFill patternType="solid">
          <bgColor rgb="FFFAF65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ont>
        <strike/>
        <color rgb="FFFF0000"/>
      </font>
      <fill>
        <patternFill>
          <bgColor rgb="FFFFFF66"/>
        </patternFill>
      </fill>
    </dxf>
    <dxf>
      <font>
        <strike/>
        <color rgb="FFFF0000"/>
      </font>
      <fill>
        <patternFill>
          <bgColor rgb="FFFFFF66"/>
        </patternFill>
      </fill>
    </dxf>
    <dxf>
      <fill>
        <patternFill>
          <bgColor rgb="FF92D050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fill>
        <patternFill patternType="none">
          <fgColor auto="1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fill>
        <patternFill patternType="none">
          <fgColor auto="1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fill>
        <patternFill patternType="none">
          <fgColor auto="1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fill>
        <patternFill patternType="none">
          <fgColor auto="1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73" formatCode="&quot;$&quot;\ #,##0"/>
      <fill>
        <patternFill patternType="none">
          <fgColor auto="1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fill>
        <patternFill patternType="none">
          <fgColor auto="1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73" formatCode="&quot;$&quot;\ #,##0"/>
      <fill>
        <patternFill patternType="none">
          <fgColor auto="1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fill>
        <patternFill patternType="none">
          <fgColor auto="1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fill>
        <patternFill patternType="none">
          <fgColor auto="1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fill>
        <patternFill patternType="none">
          <fgColor auto="1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176" formatCode="&quot;Nuevo Pedido&quot;;&quot;&quot;;&quot;&quot;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numFmt numFmtId="0" formatCode="General"/>
      <fill>
        <patternFill patternType="solid">
          <fgColor theme="6" tint="0.79961546678060247"/>
          <bgColor theme="4" tint="0.89996032593768116"/>
        </patternFill>
      </fill>
      <alignment horizontal="right" vertical="center" textRotation="0" wrapText="0" indent="1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entury Gothic"/>
        <scheme val="major"/>
      </font>
      <numFmt numFmtId="0" formatCode="General"/>
      <fill>
        <patternFill patternType="solid">
          <fgColor indexed="64"/>
          <bgColor theme="6" tint="-0.24994659260841701"/>
        </patternFill>
      </fill>
      <alignment horizontal="left" vertical="center" textRotation="0" wrapText="1" indent="1" justifyLastLine="0" shrinkToFit="0" readingOrder="0"/>
      <border diagonalUp="0" diagonalDown="0">
        <left style="thick">
          <color theme="0"/>
        </left>
        <right style="thick">
          <color theme="0"/>
        </right>
        <top/>
        <bottom/>
      </border>
      <protection locked="0" hidden="0"/>
    </dxf>
    <dxf>
      <font>
        <strike/>
        <color theme="1" tint="0.34998626667073579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rgb="FFC00000"/>
      </font>
      <numFmt numFmtId="1" formatCode="0"/>
      <fill>
        <patternFill>
          <bgColor rgb="FFFFFF00"/>
        </patternFill>
      </fill>
      <border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2" defaultTableStyle="TableStyleMedium2" defaultPivotStyle="PivotStyleLight16">
    <tableStyle name="Lista de inventario" pivot="0" count="3">
      <tableStyleElement type="wholeTable" dxfId="44"/>
      <tableStyleElement type="headerRow" dxfId="43"/>
      <tableStyleElement type="firstColumn" dxfId="42"/>
    </tableStyle>
    <tableStyle name="MySqlDefault" pivot="0" table="0" count="2">
      <tableStyleElement type="wholeTable" dxfId="41"/>
      <tableStyleElement type="headerRow" dxfId="40"/>
    </tableStyle>
  </tableStyles>
  <colors>
    <mruColors>
      <color rgb="FFFFFF66"/>
      <color rgb="FF6699FF"/>
      <color rgb="FFCC0099"/>
      <color rgb="FFCC99FF"/>
      <color rgb="FF9900FF"/>
      <color rgb="FFF4F68E"/>
      <color rgb="FFFFFF00"/>
      <color rgb="FF3399FF"/>
      <color rgb="FFFFFF99"/>
      <color rgb="FFFAF6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1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0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7.xml"/><Relationship Id="rId36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8.xml"/><Relationship Id="rId35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Presupuesto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'EJERCICIOS SI Y O'!$A$5</c:f>
              <c:strCache>
                <c:ptCount val="1"/>
                <c:pt idx="0">
                  <c:v>ventas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'EJERCICIOS SI Y O'!$B$3:$K$3</c15:sqref>
                  </c15:fullRef>
                </c:ext>
              </c:extLst>
              <c:f>'EJERCICIOS SI Y O'!$B$3:$J$3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TOTAL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'EJERCICIOS SI Y O'!$B$5:$K$5</c15:sqref>
                  </c15:fullRef>
                </c:ext>
              </c:extLst>
              <c:f>'EJERCICIOS SI Y O'!$B$5:$J$5</c:f>
              <c:numCache>
                <c:formatCode>0</c:formatCode>
                <c:ptCount val="9"/>
                <c:pt idx="0">
                  <c:v>300</c:v>
                </c:pt>
                <c:pt idx="1">
                  <c:v>552</c:v>
                </c:pt>
                <c:pt idx="2">
                  <c:v>977.04</c:v>
                </c:pt>
                <c:pt idx="3">
                  <c:v>1817.2943999999998</c:v>
                </c:pt>
                <c:pt idx="4">
                  <c:v>3525.5511359999996</c:v>
                </c:pt>
                <c:pt idx="5">
                  <c:v>3948.6172723199998</c:v>
                </c:pt>
                <c:pt idx="6">
                  <c:v>7541.8589901311998</c:v>
                </c:pt>
                <c:pt idx="7">
                  <c:v>8748.5564285521905</c:v>
                </c:pt>
                <c:pt idx="8">
                  <c:v>27410.918227003389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'EJERCICIOS SI Y O'!$A$6</c:f>
              <c:strCache>
                <c:ptCount val="1"/>
                <c:pt idx="0">
                  <c:v>costo fijo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'EJERCICIOS SI Y O'!$B$3:$K$3</c15:sqref>
                  </c15:fullRef>
                </c:ext>
              </c:extLst>
              <c:f>'EJERCICIOS SI Y O'!$B$3:$J$3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TOTAL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'EJERCICIOS SI Y O'!$B$6:$K$6</c15:sqref>
                  </c15:fullRef>
                </c:ext>
              </c:extLst>
              <c:f>'EJERCICIOS SI Y O'!$B$6:$J$6</c:f>
              <c:numCache>
                <c:formatCode>General</c:formatCode>
                <c:ptCount val="9"/>
                <c:pt idx="0">
                  <c:v>350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 formatCode="0">
                  <c:v>1400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'EJERCICIOS SI Y O'!$A$7</c:f>
              <c:strCache>
                <c:ptCount val="1"/>
                <c:pt idx="0">
                  <c:v>costo variable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'EJERCICIOS SI Y O'!$B$3:$K$3</c15:sqref>
                  </c15:fullRef>
                </c:ext>
              </c:extLst>
              <c:f>'EJERCICIOS SI Y O'!$B$3:$J$3</c:f>
              <c:strCache>
                <c:ptCount val="9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TOTAL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'EJERCICIOS SI Y O'!$B$7:$K$7</c15:sqref>
                  </c15:fullRef>
                </c:ext>
              </c:extLst>
              <c:f>'EJERCICIOS SI Y O'!$B$7:$J$7</c:f>
              <c:numCache>
                <c:formatCode>0</c:formatCode>
                <c:ptCount val="9"/>
                <c:pt idx="0">
                  <c:v>120</c:v>
                </c:pt>
                <c:pt idx="1">
                  <c:v>220.8</c:v>
                </c:pt>
                <c:pt idx="2">
                  <c:v>390.81600000000003</c:v>
                </c:pt>
                <c:pt idx="3">
                  <c:v>726.91775999999993</c:v>
                </c:pt>
                <c:pt idx="4">
                  <c:v>1410.2204543999999</c:v>
                </c:pt>
                <c:pt idx="5">
                  <c:v>1579.4469089280001</c:v>
                </c:pt>
                <c:pt idx="6">
                  <c:v>3016.7435960524799</c:v>
                </c:pt>
                <c:pt idx="7">
                  <c:v>3499.4225714208765</c:v>
                </c:pt>
                <c:pt idx="8">
                  <c:v>10964.367290801356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707944"/>
        <c:axId val="289302640"/>
      </c:lineChart>
      <c:catAx>
        <c:axId val="291707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89302640"/>
        <c:crosses val="autoZero"/>
        <c:auto val="1"/>
        <c:lblAlgn val="ctr"/>
        <c:lblOffset val="100"/>
        <c:noMultiLvlLbl val="0"/>
      </c:catAx>
      <c:valAx>
        <c:axId val="28930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917079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[Final.xlsm]SUELDOS!Tabla dinámica1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46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47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48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49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50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52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53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54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56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57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  <c:pivotFmt>
        <c:idx val="58"/>
        <c:spPr>
          <a:gradFill rotWithShape="1">
            <a:gsLst>
              <a:gs pos="0">
                <a:schemeClr val="accent1">
                  <a:tint val="96000"/>
                  <a:lumMod val="104000"/>
                </a:schemeClr>
              </a:gs>
              <a:gs pos="100000">
                <a:schemeClr val="accent1">
                  <a:shade val="98000"/>
                  <a:lumMod val="94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38100" dir="5400000" rotWithShape="0">
              <a:srgbClr val="000000">
                <a:alpha val="60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SUELDOS!$B$160</c:f>
              <c:strCache>
                <c:ptCount val="1"/>
                <c:pt idx="0">
                  <c:v>Suma de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04000"/>
                  </a:schemeClr>
                </a:gs>
                <a:gs pos="100000">
                  <a:schemeClr val="accent1">
                    <a:shade val="98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multiLvlStrRef>
              <c:f>SUELDOS!$A$161:$A$190</c:f>
              <c:multiLvlStrCache>
                <c:ptCount val="11"/>
                <c:lvl>
                  <c:pt idx="0">
                    <c:v>AMARANTO</c:v>
                  </c:pt>
                  <c:pt idx="1">
                    <c:v>BETTI</c:v>
                  </c:pt>
                  <c:pt idx="2">
                    <c:v>ARTURO</c:v>
                  </c:pt>
                  <c:pt idx="3">
                    <c:v>DAVID</c:v>
                  </c:pt>
                  <c:pt idx="4">
                    <c:v>JAROL</c:v>
                  </c:pt>
                  <c:pt idx="5">
                    <c:v>FAURIT</c:v>
                  </c:pt>
                  <c:pt idx="6">
                    <c:v>URIBE</c:v>
                  </c:pt>
                  <c:pt idx="7">
                    <c:v>IPPO</c:v>
                  </c:pt>
                  <c:pt idx="8">
                    <c:v>SEBASTIAN</c:v>
                  </c:pt>
                  <c:pt idx="9">
                    <c:v>FRANCISCO</c:v>
                  </c:pt>
                  <c:pt idx="10">
                    <c:v>LIONEL</c:v>
                  </c:pt>
                </c:lvl>
                <c:lvl>
                  <c:pt idx="0">
                    <c:v>1317424267</c:v>
                  </c:pt>
                  <c:pt idx="1">
                    <c:v>1247550875</c:v>
                  </c:pt>
                  <c:pt idx="2">
                    <c:v>1241318672</c:v>
                  </c:pt>
                  <c:pt idx="3">
                    <c:v>1323384207</c:v>
                  </c:pt>
                  <c:pt idx="4">
                    <c:v>1259425899</c:v>
                  </c:pt>
                  <c:pt idx="5">
                    <c:v>1285748000</c:v>
                  </c:pt>
                  <c:pt idx="6">
                    <c:v>1324063080</c:v>
                  </c:pt>
                  <c:pt idx="7">
                    <c:v>1237462775</c:v>
                  </c:pt>
                  <c:pt idx="8">
                    <c:v>1311966071</c:v>
                  </c:pt>
                  <c:pt idx="9">
                    <c:v>1315211554</c:v>
                  </c:pt>
                  <c:pt idx="10">
                    <c:v>1321648522</c:v>
                  </c:pt>
                </c:lvl>
                <c:lvl>
                  <c:pt idx="0">
                    <c:v>ADMINISTRATIVO</c:v>
                  </c:pt>
                  <c:pt idx="1">
                    <c:v>MANTENIMIENTO</c:v>
                  </c:pt>
                  <c:pt idx="2">
                    <c:v>MKT</c:v>
                  </c:pt>
                  <c:pt idx="4">
                    <c:v>SERVICIO AL CLIENTE</c:v>
                  </c:pt>
                  <c:pt idx="6">
                    <c:v>SISTEMAS</c:v>
                  </c:pt>
                  <c:pt idx="7">
                    <c:v>TESORERIA</c:v>
                  </c:pt>
                  <c:pt idx="9">
                    <c:v>VENTAS</c:v>
                  </c:pt>
                </c:lvl>
              </c:multiLvlStrCache>
            </c:multiLvlStrRef>
          </c:cat>
          <c:val>
            <c:numRef>
              <c:f>SUELDOS!$B$161:$B$190</c:f>
              <c:numCache>
                <c:formatCode>General</c:formatCode>
                <c:ptCount val="11"/>
                <c:pt idx="0">
                  <c:v>363742.52999999991</c:v>
                </c:pt>
                <c:pt idx="1">
                  <c:v>420577.29700000002</c:v>
                </c:pt>
                <c:pt idx="2">
                  <c:v>155647.47916666666</c:v>
                </c:pt>
                <c:pt idx="3">
                  <c:v>261654.35916666666</c:v>
                </c:pt>
                <c:pt idx="4">
                  <c:v>73927.909916666671</c:v>
                </c:pt>
                <c:pt idx="5">
                  <c:v>76991.690916666674</c:v>
                </c:pt>
                <c:pt idx="6">
                  <c:v>160952.05883333331</c:v>
                </c:pt>
                <c:pt idx="7">
                  <c:v>148917.21433333337</c:v>
                </c:pt>
                <c:pt idx="8">
                  <c:v>210288.64850000001</c:v>
                </c:pt>
                <c:pt idx="9">
                  <c:v>221655.59925000003</c:v>
                </c:pt>
                <c:pt idx="10">
                  <c:v>280910.43030000001</c:v>
                </c:pt>
              </c:numCache>
            </c:numRef>
          </c:val>
        </c:ser>
        <c:ser>
          <c:idx val="1"/>
          <c:order val="1"/>
          <c:tx>
            <c:strRef>
              <c:f>SUELDOS!$C$160</c:f>
              <c:strCache>
                <c:ptCount val="1"/>
                <c:pt idx="0">
                  <c:v>Suma de PENSION EMPLEADOR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04000"/>
                  </a:schemeClr>
                </a:gs>
                <a:gs pos="100000">
                  <a:schemeClr val="accent2">
                    <a:shade val="98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multiLvlStrRef>
              <c:f>SUELDOS!$A$161:$A$190</c:f>
              <c:multiLvlStrCache>
                <c:ptCount val="11"/>
                <c:lvl>
                  <c:pt idx="0">
                    <c:v>AMARANTO</c:v>
                  </c:pt>
                  <c:pt idx="1">
                    <c:v>BETTI</c:v>
                  </c:pt>
                  <c:pt idx="2">
                    <c:v>ARTURO</c:v>
                  </c:pt>
                  <c:pt idx="3">
                    <c:v>DAVID</c:v>
                  </c:pt>
                  <c:pt idx="4">
                    <c:v>JAROL</c:v>
                  </c:pt>
                  <c:pt idx="5">
                    <c:v>FAURIT</c:v>
                  </c:pt>
                  <c:pt idx="6">
                    <c:v>URIBE</c:v>
                  </c:pt>
                  <c:pt idx="7">
                    <c:v>IPPO</c:v>
                  </c:pt>
                  <c:pt idx="8">
                    <c:v>SEBASTIAN</c:v>
                  </c:pt>
                  <c:pt idx="9">
                    <c:v>FRANCISCO</c:v>
                  </c:pt>
                  <c:pt idx="10">
                    <c:v>LIONEL</c:v>
                  </c:pt>
                </c:lvl>
                <c:lvl>
                  <c:pt idx="0">
                    <c:v>1317424267</c:v>
                  </c:pt>
                  <c:pt idx="1">
                    <c:v>1247550875</c:v>
                  </c:pt>
                  <c:pt idx="2">
                    <c:v>1241318672</c:v>
                  </c:pt>
                  <c:pt idx="3">
                    <c:v>1323384207</c:v>
                  </c:pt>
                  <c:pt idx="4">
                    <c:v>1259425899</c:v>
                  </c:pt>
                  <c:pt idx="5">
                    <c:v>1285748000</c:v>
                  </c:pt>
                  <c:pt idx="6">
                    <c:v>1324063080</c:v>
                  </c:pt>
                  <c:pt idx="7">
                    <c:v>1237462775</c:v>
                  </c:pt>
                  <c:pt idx="8">
                    <c:v>1311966071</c:v>
                  </c:pt>
                  <c:pt idx="9">
                    <c:v>1315211554</c:v>
                  </c:pt>
                  <c:pt idx="10">
                    <c:v>1321648522</c:v>
                  </c:pt>
                </c:lvl>
                <c:lvl>
                  <c:pt idx="0">
                    <c:v>ADMINISTRATIVO</c:v>
                  </c:pt>
                  <c:pt idx="1">
                    <c:v>MANTENIMIENTO</c:v>
                  </c:pt>
                  <c:pt idx="2">
                    <c:v>MKT</c:v>
                  </c:pt>
                  <c:pt idx="4">
                    <c:v>SERVICIO AL CLIENTE</c:v>
                  </c:pt>
                  <c:pt idx="6">
                    <c:v>SISTEMAS</c:v>
                  </c:pt>
                  <c:pt idx="7">
                    <c:v>TESORERIA</c:v>
                  </c:pt>
                  <c:pt idx="9">
                    <c:v>VENTAS</c:v>
                  </c:pt>
                </c:lvl>
              </c:multiLvlStrCache>
            </c:multiLvlStrRef>
          </c:cat>
          <c:val>
            <c:numRef>
              <c:f>SUELDOS!$C$161:$C$190</c:f>
              <c:numCache>
                <c:formatCode>General</c:formatCode>
                <c:ptCount val="11"/>
                <c:pt idx="0">
                  <c:v>18773.807999999997</c:v>
                </c:pt>
                <c:pt idx="1">
                  <c:v>21707.215199999999</c:v>
                </c:pt>
                <c:pt idx="2">
                  <c:v>7900.6439999999993</c:v>
                </c:pt>
                <c:pt idx="3">
                  <c:v>12711.432000000001</c:v>
                </c:pt>
                <c:pt idx="4">
                  <c:v>3676.5372000000002</c:v>
                </c:pt>
                <c:pt idx="5">
                  <c:v>3676.5372000000002</c:v>
                </c:pt>
                <c:pt idx="6">
                  <c:v>8174.4288000000006</c:v>
                </c:pt>
                <c:pt idx="7">
                  <c:v>7235.7383999999993</c:v>
                </c:pt>
                <c:pt idx="8">
                  <c:v>10853.607599999999</c:v>
                </c:pt>
                <c:pt idx="9">
                  <c:v>11440.2888</c:v>
                </c:pt>
                <c:pt idx="10">
                  <c:v>13787.014799999999</c:v>
                </c:pt>
              </c:numCache>
            </c:numRef>
          </c:val>
        </c:ser>
        <c:ser>
          <c:idx val="2"/>
          <c:order val="2"/>
          <c:tx>
            <c:strRef>
              <c:f>SUELDOS!$D$160</c:f>
              <c:strCache>
                <c:ptCount val="1"/>
                <c:pt idx="0">
                  <c:v>Suma de SALUD EMPLEADOR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96000"/>
                    <a:lumMod val="104000"/>
                  </a:schemeClr>
                </a:gs>
                <a:gs pos="100000">
                  <a:schemeClr val="accent3">
                    <a:shade val="98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multiLvlStrRef>
              <c:f>SUELDOS!$A$161:$A$190</c:f>
              <c:multiLvlStrCache>
                <c:ptCount val="11"/>
                <c:lvl>
                  <c:pt idx="0">
                    <c:v>AMARANTO</c:v>
                  </c:pt>
                  <c:pt idx="1">
                    <c:v>BETTI</c:v>
                  </c:pt>
                  <c:pt idx="2">
                    <c:v>ARTURO</c:v>
                  </c:pt>
                  <c:pt idx="3">
                    <c:v>DAVID</c:v>
                  </c:pt>
                  <c:pt idx="4">
                    <c:v>JAROL</c:v>
                  </c:pt>
                  <c:pt idx="5">
                    <c:v>FAURIT</c:v>
                  </c:pt>
                  <c:pt idx="6">
                    <c:v>URIBE</c:v>
                  </c:pt>
                  <c:pt idx="7">
                    <c:v>IPPO</c:v>
                  </c:pt>
                  <c:pt idx="8">
                    <c:v>SEBASTIAN</c:v>
                  </c:pt>
                  <c:pt idx="9">
                    <c:v>FRANCISCO</c:v>
                  </c:pt>
                  <c:pt idx="10">
                    <c:v>LIONEL</c:v>
                  </c:pt>
                </c:lvl>
                <c:lvl>
                  <c:pt idx="0">
                    <c:v>1317424267</c:v>
                  </c:pt>
                  <c:pt idx="1">
                    <c:v>1247550875</c:v>
                  </c:pt>
                  <c:pt idx="2">
                    <c:v>1241318672</c:v>
                  </c:pt>
                  <c:pt idx="3">
                    <c:v>1323384207</c:v>
                  </c:pt>
                  <c:pt idx="4">
                    <c:v>1259425899</c:v>
                  </c:pt>
                  <c:pt idx="5">
                    <c:v>1285748000</c:v>
                  </c:pt>
                  <c:pt idx="6">
                    <c:v>1324063080</c:v>
                  </c:pt>
                  <c:pt idx="7">
                    <c:v>1237462775</c:v>
                  </c:pt>
                  <c:pt idx="8">
                    <c:v>1311966071</c:v>
                  </c:pt>
                  <c:pt idx="9">
                    <c:v>1315211554</c:v>
                  </c:pt>
                  <c:pt idx="10">
                    <c:v>1321648522</c:v>
                  </c:pt>
                </c:lvl>
                <c:lvl>
                  <c:pt idx="0">
                    <c:v>ADMINISTRATIVO</c:v>
                  </c:pt>
                  <c:pt idx="1">
                    <c:v>MANTENIMIENTO</c:v>
                  </c:pt>
                  <c:pt idx="2">
                    <c:v>MKT</c:v>
                  </c:pt>
                  <c:pt idx="4">
                    <c:v>SERVICIO AL CLIENTE</c:v>
                  </c:pt>
                  <c:pt idx="6">
                    <c:v>SISTEMAS</c:v>
                  </c:pt>
                  <c:pt idx="7">
                    <c:v>TESORERIA</c:v>
                  </c:pt>
                  <c:pt idx="9">
                    <c:v>VENTAS</c:v>
                  </c:pt>
                </c:lvl>
              </c:multiLvlStrCache>
            </c:multiLvlStrRef>
          </c:cat>
          <c:val>
            <c:numRef>
              <c:f>SUELDOS!$D$161:$D$190</c:f>
              <c:numCache>
                <c:formatCode>General</c:formatCode>
                <c:ptCount val="11"/>
                <c:pt idx="0">
                  <c:v>13298.114</c:v>
                </c:pt>
                <c:pt idx="1">
                  <c:v>15375.944100000001</c:v>
                </c:pt>
                <c:pt idx="2">
                  <c:v>5596.2894999999999</c:v>
                </c:pt>
                <c:pt idx="3">
                  <c:v>9003.9310000000005</c:v>
                </c:pt>
                <c:pt idx="4">
                  <c:v>2604.2138500000001</c:v>
                </c:pt>
                <c:pt idx="5">
                  <c:v>2604.2138500000001</c:v>
                </c:pt>
                <c:pt idx="6">
                  <c:v>5790.2204000000011</c:v>
                </c:pt>
                <c:pt idx="7">
                  <c:v>5125.3146999999999</c:v>
                </c:pt>
                <c:pt idx="8">
                  <c:v>7687.9720500000003</c:v>
                </c:pt>
                <c:pt idx="9">
                  <c:v>8103.5379000000012</c:v>
                </c:pt>
                <c:pt idx="10">
                  <c:v>9765.8021499999995</c:v>
                </c:pt>
              </c:numCache>
            </c:numRef>
          </c:val>
        </c:ser>
        <c:ser>
          <c:idx val="3"/>
          <c:order val="3"/>
          <c:tx>
            <c:strRef>
              <c:f>SUELDOS!$E$160</c:f>
              <c:strCache>
                <c:ptCount val="1"/>
                <c:pt idx="0">
                  <c:v>Cuenta de AUX TRANSP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04000"/>
                  </a:schemeClr>
                </a:gs>
                <a:gs pos="100000">
                  <a:schemeClr val="accent4">
                    <a:shade val="98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multiLvlStrRef>
              <c:f>SUELDOS!$A$161:$A$190</c:f>
              <c:multiLvlStrCache>
                <c:ptCount val="11"/>
                <c:lvl>
                  <c:pt idx="0">
                    <c:v>AMARANTO</c:v>
                  </c:pt>
                  <c:pt idx="1">
                    <c:v>BETTI</c:v>
                  </c:pt>
                  <c:pt idx="2">
                    <c:v>ARTURO</c:v>
                  </c:pt>
                  <c:pt idx="3">
                    <c:v>DAVID</c:v>
                  </c:pt>
                  <c:pt idx="4">
                    <c:v>JAROL</c:v>
                  </c:pt>
                  <c:pt idx="5">
                    <c:v>FAURIT</c:v>
                  </c:pt>
                  <c:pt idx="6">
                    <c:v>URIBE</c:v>
                  </c:pt>
                  <c:pt idx="7">
                    <c:v>IPPO</c:v>
                  </c:pt>
                  <c:pt idx="8">
                    <c:v>SEBASTIAN</c:v>
                  </c:pt>
                  <c:pt idx="9">
                    <c:v>FRANCISCO</c:v>
                  </c:pt>
                  <c:pt idx="10">
                    <c:v>LIONEL</c:v>
                  </c:pt>
                </c:lvl>
                <c:lvl>
                  <c:pt idx="0">
                    <c:v>1317424267</c:v>
                  </c:pt>
                  <c:pt idx="1">
                    <c:v>1247550875</c:v>
                  </c:pt>
                  <c:pt idx="2">
                    <c:v>1241318672</c:v>
                  </c:pt>
                  <c:pt idx="3">
                    <c:v>1323384207</c:v>
                  </c:pt>
                  <c:pt idx="4">
                    <c:v>1259425899</c:v>
                  </c:pt>
                  <c:pt idx="5">
                    <c:v>1285748000</c:v>
                  </c:pt>
                  <c:pt idx="6">
                    <c:v>1324063080</c:v>
                  </c:pt>
                  <c:pt idx="7">
                    <c:v>1237462775</c:v>
                  </c:pt>
                  <c:pt idx="8">
                    <c:v>1311966071</c:v>
                  </c:pt>
                  <c:pt idx="9">
                    <c:v>1315211554</c:v>
                  </c:pt>
                  <c:pt idx="10">
                    <c:v>1321648522</c:v>
                  </c:pt>
                </c:lvl>
                <c:lvl>
                  <c:pt idx="0">
                    <c:v>ADMINISTRATIVO</c:v>
                  </c:pt>
                  <c:pt idx="1">
                    <c:v>MANTENIMIENTO</c:v>
                  </c:pt>
                  <c:pt idx="2">
                    <c:v>MKT</c:v>
                  </c:pt>
                  <c:pt idx="4">
                    <c:v>SERVICIO AL CLIENTE</c:v>
                  </c:pt>
                  <c:pt idx="6">
                    <c:v>SISTEMAS</c:v>
                  </c:pt>
                  <c:pt idx="7">
                    <c:v>TESORERIA</c:v>
                  </c:pt>
                  <c:pt idx="9">
                    <c:v>VENTAS</c:v>
                  </c:pt>
                </c:lvl>
              </c:multiLvlStrCache>
            </c:multiLvlStrRef>
          </c:cat>
          <c:val>
            <c:numRef>
              <c:f>SUELDOS!$E$161:$E$190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9301072"/>
        <c:axId val="289301464"/>
      </c:barChart>
      <c:catAx>
        <c:axId val="28930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TIPO DE DEPARTAMENTO</a:t>
                </a:r>
              </a:p>
            </c:rich>
          </c:tx>
          <c:layout>
            <c:manualLayout>
              <c:xMode val="edge"/>
              <c:yMode val="edge"/>
              <c:x val="0.39685964955090136"/>
              <c:y val="0.931462193529652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89301464"/>
        <c:crosses val="autoZero"/>
        <c:auto val="1"/>
        <c:lblAlgn val="ctr"/>
        <c:lblOffset val="100"/>
        <c:noMultiLvlLbl val="0"/>
      </c:catAx>
      <c:valAx>
        <c:axId val="289301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VALOR</a:t>
                </a:r>
                <a:r>
                  <a:rPr lang="es-CO" baseline="0"/>
                  <a:t> EN PESOS</a:t>
                </a:r>
                <a:endParaRPr lang="es-C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8930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1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1"/>
          <c:order val="0"/>
          <c:tx>
            <c:v>Sueldo por antiguedad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'Ejercicio sueldos'!$G$26:$G$35</c:f>
              <c:strCache>
                <c:ptCount val="10"/>
                <c:pt idx="0">
                  <c:v>Juan Gomez</c:v>
                </c:pt>
                <c:pt idx="1">
                  <c:v>Jose perez</c:v>
                </c:pt>
                <c:pt idx="2">
                  <c:v>Maria Lopez</c:v>
                </c:pt>
                <c:pt idx="3">
                  <c:v>Ana Gomez</c:v>
                </c:pt>
                <c:pt idx="4">
                  <c:v>Maria Martinez</c:v>
                </c:pt>
                <c:pt idx="5">
                  <c:v>Marcelo Jimenez</c:v>
                </c:pt>
                <c:pt idx="6">
                  <c:v>Juan rivas</c:v>
                </c:pt>
                <c:pt idx="7">
                  <c:v>Ricardo Arias</c:v>
                </c:pt>
                <c:pt idx="8">
                  <c:v>Lorena Martin</c:v>
                </c:pt>
                <c:pt idx="9">
                  <c:v>Juan Gonzalez</c:v>
                </c:pt>
              </c:strCache>
            </c:strRef>
          </c:cat>
          <c:val>
            <c:numRef>
              <c:f>'Ejercicio sueldos'!$L$26:$L$35</c:f>
              <c:numCache>
                <c:formatCode>_("$"\ * #,##0.00_);_("$"\ * \(#,##0.00\);_("$"\ * "-"??_);_(@_)</c:formatCode>
                <c:ptCount val="10"/>
                <c:pt idx="0">
                  <c:v>20600</c:v>
                </c:pt>
                <c:pt idx="1">
                  <c:v>30510</c:v>
                </c:pt>
                <c:pt idx="2">
                  <c:v>40450</c:v>
                </c:pt>
                <c:pt idx="3">
                  <c:v>50420</c:v>
                </c:pt>
                <c:pt idx="4">
                  <c:v>60430</c:v>
                </c:pt>
                <c:pt idx="5">
                  <c:v>60510</c:v>
                </c:pt>
                <c:pt idx="6">
                  <c:v>80600</c:v>
                </c:pt>
                <c:pt idx="7">
                  <c:v>90430</c:v>
                </c:pt>
                <c:pt idx="8">
                  <c:v>170450</c:v>
                </c:pt>
                <c:pt idx="9">
                  <c:v>230600</c:v>
                </c:pt>
              </c:numCache>
            </c:numRef>
          </c:val>
        </c:ser>
        <c:ser>
          <c:idx val="0"/>
          <c:order val="1"/>
          <c:tx>
            <c:v>Sueldo Basico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'Ejercicio sueldos'!$G$26:$G$35</c:f>
              <c:strCache>
                <c:ptCount val="10"/>
                <c:pt idx="0">
                  <c:v>Juan Gomez</c:v>
                </c:pt>
                <c:pt idx="1">
                  <c:v>Jose perez</c:v>
                </c:pt>
                <c:pt idx="2">
                  <c:v>Maria Lopez</c:v>
                </c:pt>
                <c:pt idx="3">
                  <c:v>Ana Gomez</c:v>
                </c:pt>
                <c:pt idx="4">
                  <c:v>Maria Martinez</c:v>
                </c:pt>
                <c:pt idx="5">
                  <c:v>Marcelo Jimenez</c:v>
                </c:pt>
                <c:pt idx="6">
                  <c:v>Juan rivas</c:v>
                </c:pt>
                <c:pt idx="7">
                  <c:v>Ricardo Arias</c:v>
                </c:pt>
                <c:pt idx="8">
                  <c:v>Lorena Martin</c:v>
                </c:pt>
                <c:pt idx="9">
                  <c:v>Juan Gonzalez</c:v>
                </c:pt>
              </c:strCache>
            </c:strRef>
          </c:cat>
          <c:val>
            <c:numRef>
              <c:f>'Ejercicio sueldos'!$H$26:$H$35</c:f>
              <c:numCache>
                <c:formatCode>_("$"* #,##0_);_("$"* \(#,##0\);_("$"* "-"_);_(@_)</c:formatCode>
                <c:ptCount val="10"/>
                <c:pt idx="0">
                  <c:v>600</c:v>
                </c:pt>
                <c:pt idx="1">
                  <c:v>510</c:v>
                </c:pt>
                <c:pt idx="2">
                  <c:v>450</c:v>
                </c:pt>
                <c:pt idx="3">
                  <c:v>420</c:v>
                </c:pt>
                <c:pt idx="4">
                  <c:v>430</c:v>
                </c:pt>
                <c:pt idx="5">
                  <c:v>510</c:v>
                </c:pt>
                <c:pt idx="6">
                  <c:v>600</c:v>
                </c:pt>
                <c:pt idx="7">
                  <c:v>430</c:v>
                </c:pt>
                <c:pt idx="8">
                  <c:v>450</c:v>
                </c:pt>
                <c:pt idx="9">
                  <c:v>600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7387896"/>
        <c:axId val="307388288"/>
        <c:axId val="0"/>
      </c:bar3DChart>
      <c:catAx>
        <c:axId val="307387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07388288"/>
        <c:crosses val="autoZero"/>
        <c:auto val="1"/>
        <c:lblAlgn val="ctr"/>
        <c:lblOffset val="100"/>
        <c:noMultiLvlLbl val="0"/>
      </c:catAx>
      <c:valAx>
        <c:axId val="30738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_(&quot;$&quot;\ * #,##0.00_);_(&quot;$&quot;\ * \(#,##0.00\);_(&quot;$&quot;\ 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07387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pieChart>
        <c:varyColors val="1"/>
        <c:ser>
          <c:idx val="0"/>
          <c:order val="0"/>
          <c:tx>
            <c:v>Liquidado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'Ejercicio sueldos'!$G$26:$G$35</c:f>
              <c:strCache>
                <c:ptCount val="10"/>
                <c:pt idx="0">
                  <c:v>Juan Gomez</c:v>
                </c:pt>
                <c:pt idx="1">
                  <c:v>Jose perez</c:v>
                </c:pt>
                <c:pt idx="2">
                  <c:v>Maria Lopez</c:v>
                </c:pt>
                <c:pt idx="3">
                  <c:v>Ana Gomez</c:v>
                </c:pt>
                <c:pt idx="4">
                  <c:v>Maria Martinez</c:v>
                </c:pt>
                <c:pt idx="5">
                  <c:v>Marcelo Jimenez</c:v>
                </c:pt>
                <c:pt idx="6">
                  <c:v>Juan rivas</c:v>
                </c:pt>
                <c:pt idx="7">
                  <c:v>Ricardo Arias</c:v>
                </c:pt>
                <c:pt idx="8">
                  <c:v>Lorena Martin</c:v>
                </c:pt>
                <c:pt idx="9">
                  <c:v>Juan Gonzalez</c:v>
                </c:pt>
              </c:strCache>
            </c:strRef>
          </c:cat>
          <c:val>
            <c:numRef>
              <c:f>'Ejercicio sueldos'!$P$26:$P$35</c:f>
              <c:numCache>
                <c:formatCode>_("$"\ * #,##0.00_);_("$"\ * \(#,##0.00\);_("$"\ * "-"??_);_(@_)</c:formatCode>
                <c:ptCount val="10"/>
                <c:pt idx="0">
                  <c:v>17766</c:v>
                </c:pt>
                <c:pt idx="1">
                  <c:v>26388.6</c:v>
                </c:pt>
                <c:pt idx="2">
                  <c:v>34837</c:v>
                </c:pt>
                <c:pt idx="3">
                  <c:v>43411.199999999997</c:v>
                </c:pt>
                <c:pt idx="4">
                  <c:v>52019.8</c:v>
                </c:pt>
                <c:pt idx="5">
                  <c:v>52188.6</c:v>
                </c:pt>
                <c:pt idx="6">
                  <c:v>69366</c:v>
                </c:pt>
                <c:pt idx="7">
                  <c:v>77819.8</c:v>
                </c:pt>
                <c:pt idx="8">
                  <c:v>146637</c:v>
                </c:pt>
                <c:pt idx="9">
                  <c:v>198366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v>TOTAL PAGADO</c:v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DEPARTAMENTOS!$C$5:$C$16</c15:sqref>
                  </c15:fullRef>
                </c:ext>
              </c:extLst>
              <c:f>DEPARTAMENTOS!$C$5:$C$7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DEPARTAMENTOS!$M$5:$M$16</c15:sqref>
                  </c15:fullRef>
                </c:ext>
              </c:extLst>
              <c:f>DEPARTAMENTOS!$M$5:$M$7</c:f>
              <c:numCache>
                <c:formatCode>_("$"\ * #,##0.00_);_("$"\ * \(#,##0.00\);_("$"\ * "-"??_);_(@_)</c:formatCode>
                <c:ptCount val="3"/>
                <c:pt idx="0">
                  <c:v>249.33333333333331</c:v>
                </c:pt>
                <c:pt idx="1">
                  <c:v>307.5</c:v>
                </c:pt>
                <c:pt idx="2">
                  <c:v>387.66666666666663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27"/>
  <sheetViews>
    <sheetView zoomScale="73" workbookViewId="0" zoomToFit="1"/>
  </sheetViews>
  <sheetProtection algorithmName="SHA-512" hashValue="BN5DvlwhUqHqlX5IEQoqtziw3Bezt0WFM0NkWVJJe5941Z04KiFbbd5685FWEozmMVtIbvVlEHWng/7LZmTZ7Q==" saltValue="rxbLAdN47PiVdlcIBmqV0Q==" spinCount="100000" content="1" objects="1"/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30"/>
  <sheetViews>
    <sheetView zoomScale="73" workbookViewId="0" zoomToFit="1"/>
  </sheetViews>
  <sheetProtection algorithmName="SHA-512" hashValue="mgFe57kVDTuXxmxJyi/zLgPsSx0QmngChOpygzUimU+RnsfJk+mF8Vrkr9ufrlJdE7anZ+vHIAxQKHM1aYbh2Q==" saltValue="5TRNd1txxDeub4PS+SHxEQ==" spinCount="100000" content="1" objects="1"/>
  <pageMargins left="0.7" right="0.7" top="0.75" bottom="0.75" header="0.3" footer="0.3"/>
  <drawing r:id="rId1"/>
</chartsheet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561975</xdr:colOff>
      <xdr:row>19</xdr:row>
      <xdr:rowOff>376235</xdr:rowOff>
    </xdr:from>
    <xdr:ext cx="154786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2684689" y="5710235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4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𝜮</m:t>
                    </m:r>
                  </m:oMath>
                </m:oMathPara>
              </a14:m>
              <a:endParaRPr lang="es-CO" sz="1400" b="1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684689" y="5710235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𝜮</a:t>
              </a:r>
              <a:endParaRPr lang="es-CO" sz="14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561975</xdr:colOff>
      <xdr:row>19</xdr:row>
      <xdr:rowOff>366712</xdr:rowOff>
    </xdr:from>
    <xdr:ext cx="154786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/>
            <xdr:cNvSpPr txBox="1"/>
          </xdr:nvSpPr>
          <xdr:spPr>
            <a:xfrm>
              <a:off x="2581275" y="5700712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4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𝜮</m:t>
                    </m:r>
                  </m:oMath>
                </m:oMathPara>
              </a14:m>
              <a:endParaRPr lang="es-CO" sz="1400" b="1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2581275" y="5700712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l-GR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𝜮</a:t>
              </a:r>
              <a:endParaRPr lang="es-CO" sz="1400" b="1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561975</xdr:colOff>
      <xdr:row>19</xdr:row>
      <xdr:rowOff>366712</xdr:rowOff>
    </xdr:from>
    <xdr:ext cx="154786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/>
            <xdr:cNvSpPr txBox="1"/>
          </xdr:nvSpPr>
          <xdr:spPr>
            <a:xfrm>
              <a:off x="2419350" y="5700712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4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𝜮</m:t>
                    </m:r>
                  </m:oMath>
                </m:oMathPara>
              </a14:m>
              <a:endParaRPr lang="es-CO" sz="1400" b="1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2419350" y="5700712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𝜮</a:t>
              </a:r>
              <a:endParaRPr lang="es-CO" sz="1400" b="1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561975</xdr:colOff>
      <xdr:row>19</xdr:row>
      <xdr:rowOff>366712</xdr:rowOff>
    </xdr:from>
    <xdr:ext cx="154786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2647950" y="5700712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4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𝜮</m:t>
                    </m:r>
                  </m:oMath>
                </m:oMathPara>
              </a14:m>
              <a:endParaRPr lang="es-CO" sz="1400" b="1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647950" y="5700712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𝜮</a:t>
              </a:r>
              <a:endParaRPr lang="es-CO" sz="1400" b="1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561975</xdr:colOff>
      <xdr:row>19</xdr:row>
      <xdr:rowOff>366712</xdr:rowOff>
    </xdr:from>
    <xdr:ext cx="154786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/>
            <xdr:cNvSpPr txBox="1"/>
          </xdr:nvSpPr>
          <xdr:spPr>
            <a:xfrm>
              <a:off x="2085975" y="5700712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4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𝜮</m:t>
                    </m:r>
                  </m:oMath>
                </m:oMathPara>
              </a14:m>
              <a:endParaRPr lang="es-CO" sz="1400" b="1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085975" y="5700712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𝜮</a:t>
              </a:r>
              <a:endParaRPr lang="es-CO" sz="1400" b="1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561975</xdr:colOff>
      <xdr:row>19</xdr:row>
      <xdr:rowOff>366712</xdr:rowOff>
    </xdr:from>
    <xdr:ext cx="154786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/>
            <xdr:cNvSpPr txBox="1"/>
          </xdr:nvSpPr>
          <xdr:spPr>
            <a:xfrm>
              <a:off x="2647950" y="5700712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4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𝜮</m:t>
                    </m:r>
                  </m:oMath>
                </m:oMathPara>
              </a14:m>
              <a:endParaRPr lang="es-CO" sz="1400" b="1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2647950" y="5700712"/>
              <a:ext cx="15478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l-GR" sz="1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𝜮</a:t>
              </a:r>
              <a:endParaRPr lang="es-CO" sz="1400" b="1"/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28</xdr:row>
      <xdr:rowOff>52386</xdr:rowOff>
    </xdr:from>
    <xdr:to>
      <xdr:col>7</xdr:col>
      <xdr:colOff>800100</xdr:colOff>
      <xdr:row>46</xdr:row>
      <xdr:rowOff>66675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198708</xdr:colOff>
      <xdr:row>2</xdr:row>
      <xdr:rowOff>1865</xdr:rowOff>
    </xdr:from>
    <xdr:to>
      <xdr:col>12</xdr:col>
      <xdr:colOff>9525</xdr:colOff>
      <xdr:row>2</xdr:row>
      <xdr:rowOff>95250</xdr:rowOff>
    </xdr:to>
    <xdr:grpSp>
      <xdr:nvGrpSpPr>
        <xdr:cNvPr id="2" name="Borde del título" descr="Borde del título"/>
        <xdr:cNvGrpSpPr/>
      </xdr:nvGrpSpPr>
      <xdr:grpSpPr>
        <a:xfrm>
          <a:off x="310767" y="1133659"/>
          <a:ext cx="13762140" cy="93385"/>
          <a:chOff x="313008" y="630515"/>
          <a:chExt cx="11155680" cy="93385"/>
        </a:xfrm>
        <a:solidFill>
          <a:schemeClr val="tx2">
            <a:lumMod val="60000"/>
            <a:lumOff val="40000"/>
          </a:schemeClr>
        </a:solidFill>
      </xdr:grpSpPr>
      <xdr:sp macro="" textlink="">
        <xdr:nvSpPr>
          <xdr:cNvPr id="3" name="Forma del borde del título"/>
          <xdr:cNvSpPr/>
        </xdr:nvSpPr>
        <xdr:spPr>
          <a:xfrm>
            <a:off x="313008" y="630517"/>
            <a:ext cx="11155680" cy="8916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  <xdr:sp macro="" textlink="">
        <xdr:nvSpPr>
          <xdr:cNvPr id="4" name="Forma del borde del título"/>
          <xdr:cNvSpPr/>
        </xdr:nvSpPr>
        <xdr:spPr>
          <a:xfrm>
            <a:off x="313008" y="630515"/>
            <a:ext cx="121469" cy="93385"/>
          </a:xfrm>
          <a:prstGeom prst="rtTriangl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US" sz="11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47625</xdr:colOff>
      <xdr:row>0</xdr:row>
      <xdr:rowOff>311928</xdr:rowOff>
    </xdr:from>
    <xdr:to>
      <xdr:col>20</xdr:col>
      <xdr:colOff>1181100</xdr:colOff>
      <xdr:row>3</xdr:row>
      <xdr:rowOff>0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9" t="13148" r="20308" b="11952"/>
        <a:stretch/>
      </xdr:blipFill>
      <xdr:spPr>
        <a:xfrm>
          <a:off x="24031575" y="311928"/>
          <a:ext cx="2438400" cy="147877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557892</xdr:colOff>
      <xdr:row>2</xdr:row>
      <xdr:rowOff>192313</xdr:rowOff>
    </xdr:from>
    <xdr:to>
      <xdr:col>18</xdr:col>
      <xdr:colOff>453117</xdr:colOff>
      <xdr:row>42</xdr:row>
      <xdr:rowOff>136070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762827</xdr:colOff>
      <xdr:row>1</xdr:row>
      <xdr:rowOff>57150</xdr:rowOff>
    </xdr:from>
    <xdr:to>
      <xdr:col>8</xdr:col>
      <xdr:colOff>19051</xdr:colOff>
      <xdr:row>6</xdr:row>
      <xdr:rowOff>200026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10" b="8329"/>
        <a:stretch/>
      </xdr:blipFill>
      <xdr:spPr>
        <a:xfrm>
          <a:off x="4115627" y="266700"/>
          <a:ext cx="2609024" cy="119062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544286</xdr:colOff>
      <xdr:row>0</xdr:row>
      <xdr:rowOff>122464</xdr:rowOff>
    </xdr:from>
    <xdr:to>
      <xdr:col>10</xdr:col>
      <xdr:colOff>1211036</xdr:colOff>
      <xdr:row>9</xdr:row>
      <xdr:rowOff>129754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10" b="8329"/>
        <a:stretch/>
      </xdr:blipFill>
      <xdr:spPr>
        <a:xfrm>
          <a:off x="5606143" y="122464"/>
          <a:ext cx="4041322" cy="184425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672400</xdr:colOff>
      <xdr:row>0</xdr:row>
      <xdr:rowOff>72648</xdr:rowOff>
    </xdr:from>
    <xdr:to>
      <xdr:col>13</xdr:col>
      <xdr:colOff>710340</xdr:colOff>
      <xdr:row>17</xdr:row>
      <xdr:rowOff>121080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URSO%20DE%20EXCEL%20COMPLETO\TABLA%20COMPLETA%20GENERAL.2.0-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ghtBringer/Downloads/PLANTILLAS/Plantilla-de-Excel-para-vent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SUMAS"/>
      <sheetName val="RESTAS"/>
      <sheetName val="MULTIPLICACION"/>
      <sheetName val="POTENCIAS"/>
      <sheetName val="DIVISION"/>
      <sheetName val="PROMEDIO"/>
      <sheetName val="EJERCICIO"/>
      <sheetName val="BECAS"/>
      <sheetName val="ESQUEMA GENERAL"/>
      <sheetName val="PRODUCTO"/>
      <sheetName val="SUELDOS"/>
      <sheetName val="TABLA DINAMICA SUELDOS"/>
      <sheetName val="INVENTARIO PRODUCTOS"/>
      <sheetName val="CONFIG INV"/>
      <sheetName val="HORAS TRABAJADAS"/>
      <sheetName val="Datos"/>
      <sheetName val="Listado"/>
      <sheetName val="AUDITORIA TESORERIA "/>
      <sheetName val="NOMINA"/>
      <sheetName val="FACTURAS"/>
      <sheetName val="BASEDATA"/>
      <sheetName val="INVENTARIO UTILES"/>
      <sheetName val="PAQUE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2">
          <cell r="A2" t="str">
            <v>Código1</v>
          </cell>
        </row>
        <row r="3">
          <cell r="A3" t="str">
            <v>Código2</v>
          </cell>
        </row>
        <row r="4">
          <cell r="A4" t="str">
            <v>Código3</v>
          </cell>
        </row>
        <row r="5">
          <cell r="A5" t="str">
            <v>Código4</v>
          </cell>
        </row>
        <row r="6">
          <cell r="A6" t="str">
            <v>Código5</v>
          </cell>
        </row>
        <row r="7">
          <cell r="A7" t="str">
            <v>Código6</v>
          </cell>
        </row>
        <row r="8">
          <cell r="A8" t="str">
            <v>Código7</v>
          </cell>
        </row>
        <row r="9">
          <cell r="A9" t="str">
            <v>Código8</v>
          </cell>
        </row>
        <row r="10">
          <cell r="A10" t="str">
            <v>Código9</v>
          </cell>
        </row>
        <row r="11">
          <cell r="A11" t="str">
            <v>Código10</v>
          </cell>
        </row>
        <row r="12">
          <cell r="A12" t="str">
            <v>Código11</v>
          </cell>
        </row>
        <row r="13">
          <cell r="A13" t="str">
            <v>Código12</v>
          </cell>
        </row>
        <row r="14">
          <cell r="A14" t="str">
            <v>Código13</v>
          </cell>
        </row>
        <row r="15">
          <cell r="A15" t="str">
            <v>Código14</v>
          </cell>
        </row>
        <row r="16">
          <cell r="A16" t="str">
            <v>Código15</v>
          </cell>
        </row>
        <row r="17">
          <cell r="A17" t="str">
            <v>Código16</v>
          </cell>
        </row>
        <row r="18">
          <cell r="A18" t="str">
            <v>Código17</v>
          </cell>
        </row>
        <row r="19">
          <cell r="A19" t="str">
            <v>Código18</v>
          </cell>
        </row>
        <row r="20">
          <cell r="A20" t="str">
            <v>Código19</v>
          </cell>
        </row>
        <row r="21">
          <cell r="A21" t="str">
            <v>Código20</v>
          </cell>
        </row>
      </sheetData>
      <sheetData sheetId="15">
        <row r="2">
          <cell r="T2">
            <v>4.1666666666666664E-2</v>
          </cell>
          <cell r="U2">
            <v>4.1666666666666699E-2</v>
          </cell>
        </row>
        <row r="3">
          <cell r="T3">
            <v>8.3333333333333301E-2</v>
          </cell>
          <cell r="U3">
            <v>8.3333333333333301E-2</v>
          </cell>
        </row>
        <row r="4">
          <cell r="T4">
            <v>0.125</v>
          </cell>
          <cell r="U4">
            <v>0.125</v>
          </cell>
        </row>
        <row r="5">
          <cell r="T5">
            <v>0.16666666666666699</v>
          </cell>
          <cell r="U5">
            <v>0.16666666666666666</v>
          </cell>
        </row>
        <row r="6">
          <cell r="T6">
            <v>0.20833333333333301</v>
          </cell>
          <cell r="U6">
            <v>0.20833333333333301</v>
          </cell>
        </row>
        <row r="7">
          <cell r="T7">
            <v>0.24930555555555556</v>
          </cell>
          <cell r="U7">
            <v>0.24930555555555556</v>
          </cell>
        </row>
        <row r="8">
          <cell r="T8">
            <v>0.25</v>
          </cell>
          <cell r="U8">
            <v>0.25</v>
          </cell>
        </row>
        <row r="25">
          <cell r="T25">
            <v>0.91666666666666696</v>
          </cell>
          <cell r="U25">
            <v>0.91666666666666696</v>
          </cell>
        </row>
        <row r="26">
          <cell r="T26">
            <v>0.95833333333333304</v>
          </cell>
          <cell r="U26">
            <v>0.95833333333333304</v>
          </cell>
        </row>
        <row r="27">
          <cell r="T27">
            <v>0</v>
          </cell>
          <cell r="U27">
            <v>0</v>
          </cell>
        </row>
      </sheetData>
      <sheetData sheetId="16" refreshError="1"/>
      <sheetData sheetId="17">
        <row r="1">
          <cell r="A1" t="str">
            <v>Nombre /Referencia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s-salidas"/>
      <sheetName val="Listado articulos"/>
    </sheet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ENA CSET" refreshedDate="43448.486527546294" createdVersion="5" refreshedVersion="5" minRefreshableVersion="3" recordCount="11">
  <cacheSource type="worksheet">
    <worksheetSource ref="B2:U13" sheet="SUELDOS"/>
  </cacheSource>
  <cacheFields count="19">
    <cacheField name="COD" numFmtId="0">
      <sharedItems containsSemiMixedTypes="0" containsString="0" containsNumber="1" containsInteger="1" minValue="16159961" maxValue="16159963" count="3">
        <n v="16159963"/>
        <n v="16159962"/>
        <n v="16159961"/>
      </sharedItems>
    </cacheField>
    <cacheField name="NOMBRE" numFmtId="0">
      <sharedItems count="11">
        <s v="LIONEL"/>
        <s v="DAVID"/>
        <s v="IPPO"/>
        <s v="FAURIT"/>
        <s v="BETTI"/>
        <s v="SEBASTIAN"/>
        <s v="AMARANTO"/>
        <s v="FRANCISCO"/>
        <s v="ARTURO"/>
        <s v="URIBE"/>
        <s v="JAROL"/>
      </sharedItems>
    </cacheField>
    <cacheField name="DOCUMENTO" numFmtId="0">
      <sharedItems containsSemiMixedTypes="0" containsString="0" containsNumber="1" containsInteger="1" minValue="1237462775" maxValue="1324063080" count="11">
        <n v="1321648522"/>
        <n v="1323384207"/>
        <n v="1237462775"/>
        <n v="1285748000"/>
        <n v="1247550875"/>
        <n v="1311966071"/>
        <n v="1317424267"/>
        <n v="1315211554"/>
        <n v="1241318672"/>
        <n v="1324063080"/>
        <n v="1259425899"/>
      </sharedItems>
    </cacheField>
    <cacheField name="DEPARTAMENTO" numFmtId="0">
      <sharedItems count="7">
        <s v="VENTAS"/>
        <s v="MKT"/>
        <s v="TESORERIA"/>
        <s v="SERVICIO AL CLIENTE"/>
        <s v="MANTENIMIENTO"/>
        <s v="ADMINISTRATIVO"/>
        <s v="SISTEMAS"/>
      </sharedItems>
    </cacheField>
    <cacheField name="PERIODO" numFmtId="0">
      <sharedItems count="1">
        <s v="VIGENTE"/>
      </sharedItems>
    </cacheField>
    <cacheField name="INICIO" numFmtId="14">
      <sharedItems containsSemiMixedTypes="0" containsNonDate="0" containsDate="1" containsString="0" minDate="2018-01-01T00:00:00" maxDate="2018-01-02T00:00:00"/>
    </cacheField>
    <cacheField name="FINAL" numFmtId="14">
      <sharedItems containsSemiMixedTypes="0" containsNonDate="0" containsDate="1" containsString="0" minDate="2019-03-25T00:00:00" maxDate="2019-03-26T00:00:00"/>
    </cacheField>
    <cacheField name="SUELDO" numFmtId="164">
      <sharedItems containsSemiMixedTypes="0" containsString="0" containsNumber="1" minValue="30637.81" maxValue="180893.46"/>
    </cacheField>
    <cacheField name="CESANTIAS" numFmtId="164">
      <sharedItems containsSemiMixedTypes="0" containsString="0" containsNumber="1" minValue="2451.0248000000001" maxValue="14471.4768"/>
    </cacheField>
    <cacheField name="SALUD" numFmtId="164">
      <sharedItems containsSemiMixedTypes="0" containsString="0" containsNumber="1" minValue="1225.5124000000001" maxValue="7235.7384000000002"/>
    </cacheField>
    <cacheField name="PENSION" numFmtId="164">
      <sharedItems containsSemiMixedTypes="0" containsString="0" containsNumber="1" minValue="0" maxValue="13787.014799999999"/>
    </cacheField>
    <cacheField name="AUX TRANSP" numFmtId="164">
      <sharedItems containsMixedTypes="1" containsNumber="1" minValue="2572.5" maxValue="4777.5" count="4">
        <s v="NO APTO"/>
        <n v="4777.5"/>
        <n v="2695"/>
        <n v="2572.5"/>
      </sharedItems>
    </cacheField>
    <cacheField name="BONOS/TOTAL_x000a_(incluye primas y cesantias)" numFmtId="0">
      <sharedItems containsNonDate="0" containsString="0" containsBlank="1" count="1">
        <m/>
      </sharedItems>
    </cacheField>
    <cacheField name="MINUTOS EXTRAS/TOTAL" numFmtId="42">
      <sharedItems containsSemiMixedTypes="0" containsString="0" containsNumber="1" minValue="0" maxValue="36667.59375"/>
    </cacheField>
    <cacheField name="MINUTOS NORMALES LABORADOS_x000a_" numFmtId="42">
      <sharedItems containsSemiMixedTypes="0" containsString="0" containsNumber="1" minValue="30637.811666666668" maxValue="156448.4"/>
    </cacheField>
    <cacheField name="DIAS _x000a_/ENFERMO/_x000a_/AUSENTE/" numFmtId="1">
      <sharedItems containsString="0" containsBlank="1" containsNumber="1" containsInteger="1" minValue="480" maxValue="480" count="2">
        <n v="480"/>
        <m/>
      </sharedItems>
    </cacheField>
    <cacheField name="SALUD EMPLEADOR" numFmtId="164">
      <sharedItems containsSemiMixedTypes="0" containsString="0" containsNumber="1" minValue="2604.2138500000001" maxValue="15375.944100000001"/>
    </cacheField>
    <cacheField name="PENSION EMPLEADOR" numFmtId="164">
      <sharedItems containsSemiMixedTypes="0" containsString="0" containsNumber="1" minValue="3676.5372000000002" maxValue="21707.215199999999"/>
    </cacheField>
    <cacheField name="TOTAL" numFmtId="164">
      <sharedItems containsSemiMixedTypes="0" containsString="0" containsNumber="1" minValue="73927.909916666671" maxValue="420577.297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x v="0"/>
    <x v="0"/>
    <x v="0"/>
    <x v="0"/>
    <x v="0"/>
    <d v="2018-01-01T00:00:00"/>
    <d v="2019-03-25T00:00:00"/>
    <n v="114891.79"/>
    <n v="9191.3431999999993"/>
    <n v="4595.6715999999997"/>
    <n v="13787.014799999999"/>
    <x v="0"/>
    <x v="0"/>
    <n v="36667.59375"/>
    <n v="78224.2"/>
    <x v="0"/>
    <n v="9765.8021499999995"/>
    <n v="13787.014799999999"/>
    <n v="280910.43030000001"/>
  </r>
  <r>
    <x v="1"/>
    <x v="1"/>
    <x v="1"/>
    <x v="1"/>
    <x v="0"/>
    <d v="2018-01-01T00:00:00"/>
    <d v="2019-03-25T00:00:00"/>
    <n v="105928.6"/>
    <n v="8474.2880000000005"/>
    <n v="4237.1440000000002"/>
    <n v="10592.86"/>
    <x v="1"/>
    <x v="0"/>
    <n v="8148.354166666667"/>
    <n v="97780.25"/>
    <x v="1"/>
    <n v="9003.9310000000005"/>
    <n v="12711.432000000001"/>
    <n v="261654.35916666666"/>
  </r>
  <r>
    <x v="1"/>
    <x v="2"/>
    <x v="2"/>
    <x v="2"/>
    <x v="0"/>
    <d v="2018-01-01T00:00:00"/>
    <d v="2019-03-25T00:00:00"/>
    <n v="60297.82"/>
    <n v="4823.8256000000001"/>
    <n v="2411.9128000000001"/>
    <n v="6029.7820000000002"/>
    <x v="2"/>
    <x v="0"/>
    <n v="8148.354166666667"/>
    <n v="52149.466666666667"/>
    <x v="1"/>
    <n v="5125.3146999999999"/>
    <n v="7235.7383999999993"/>
    <n v="148917.21433333337"/>
  </r>
  <r>
    <x v="2"/>
    <x v="3"/>
    <x v="3"/>
    <x v="3"/>
    <x v="0"/>
    <d v="2018-01-01T00:00:00"/>
    <d v="2019-03-25T00:00:00"/>
    <n v="30637.81"/>
    <n v="2451.0248000000001"/>
    <n v="1225.5124000000001"/>
    <n v="3063.7810000000004"/>
    <x v="2"/>
    <x v="0"/>
    <n v="0"/>
    <n v="30637.811666666668"/>
    <x v="1"/>
    <n v="2604.2138500000001"/>
    <n v="3676.5372000000002"/>
    <n v="76991.690916666674"/>
  </r>
  <r>
    <x v="0"/>
    <x v="4"/>
    <x v="4"/>
    <x v="4"/>
    <x v="0"/>
    <d v="2018-01-01T00:00:00"/>
    <d v="2019-03-25T00:00:00"/>
    <n v="180893.46"/>
    <n v="14471.4768"/>
    <n v="7235.7384000000002"/>
    <n v="0"/>
    <x v="0"/>
    <x v="0"/>
    <n v="24445.0625"/>
    <n v="156448.4"/>
    <x v="1"/>
    <n v="15375.944100000001"/>
    <n v="21707.215199999999"/>
    <n v="420577.29700000002"/>
  </r>
  <r>
    <x v="0"/>
    <x v="5"/>
    <x v="5"/>
    <x v="2"/>
    <x v="0"/>
    <d v="2018-01-01T00:00:00"/>
    <d v="2019-03-25T00:00:00"/>
    <n v="90446.73"/>
    <n v="7235.7384000000002"/>
    <n v="3617.8692000000001"/>
    <n v="0"/>
    <x v="0"/>
    <x v="0"/>
    <n v="12222.53125"/>
    <n v="78224.2"/>
    <x v="1"/>
    <n v="7687.9720500000003"/>
    <n v="10853.607599999999"/>
    <n v="210288.64850000001"/>
  </r>
  <r>
    <x v="0"/>
    <x v="6"/>
    <x v="6"/>
    <x v="5"/>
    <x v="0"/>
    <d v="2018-01-01T00:00:00"/>
    <d v="2019-03-25T00:00:00"/>
    <n v="156448.4"/>
    <n v="12515.871999999999"/>
    <n v="6257.9359999999997"/>
    <n v="0"/>
    <x v="0"/>
    <x v="0"/>
    <n v="19556.05"/>
    <n v="136892.34999999998"/>
    <x v="1"/>
    <n v="13298.114"/>
    <n v="18773.807999999997"/>
    <n v="363742.52999999991"/>
  </r>
  <r>
    <x v="0"/>
    <x v="7"/>
    <x v="7"/>
    <x v="0"/>
    <x v="0"/>
    <d v="2018-01-01T00:00:00"/>
    <d v="2019-03-25T00:00:00"/>
    <n v="95335.74"/>
    <n v="7626.8592000000008"/>
    <n v="3813.4296000000004"/>
    <n v="0"/>
    <x v="0"/>
    <x v="0"/>
    <n v="17111.543749999997"/>
    <n v="78224.2"/>
    <x v="1"/>
    <n v="8103.5379000000012"/>
    <n v="11440.2888"/>
    <n v="221655.59925000003"/>
  </r>
  <r>
    <x v="1"/>
    <x v="8"/>
    <x v="8"/>
    <x v="1"/>
    <x v="0"/>
    <d v="2018-01-01T00:00:00"/>
    <d v="2019-03-25T00:00:00"/>
    <n v="65838.7"/>
    <n v="5267.0959999999995"/>
    <n v="2633.5479999999998"/>
    <n v="0"/>
    <x v="3"/>
    <x v="0"/>
    <n v="11407.695833333335"/>
    <n v="54431.005833333329"/>
    <x v="1"/>
    <n v="5596.2894999999999"/>
    <n v="7900.6439999999993"/>
    <n v="155647.47916666666"/>
  </r>
  <r>
    <x v="1"/>
    <x v="9"/>
    <x v="9"/>
    <x v="6"/>
    <x v="0"/>
    <d v="2018-01-01T00:00:00"/>
    <d v="2019-03-25T00:00:00"/>
    <n v="68120.240000000005"/>
    <n v="5449.6192000000001"/>
    <n v="2724.8096"/>
    <n v="0"/>
    <x v="3"/>
    <x v="0"/>
    <n v="11407.695833333335"/>
    <n v="56712.544999999998"/>
    <x v="1"/>
    <n v="5790.2204000000011"/>
    <n v="8174.4288000000006"/>
    <n v="160952.05883333331"/>
  </r>
  <r>
    <x v="2"/>
    <x v="10"/>
    <x v="10"/>
    <x v="3"/>
    <x v="0"/>
    <d v="2018-01-01T00:00:00"/>
    <d v="2019-03-25T00:00:00"/>
    <n v="30637.81"/>
    <n v="2451.0248000000001"/>
    <n v="1225.5124000000001"/>
    <n v="0"/>
    <x v="2"/>
    <x v="0"/>
    <n v="0"/>
    <n v="30637.811666666668"/>
    <x v="1"/>
    <n v="2604.2138500000001"/>
    <n v="3676.5372000000002"/>
    <n v="73927.9099166666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6">
  <location ref="A160:E190" firstHeaderRow="0" firstDataRow="1" firstDataCol="1" rowPageCount="2" colPageCount="1"/>
  <pivotFields count="19">
    <pivotField axis="axisPage" multipleItemSelectionAllowed="1" showAll="0">
      <items count="4">
        <item x="2"/>
        <item x="1"/>
        <item x="0"/>
        <item t="default"/>
      </items>
    </pivotField>
    <pivotField axis="axisRow" showAll="0">
      <items count="12">
        <item x="6"/>
        <item x="8"/>
        <item x="4"/>
        <item x="1"/>
        <item x="3"/>
        <item x="7"/>
        <item x="2"/>
        <item x="10"/>
        <item x="0"/>
        <item x="5"/>
        <item x="9"/>
        <item t="default"/>
      </items>
    </pivotField>
    <pivotField axis="axisRow" showAll="0">
      <items count="12">
        <item x="2"/>
        <item x="8"/>
        <item x="4"/>
        <item x="10"/>
        <item x="3"/>
        <item x="5"/>
        <item x="7"/>
        <item x="6"/>
        <item x="0"/>
        <item x="1"/>
        <item x="9"/>
        <item t="default"/>
      </items>
    </pivotField>
    <pivotField axis="axisRow" showAll="0">
      <items count="8">
        <item x="5"/>
        <item x="4"/>
        <item x="1"/>
        <item x="3"/>
        <item x="6"/>
        <item x="2"/>
        <item x="0"/>
        <item t="default"/>
      </items>
    </pivotField>
    <pivotField axis="axisPage" showAll="0">
      <items count="2">
        <item x="0"/>
        <item t="default"/>
      </items>
    </pivotField>
    <pivotField numFmtId="14" showAll="0"/>
    <pivotField numFmtId="14" showAll="0"/>
    <pivotField numFmtId="164" showAll="0"/>
    <pivotField numFmtId="164" showAll="0"/>
    <pivotField numFmtId="164" showAll="0"/>
    <pivotField numFmtId="164" showAll="0"/>
    <pivotField dataField="1" showAll="0">
      <items count="5">
        <item x="3"/>
        <item x="2"/>
        <item x="1"/>
        <item x="0"/>
        <item t="default"/>
      </items>
    </pivotField>
    <pivotField showAll="0">
      <items count="2">
        <item x="0"/>
        <item t="default"/>
      </items>
    </pivotField>
    <pivotField numFmtId="42" showAll="0"/>
    <pivotField numFmtId="42" showAll="0"/>
    <pivotField showAll="0">
      <items count="3">
        <item x="0"/>
        <item x="1"/>
        <item t="default"/>
      </items>
    </pivotField>
    <pivotField dataField="1" numFmtId="164" showAll="0"/>
    <pivotField dataField="1" numFmtId="164" showAll="0"/>
    <pivotField dataField="1" numFmtId="164" showAll="0"/>
  </pivotFields>
  <rowFields count="3">
    <field x="3"/>
    <field x="2"/>
    <field x="1"/>
  </rowFields>
  <rowItems count="30">
    <i>
      <x/>
    </i>
    <i r="1">
      <x v="7"/>
    </i>
    <i r="2">
      <x/>
    </i>
    <i>
      <x v="1"/>
    </i>
    <i r="1">
      <x v="2"/>
    </i>
    <i r="2">
      <x v="2"/>
    </i>
    <i>
      <x v="2"/>
    </i>
    <i r="1">
      <x v="1"/>
    </i>
    <i r="2">
      <x v="1"/>
    </i>
    <i r="1">
      <x v="9"/>
    </i>
    <i r="2">
      <x v="3"/>
    </i>
    <i>
      <x v="3"/>
    </i>
    <i r="1">
      <x v="3"/>
    </i>
    <i r="2">
      <x v="7"/>
    </i>
    <i r="1">
      <x v="4"/>
    </i>
    <i r="2">
      <x v="4"/>
    </i>
    <i>
      <x v="4"/>
    </i>
    <i r="1">
      <x v="10"/>
    </i>
    <i r="2">
      <x v="10"/>
    </i>
    <i>
      <x v="5"/>
    </i>
    <i r="1">
      <x/>
    </i>
    <i r="2">
      <x v="6"/>
    </i>
    <i r="1">
      <x v="5"/>
    </i>
    <i r="2">
      <x v="9"/>
    </i>
    <i>
      <x v="6"/>
    </i>
    <i r="1">
      <x v="6"/>
    </i>
    <i r="2">
      <x v="5"/>
    </i>
    <i r="1">
      <x v="8"/>
    </i>
    <i r="2"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0" hier="-1"/>
    <pageField fld="4" hier="-1"/>
  </pageFields>
  <dataFields count="4">
    <dataField name="Suma de TOTAL" fld="18" baseField="0" baseItem="0"/>
    <dataField name="Suma de PENSION EMPLEADOR" fld="17" baseField="0" baseItem="0"/>
    <dataField name="Suma de SALUD EMPLEADOR" fld="16" baseField="0" baseItem="0"/>
    <dataField name="Cuenta de AUX TRANSP" fld="11" subtotal="count" baseField="0" baseItem="0"/>
  </dataFields>
  <formats count="16"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3" type="button" dataOnly="0" labelOnly="1" outline="0" axis="axisRow" fieldPosition="0"/>
    </format>
    <format dxfId="20">
      <pivotArea dataOnly="0" labelOnly="1" fieldPosition="0">
        <references count="1">
          <reference field="3" count="0"/>
        </references>
      </pivotArea>
    </format>
    <format dxfId="19">
      <pivotArea dataOnly="0" labelOnly="1" grandRow="1" outline="0" fieldPosition="0"/>
    </format>
    <format dxfId="18">
      <pivotArea dataOnly="0" labelOnly="1" fieldPosition="0">
        <references count="2">
          <reference field="2" count="0"/>
          <reference field="3" count="1" selected="0">
            <x v="0"/>
          </reference>
        </references>
      </pivotArea>
    </format>
    <format dxfId="17">
      <pivotArea dataOnly="0" labelOnly="1" fieldPosition="0">
        <references count="3">
          <reference field="1" count="0"/>
          <reference field="2" count="1" selected="0">
            <x v="7"/>
          </reference>
          <reference field="3" count="1" selected="0">
            <x v="0"/>
          </reference>
        </references>
      </pivotArea>
    </format>
    <format dxfId="1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3" type="button" dataOnly="0" labelOnly="1" outline="0" axis="axisRow" fieldPosition="0"/>
    </format>
    <format dxfId="12">
      <pivotArea dataOnly="0" labelOnly="1" fieldPosition="0">
        <references count="1">
          <reference field="3" count="0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2">
          <reference field="2" count="0"/>
          <reference field="3" count="1" selected="0">
            <x v="0"/>
          </reference>
        </references>
      </pivotArea>
    </format>
    <format dxfId="9">
      <pivotArea dataOnly="0" labelOnly="1" fieldPosition="0">
        <references count="3">
          <reference field="1" count="0"/>
          <reference field="2" count="1" selected="0">
            <x v="7"/>
          </reference>
          <reference field="3" count="1" selected="0">
            <x v="0"/>
          </reference>
        </references>
      </pivotArea>
    </format>
    <format dxfId="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4">
    <chartFormat chart="4" format="5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5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58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istaDeInventario" displayName="ListaDeInventario" ref="B4:L29" totalsRowShown="0" headerRowDxfId="36" dataDxfId="35" dataCellStyle="Detalles de la tabla a la derecha">
  <autoFilter ref="B4:L29"/>
  <sortState ref="B4:L28">
    <sortCondition ref="F3:F28"/>
  </sortState>
  <tableColumns count="11">
    <tableColumn id="1" name="Artículos marcados que van a volver a pedirse" dataDxfId="34" dataCellStyle="Columna de marcas">
      <calculatedColumnFormula>IFERROR((ListaDeInventario[[#This Row],[Cantidad en existencias]]&lt;=ListaDeInventario[[#This Row],[Nivel del nuevo pedido]])*(ListaDeInventario[[#This Row],[EN STOCK]]="")*valResaltado,0)</calculatedColumnFormula>
    </tableColumn>
    <tableColumn id="2" name="Identificador de inventario" dataDxfId="33" dataCellStyle="Detalles de la tabla a la izquierda"/>
    <tableColumn id="3" name="Nombre" dataDxfId="32" dataCellStyle="Detalles de la tabla a la izquierda"/>
    <tableColumn id="4" name="Descripción" dataDxfId="31" dataCellStyle="Detalles de la tabla a la izquierda"/>
    <tableColumn id="5" name="PRECIO VALOR" dataDxfId="30" dataCellStyle="Moneda de la tabla"/>
    <tableColumn id="6" name="Cantidad en existencias" dataDxfId="29" dataCellStyle="Detalles de la tabla a la derecha"/>
    <tableColumn id="7" name="Valor de inventario" dataDxfId="28" dataCellStyle="Moneda de la tabla">
      <calculatedColumnFormula>ListaDeInventario[[#This Row],[PRECIO VALOR]]*ListaDeInventario[[#This Row],[Cantidad en existencias]]</calculatedColumnFormula>
    </tableColumn>
    <tableColumn id="8" name="Nivel del nuevo pedido" dataDxfId="27" dataCellStyle="Detalles de la tabla a la derecha"/>
    <tableColumn id="9" name="Tiempo del nuevo pedido en días" dataDxfId="26" dataCellStyle="Detalles de la tabla a la derecha"/>
    <tableColumn id="10" name="Cantidad del nuevo pedido" dataDxfId="25" dataCellStyle="Detalles de la tabla a la derecha"/>
    <tableColumn id="11" name="EN STOCK" dataDxfId="24" dataCellStyle="Suspendido"/>
  </tableColumns>
  <tableStyleInfo name="Lista de inventario" showFirstColumn="1" showLastColumn="0" showRowStripes="1" showColumnStripes="0"/>
</table>
</file>

<file path=xl/theme/theme1.xml><?xml version="1.0" encoding="utf-8"?>
<a:theme xmlns:a="http://schemas.openxmlformats.org/drawingml/2006/main" name="Espiral">
  <a:themeElements>
    <a:clrScheme name="Espiral">
      <a:dk1>
        <a:sysClr val="windowText" lastClr="000000"/>
      </a:dk1>
      <a:lt1>
        <a:sysClr val="window" lastClr="FFFFFF"/>
      </a:lt1>
      <a:dk2>
        <a:srgbClr val="766F54"/>
      </a:dk2>
      <a:lt2>
        <a:srgbClr val="E3EACF"/>
      </a:lt2>
      <a:accent1>
        <a:srgbClr val="A53010"/>
      </a:accent1>
      <a:accent2>
        <a:srgbClr val="DE7E18"/>
      </a:accent2>
      <a:accent3>
        <a:srgbClr val="9F8351"/>
      </a:accent3>
      <a:accent4>
        <a:srgbClr val="728653"/>
      </a:accent4>
      <a:accent5>
        <a:srgbClr val="92AA4C"/>
      </a:accent5>
      <a:accent6>
        <a:srgbClr val="6AAC91"/>
      </a:accent6>
      <a:hlink>
        <a:srgbClr val="FB4A18"/>
      </a:hlink>
      <a:folHlink>
        <a:srgbClr val="FB9318"/>
      </a:folHlink>
    </a:clrScheme>
    <a:fontScheme name="Espiral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Espiral">
      <a:fillStyleLst>
        <a:solidFill>
          <a:schemeClr val="phClr"/>
        </a:solidFill>
        <a:solidFill>
          <a:schemeClr val="phClr">
            <a:tint val="70000"/>
            <a:lumMod val="104000"/>
          </a:schemeClr>
        </a:soli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8000"/>
                <a:lumMod val="9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2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satMod val="92000"/>
                <a:lumMod val="120000"/>
              </a:schemeClr>
            </a:gs>
            <a:gs pos="100000">
              <a:schemeClr val="phClr">
                <a:shade val="98000"/>
                <a:satMod val="120000"/>
                <a:lumMod val="98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isp" id="{7CB32D59-10C0-40DD-B7BD-2E94284A981C}" vid="{24B1A44C-C006-48B2-A4D7-E5549B3D8CD4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J18"/>
  <sheetViews>
    <sheetView workbookViewId="0">
      <selection activeCell="E14" sqref="E14"/>
    </sheetView>
  </sheetViews>
  <sheetFormatPr baseColWidth="10" defaultRowHeight="16.5"/>
  <cols>
    <col min="2" max="2" width="28" customWidth="1"/>
    <col min="3" max="3" width="20.75" customWidth="1"/>
    <col min="5" max="5" width="21.25" customWidth="1"/>
  </cols>
  <sheetData>
    <row r="1" spans="2:10">
      <c r="C1" s="3"/>
      <c r="E1" s="5" t="s">
        <v>25</v>
      </c>
    </row>
    <row r="3" spans="2:10">
      <c r="B3" s="10" t="s">
        <v>26</v>
      </c>
      <c r="C3" s="667" t="s">
        <v>27</v>
      </c>
      <c r="D3" s="667"/>
      <c r="E3" s="667"/>
      <c r="F3" s="667"/>
      <c r="G3" s="667"/>
      <c r="H3" s="667"/>
      <c r="I3" s="667"/>
      <c r="J3" s="667"/>
    </row>
    <row r="4" spans="2:10">
      <c r="B4" s="4"/>
      <c r="C4" s="4"/>
      <c r="D4" s="4"/>
      <c r="E4" s="4"/>
      <c r="F4" s="4"/>
      <c r="G4" s="4"/>
      <c r="H4" s="4"/>
      <c r="I4" s="4"/>
      <c r="J4" s="4"/>
    </row>
    <row r="5" spans="2:10">
      <c r="B5" s="4"/>
      <c r="C5" s="4"/>
      <c r="D5" s="4"/>
      <c r="E5" s="4"/>
      <c r="F5" s="4"/>
      <c r="G5" s="4"/>
      <c r="H5" s="4"/>
      <c r="I5" s="4"/>
      <c r="J5" s="4"/>
    </row>
    <row r="6" spans="2:10">
      <c r="B6" s="4"/>
      <c r="C6" s="4"/>
      <c r="D6" s="6"/>
      <c r="E6" s="6" t="s">
        <v>28</v>
      </c>
      <c r="F6" s="4"/>
      <c r="G6" s="4"/>
      <c r="H6" s="4"/>
      <c r="I6" s="4"/>
      <c r="J6" s="4"/>
    </row>
    <row r="7" spans="2:10">
      <c r="B7" s="4"/>
      <c r="C7" s="4"/>
      <c r="D7" s="6" t="s">
        <v>20</v>
      </c>
      <c r="E7" s="7" t="s">
        <v>19</v>
      </c>
      <c r="F7" s="4"/>
      <c r="G7" s="4"/>
      <c r="H7" s="4"/>
      <c r="I7" s="4"/>
      <c r="J7" s="4"/>
    </row>
    <row r="8" spans="2:10">
      <c r="B8" s="4"/>
      <c r="C8" s="4"/>
      <c r="D8" s="6">
        <v>1</v>
      </c>
      <c r="E8" s="8" t="s">
        <v>21</v>
      </c>
      <c r="F8" s="4"/>
      <c r="G8" s="4"/>
      <c r="H8" s="4"/>
      <c r="I8" s="4"/>
      <c r="J8" s="4"/>
    </row>
    <row r="9" spans="2:10">
      <c r="B9" s="4"/>
      <c r="C9" s="4"/>
      <c r="D9" s="6">
        <v>2</v>
      </c>
      <c r="E9" s="9" t="s">
        <v>22</v>
      </c>
      <c r="F9" s="4"/>
      <c r="G9" s="4"/>
      <c r="H9" s="4"/>
      <c r="I9" s="4"/>
      <c r="J9" s="4"/>
    </row>
    <row r="10" spans="2:10" ht="13.5" customHeight="1">
      <c r="B10" s="4"/>
      <c r="C10" s="4"/>
      <c r="D10" s="6">
        <v>3</v>
      </c>
      <c r="E10" s="9" t="s">
        <v>23</v>
      </c>
      <c r="F10" s="4"/>
      <c r="G10" s="4"/>
      <c r="H10" s="4"/>
      <c r="I10" s="4"/>
      <c r="J10" s="4"/>
    </row>
    <row r="11" spans="2:10">
      <c r="B11" s="4"/>
      <c r="C11" s="4"/>
      <c r="D11" s="6">
        <v>4</v>
      </c>
      <c r="E11" s="9" t="s">
        <v>24</v>
      </c>
      <c r="F11" s="4"/>
      <c r="G11" s="4"/>
      <c r="H11" s="4"/>
      <c r="I11" s="4"/>
      <c r="J11" s="4"/>
    </row>
    <row r="12" spans="2:10">
      <c r="B12" s="4"/>
      <c r="C12" s="4"/>
      <c r="D12" s="6">
        <v>5</v>
      </c>
      <c r="E12" s="11" t="s">
        <v>29</v>
      </c>
      <c r="F12" s="4"/>
      <c r="G12" s="4"/>
      <c r="H12" s="4"/>
      <c r="I12" s="4"/>
      <c r="J12" s="4"/>
    </row>
    <row r="13" spans="2:10">
      <c r="B13" s="4"/>
      <c r="C13" s="4"/>
      <c r="D13" s="6">
        <v>6</v>
      </c>
      <c r="E13" s="8" t="s">
        <v>13</v>
      </c>
      <c r="F13" s="4"/>
      <c r="G13" s="4"/>
      <c r="H13" s="4"/>
      <c r="I13" s="4"/>
      <c r="J13" s="4"/>
    </row>
    <row r="14" spans="2:10">
      <c r="B14" s="4"/>
      <c r="C14" s="4"/>
      <c r="D14" s="6">
        <v>7</v>
      </c>
      <c r="E14" s="6"/>
      <c r="F14" s="4"/>
      <c r="G14" s="4"/>
      <c r="H14" s="4"/>
      <c r="I14" s="4"/>
      <c r="J14" s="4"/>
    </row>
    <row r="15" spans="2:10">
      <c r="B15" s="4"/>
      <c r="C15" s="4"/>
      <c r="D15" s="6">
        <v>8</v>
      </c>
      <c r="E15" s="6"/>
      <c r="F15" s="4"/>
      <c r="G15" s="4"/>
      <c r="H15" s="4"/>
      <c r="I15" s="4"/>
      <c r="J15" s="4"/>
    </row>
    <row r="16" spans="2:10">
      <c r="B16" s="4"/>
      <c r="C16" s="4"/>
      <c r="D16" s="6">
        <v>9</v>
      </c>
      <c r="E16" s="6"/>
      <c r="F16" s="4"/>
      <c r="G16" s="4"/>
      <c r="H16" s="4"/>
      <c r="I16" s="4"/>
      <c r="J16" s="4"/>
    </row>
    <row r="17" spans="2:10">
      <c r="B17" s="4"/>
      <c r="C17" s="4"/>
      <c r="D17" s="6">
        <v>10</v>
      </c>
      <c r="E17" s="6"/>
      <c r="F17" s="4"/>
      <c r="G17" s="4"/>
      <c r="H17" s="4"/>
      <c r="I17" s="4"/>
      <c r="J17" s="4"/>
    </row>
    <row r="18" spans="2:10">
      <c r="B18" s="4"/>
      <c r="C18" s="4"/>
      <c r="D18" s="4"/>
      <c r="E18" s="4"/>
      <c r="F18" s="4"/>
      <c r="G18" s="4"/>
      <c r="H18" s="4"/>
      <c r="I18" s="4"/>
      <c r="J18" s="4"/>
    </row>
  </sheetData>
  <mergeCells count="1">
    <mergeCell ref="C3:J3"/>
  </mergeCells>
  <hyperlinks>
    <hyperlink ref="E8" location="SUMAS!A1" display="SUMAS"/>
    <hyperlink ref="E9" location="RESTAS!A1" display="RESTAS"/>
    <hyperlink ref="E10" location="MULTIPLICACION!A1" display="MULTIPLICACION"/>
    <hyperlink ref="E11" location="POTENCIAS!A1" display="POTENCIAS"/>
    <hyperlink ref="E12" location="DIVISION!A1" display="DIVISION"/>
    <hyperlink ref="E13" location="PROMEDIO!A1" display="PROMEDIO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C00000"/>
  </sheetPr>
  <dimension ref="A1:U21"/>
  <sheetViews>
    <sheetView zoomScale="70" zoomScaleNormal="70" workbookViewId="0">
      <selection sqref="A1:B2"/>
    </sheetView>
  </sheetViews>
  <sheetFormatPr baseColWidth="10" defaultRowHeight="16.5"/>
  <cols>
    <col min="1" max="1" width="19.875" style="14" customWidth="1"/>
    <col min="2" max="2" width="11.75" style="14" customWidth="1"/>
    <col min="3" max="3" width="11" style="14" customWidth="1"/>
    <col min="4" max="6" width="11" style="14"/>
    <col min="7" max="7" width="11.75" style="14" customWidth="1"/>
    <col min="8" max="16384" width="11" style="14"/>
  </cols>
  <sheetData>
    <row r="1" spans="1:17">
      <c r="A1" s="669" t="s">
        <v>18</v>
      </c>
      <c r="B1" s="669"/>
    </row>
    <row r="2" spans="1:17">
      <c r="A2" s="670" t="s">
        <v>17</v>
      </c>
      <c r="B2" s="670"/>
    </row>
    <row r="10" spans="1:17" ht="15" customHeight="1">
      <c r="B10" s="79" t="s">
        <v>10</v>
      </c>
      <c r="C10" s="79" t="s">
        <v>10</v>
      </c>
      <c r="D10" s="79" t="s">
        <v>11</v>
      </c>
      <c r="F10" s="160" t="s">
        <v>13</v>
      </c>
      <c r="G10" s="160">
        <f ca="1">AVERAGE(B11:C20)</f>
        <v>91.3</v>
      </c>
      <c r="H10" s="668" t="s">
        <v>16</v>
      </c>
    </row>
    <row r="11" spans="1:17" ht="33">
      <c r="A11" s="161" t="s">
        <v>0</v>
      </c>
      <c r="B11" s="162">
        <f t="shared" ref="B11:C20" ca="1" si="0">RANDBETWEEN(0,200)</f>
        <v>104</v>
      </c>
      <c r="C11" s="162">
        <f t="shared" ref="C11:C17" ca="1" si="1">RANDBETWEEN(0,200)</f>
        <v>13</v>
      </c>
      <c r="D11" s="162">
        <f ca="1">SUM(B11,C11)</f>
        <v>117</v>
      </c>
      <c r="F11" s="160" t="s">
        <v>14</v>
      </c>
      <c r="G11" s="160" t="e">
        <f ca="1">_xlfn.MODE.MULT(B11:B20,C11:C20)</f>
        <v>#N/A</v>
      </c>
      <c r="H11" s="668"/>
      <c r="I11" s="161" t="s">
        <v>0</v>
      </c>
      <c r="J11" s="162">
        <f t="shared" ref="J11:T20" ca="1" si="2">RANDBETWEEN(0,200)</f>
        <v>52</v>
      </c>
      <c r="K11" s="162">
        <f ca="1">RANDBETWEEN(0,200)</f>
        <v>59</v>
      </c>
      <c r="L11" s="164">
        <f ca="1">SUM(J11,(K11))</f>
        <v>111</v>
      </c>
    </row>
    <row r="12" spans="1:17" ht="33">
      <c r="A12" s="153" t="s">
        <v>1</v>
      </c>
      <c r="B12" s="79">
        <f t="shared" ca="1" si="0"/>
        <v>71</v>
      </c>
      <c r="C12" s="79">
        <f t="shared" ca="1" si="1"/>
        <v>57</v>
      </c>
      <c r="D12" s="79">
        <f t="shared" ref="D12:D20" ca="1" si="3">SUM(B12,C12)</f>
        <v>128</v>
      </c>
      <c r="F12" s="160" t="s">
        <v>15</v>
      </c>
      <c r="G12" s="160">
        <f ca="1">GEOMEAN(B11:C20)</f>
        <v>58.222370115829612</v>
      </c>
      <c r="H12" s="668"/>
      <c r="I12" s="153" t="s">
        <v>1</v>
      </c>
      <c r="J12" s="79">
        <f t="shared" ca="1" si="2"/>
        <v>172</v>
      </c>
      <c r="K12" s="79">
        <f ca="1">RANDBETWEEN(0,200)</f>
        <v>196</v>
      </c>
      <c r="L12" s="79">
        <f ca="1">RANDBETWEEN(0,200)</f>
        <v>174</v>
      </c>
      <c r="M12" s="164">
        <f ca="1">SUM(J12,SUM(K12:L12))</f>
        <v>542</v>
      </c>
    </row>
    <row r="13" spans="1:17" ht="33">
      <c r="A13" s="153" t="s">
        <v>2</v>
      </c>
      <c r="B13" s="79">
        <f t="shared" ca="1" si="0"/>
        <v>74</v>
      </c>
      <c r="C13" s="79">
        <f t="shared" ca="1" si="1"/>
        <v>161</v>
      </c>
      <c r="D13" s="79">
        <f t="shared" ca="1" si="3"/>
        <v>235</v>
      </c>
      <c r="H13" s="668"/>
      <c r="I13" s="153" t="s">
        <v>2</v>
      </c>
      <c r="J13" s="79">
        <f t="shared" ca="1" si="2"/>
        <v>44</v>
      </c>
      <c r="K13" s="79">
        <f t="shared" ca="1" si="2"/>
        <v>26</v>
      </c>
      <c r="L13" s="79">
        <f t="shared" ca="1" si="2"/>
        <v>175</v>
      </c>
      <c r="M13" s="79">
        <f t="shared" ca="1" si="2"/>
        <v>96</v>
      </c>
      <c r="N13" s="164">
        <f ca="1">SUM(J13,SUM(K13:M13))</f>
        <v>341</v>
      </c>
    </row>
    <row r="14" spans="1:17" ht="33">
      <c r="A14" s="167" t="s">
        <v>3</v>
      </c>
      <c r="B14" s="168">
        <f t="shared" ca="1" si="0"/>
        <v>137</v>
      </c>
      <c r="C14" s="168">
        <f t="shared" ca="1" si="1"/>
        <v>68</v>
      </c>
      <c r="D14" s="168">
        <f t="shared" ca="1" si="3"/>
        <v>205</v>
      </c>
      <c r="H14" s="668"/>
      <c r="I14" s="170" t="s">
        <v>3</v>
      </c>
      <c r="J14" s="160">
        <f t="shared" ca="1" si="2"/>
        <v>33</v>
      </c>
      <c r="K14" s="160">
        <f t="shared" ca="1" si="2"/>
        <v>49</v>
      </c>
      <c r="L14" s="160">
        <f t="shared" ca="1" si="2"/>
        <v>106</v>
      </c>
      <c r="M14" s="160">
        <f t="shared" ca="1" si="2"/>
        <v>50</v>
      </c>
      <c r="N14" s="160">
        <f t="shared" ca="1" si="2"/>
        <v>83</v>
      </c>
      <c r="O14" s="164">
        <f ca="1">SUM(J14,SUM(K14:N14))</f>
        <v>321</v>
      </c>
    </row>
    <row r="15" spans="1:17" ht="33">
      <c r="A15" s="167" t="s">
        <v>4</v>
      </c>
      <c r="B15" s="168">
        <f t="shared" ca="1" si="0"/>
        <v>197</v>
      </c>
      <c r="C15" s="168">
        <f t="shared" ca="1" si="1"/>
        <v>124</v>
      </c>
      <c r="D15" s="168">
        <f t="shared" ca="1" si="3"/>
        <v>321</v>
      </c>
      <c r="H15" s="668"/>
      <c r="I15" s="170" t="s">
        <v>4</v>
      </c>
      <c r="J15" s="160">
        <f t="shared" ca="1" si="2"/>
        <v>85</v>
      </c>
      <c r="K15" s="160">
        <f t="shared" ca="1" si="2"/>
        <v>18</v>
      </c>
      <c r="L15" s="160">
        <f t="shared" ca="1" si="2"/>
        <v>200</v>
      </c>
      <c r="M15" s="160">
        <f t="shared" ca="1" si="2"/>
        <v>44</v>
      </c>
      <c r="N15" s="160">
        <f t="shared" ca="1" si="2"/>
        <v>196</v>
      </c>
      <c r="O15" s="160">
        <f t="shared" ca="1" si="2"/>
        <v>77</v>
      </c>
      <c r="P15" s="164">
        <f ca="1">SUM(K15,SUM(L15:O15))</f>
        <v>535</v>
      </c>
    </row>
    <row r="16" spans="1:17" ht="33">
      <c r="A16" s="153" t="s">
        <v>5</v>
      </c>
      <c r="B16" s="79">
        <f t="shared" ca="1" si="0"/>
        <v>125</v>
      </c>
      <c r="C16" s="79">
        <f t="shared" ca="1" si="1"/>
        <v>76</v>
      </c>
      <c r="D16" s="79">
        <f t="shared" ca="1" si="3"/>
        <v>201</v>
      </c>
      <c r="H16" s="668"/>
      <c r="I16" s="153" t="s">
        <v>5</v>
      </c>
      <c r="J16" s="79">
        <f t="shared" ca="1" si="2"/>
        <v>31</v>
      </c>
      <c r="K16" s="79">
        <f t="shared" ca="1" si="2"/>
        <v>14</v>
      </c>
      <c r="L16" s="79">
        <f t="shared" ca="1" si="2"/>
        <v>16</v>
      </c>
      <c r="M16" s="79">
        <f t="shared" ca="1" si="2"/>
        <v>18</v>
      </c>
      <c r="N16" s="79">
        <f t="shared" ca="1" si="2"/>
        <v>49</v>
      </c>
      <c r="O16" s="79">
        <f t="shared" ca="1" si="2"/>
        <v>83</v>
      </c>
      <c r="P16" s="79">
        <f t="shared" ca="1" si="2"/>
        <v>188</v>
      </c>
      <c r="Q16" s="164">
        <f ca="1">SUM(J16,SUM(K16:P16))</f>
        <v>399</v>
      </c>
    </row>
    <row r="17" spans="1:21" ht="33">
      <c r="A17" s="153" t="s">
        <v>6</v>
      </c>
      <c r="B17" s="79">
        <f t="shared" ca="1" si="0"/>
        <v>23</v>
      </c>
      <c r="C17" s="79">
        <f t="shared" ca="1" si="1"/>
        <v>8</v>
      </c>
      <c r="D17" s="79">
        <f t="shared" ca="1" si="3"/>
        <v>31</v>
      </c>
      <c r="H17" s="668"/>
      <c r="I17" s="153" t="s">
        <v>6</v>
      </c>
      <c r="J17" s="79">
        <f t="shared" ca="1" si="2"/>
        <v>84</v>
      </c>
      <c r="K17" s="79">
        <f ca="1">RANDBETWEEN(0,200)</f>
        <v>52</v>
      </c>
      <c r="L17" s="79">
        <f t="shared" ca="1" si="2"/>
        <v>111</v>
      </c>
      <c r="M17" s="79">
        <f t="shared" ca="1" si="2"/>
        <v>53</v>
      </c>
      <c r="N17" s="79">
        <f t="shared" ca="1" si="2"/>
        <v>128</v>
      </c>
      <c r="O17" s="79">
        <f t="shared" ca="1" si="2"/>
        <v>100</v>
      </c>
      <c r="P17" s="79">
        <f t="shared" ca="1" si="2"/>
        <v>51</v>
      </c>
      <c r="Q17" s="79">
        <f t="shared" ca="1" si="2"/>
        <v>184</v>
      </c>
      <c r="R17" s="164">
        <f ca="1">SUM(J17,SUM(K17:Q17))</f>
        <v>763</v>
      </c>
    </row>
    <row r="18" spans="1:21" ht="33">
      <c r="A18" s="171" t="s">
        <v>7</v>
      </c>
      <c r="B18" s="172">
        <f t="shared" ca="1" si="0"/>
        <v>182</v>
      </c>
      <c r="C18" s="172">
        <f t="shared" ca="1" si="0"/>
        <v>1</v>
      </c>
      <c r="D18" s="172">
        <f t="shared" ca="1" si="3"/>
        <v>183</v>
      </c>
      <c r="H18" s="668"/>
      <c r="I18" s="171" t="s">
        <v>7</v>
      </c>
      <c r="J18" s="172">
        <f t="shared" ca="1" si="2"/>
        <v>68</v>
      </c>
      <c r="K18" s="172">
        <f t="shared" ca="1" si="2"/>
        <v>94</v>
      </c>
      <c r="L18" s="173">
        <f t="shared" ca="1" si="2"/>
        <v>177</v>
      </c>
      <c r="M18" s="173">
        <f t="shared" ca="1" si="2"/>
        <v>79</v>
      </c>
      <c r="N18" s="173">
        <f t="shared" ca="1" si="2"/>
        <v>136</v>
      </c>
      <c r="O18" s="173">
        <f t="shared" ca="1" si="2"/>
        <v>166</v>
      </c>
      <c r="P18" s="173">
        <f t="shared" ca="1" si="2"/>
        <v>176</v>
      </c>
      <c r="Q18" s="173">
        <f t="shared" ca="1" si="2"/>
        <v>65</v>
      </c>
      <c r="R18" s="173">
        <f t="shared" ca="1" si="2"/>
        <v>119</v>
      </c>
      <c r="S18" s="164">
        <f ca="1">SUM(J18,SUM(K18:R18))</f>
        <v>1080</v>
      </c>
    </row>
    <row r="19" spans="1:21" ht="33">
      <c r="A19" s="171" t="s">
        <v>8</v>
      </c>
      <c r="B19" s="172">
        <f t="shared" ca="1" si="0"/>
        <v>111</v>
      </c>
      <c r="C19" s="172">
        <f t="shared" ca="1" si="0"/>
        <v>157</v>
      </c>
      <c r="D19" s="172">
        <f t="shared" ca="1" si="3"/>
        <v>268</v>
      </c>
      <c r="H19" s="668"/>
      <c r="I19" s="171" t="s">
        <v>8</v>
      </c>
      <c r="J19" s="172">
        <f t="shared" ca="1" si="2"/>
        <v>72</v>
      </c>
      <c r="K19" s="172">
        <f t="shared" ca="1" si="2"/>
        <v>20</v>
      </c>
      <c r="L19" s="173">
        <f t="shared" ca="1" si="2"/>
        <v>106</v>
      </c>
      <c r="M19" s="173">
        <f t="shared" ca="1" si="2"/>
        <v>183</v>
      </c>
      <c r="N19" s="173">
        <f t="shared" ca="1" si="2"/>
        <v>50</v>
      </c>
      <c r="O19" s="173">
        <f t="shared" ca="1" si="2"/>
        <v>114</v>
      </c>
      <c r="P19" s="173">
        <f t="shared" ca="1" si="2"/>
        <v>124</v>
      </c>
      <c r="Q19" s="173">
        <f t="shared" ca="1" si="2"/>
        <v>91</v>
      </c>
      <c r="R19" s="173">
        <f t="shared" ca="1" si="2"/>
        <v>91</v>
      </c>
      <c r="S19" s="173">
        <f t="shared" ca="1" si="2"/>
        <v>60</v>
      </c>
      <c r="T19" s="164">
        <f ca="1">SUM(K19,SUM(K19:S19))</f>
        <v>859</v>
      </c>
    </row>
    <row r="20" spans="1:21" ht="33">
      <c r="A20" s="151" t="s">
        <v>9</v>
      </c>
      <c r="B20" s="142">
        <f t="shared" ca="1" si="0"/>
        <v>21</v>
      </c>
      <c r="C20" s="142">
        <f t="shared" ca="1" si="0"/>
        <v>116</v>
      </c>
      <c r="D20" s="142">
        <f t="shared" ca="1" si="3"/>
        <v>137</v>
      </c>
      <c r="H20" s="668"/>
      <c r="I20" s="151" t="s">
        <v>9</v>
      </c>
      <c r="J20" s="142">
        <f t="shared" ca="1" si="2"/>
        <v>57</v>
      </c>
      <c r="K20" s="142">
        <f t="shared" ca="1" si="2"/>
        <v>97</v>
      </c>
      <c r="L20" s="142">
        <f t="shared" ca="1" si="2"/>
        <v>59</v>
      </c>
      <c r="M20" s="142">
        <f t="shared" ca="1" si="2"/>
        <v>15</v>
      </c>
      <c r="N20" s="142">
        <f t="shared" ca="1" si="2"/>
        <v>10</v>
      </c>
      <c r="O20" s="142">
        <f t="shared" ca="1" si="2"/>
        <v>200</v>
      </c>
      <c r="P20" s="142">
        <f t="shared" ca="1" si="2"/>
        <v>64</v>
      </c>
      <c r="Q20" s="142">
        <f t="shared" ca="1" si="2"/>
        <v>39</v>
      </c>
      <c r="R20" s="142">
        <f t="shared" ca="1" si="2"/>
        <v>133</v>
      </c>
      <c r="S20" s="142">
        <f t="shared" ca="1" si="2"/>
        <v>13</v>
      </c>
      <c r="T20" s="142">
        <f t="shared" ca="1" si="2"/>
        <v>3</v>
      </c>
      <c r="U20" s="164">
        <f ca="1">SUM(J20,SUM(K20:T20))</f>
        <v>690</v>
      </c>
    </row>
    <row r="21" spans="1:21">
      <c r="A21" s="81"/>
      <c r="B21" s="81"/>
      <c r="C21" s="142" t="s">
        <v>12</v>
      </c>
      <c r="D21" s="142">
        <f ca="1">SUM(D11:D20)</f>
        <v>1826</v>
      </c>
      <c r="H21" s="668"/>
    </row>
  </sheetData>
  <dataConsolidate>
    <dataRefs count="1">
      <dataRef ref="B11:C20" sheet="SUMAS"/>
    </dataRefs>
  </dataConsolidate>
  <mergeCells count="3">
    <mergeCell ref="H10:H21"/>
    <mergeCell ref="A1:B1"/>
    <mergeCell ref="A2:B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-0.249977111117893"/>
  </sheetPr>
  <dimension ref="A3:U21"/>
  <sheetViews>
    <sheetView topLeftCell="B3" zoomScale="80" zoomScaleNormal="80" workbookViewId="0">
      <selection activeCell="G6" sqref="G6"/>
    </sheetView>
  </sheetViews>
  <sheetFormatPr baseColWidth="10" defaultRowHeight="16.5"/>
  <cols>
    <col min="1" max="1" width="18.75" style="14" customWidth="1"/>
    <col min="2" max="8" width="11" style="14"/>
    <col min="9" max="9" width="15" style="14" customWidth="1"/>
    <col min="10" max="16384" width="11" style="14"/>
  </cols>
  <sheetData>
    <row r="3" spans="1:17">
      <c r="B3" s="669" t="s">
        <v>18</v>
      </c>
      <c r="C3" s="669"/>
    </row>
    <row r="4" spans="1:17">
      <c r="B4" s="670" t="s">
        <v>17</v>
      </c>
      <c r="C4" s="670"/>
    </row>
    <row r="10" spans="1:17">
      <c r="B10" s="79" t="s">
        <v>10</v>
      </c>
      <c r="C10" s="79" t="s">
        <v>10</v>
      </c>
      <c r="D10" s="79" t="s">
        <v>11</v>
      </c>
      <c r="F10" s="160" t="s">
        <v>13</v>
      </c>
      <c r="G10" s="208">
        <f ca="1">AVERAGE(B11:C20)</f>
        <v>97.85</v>
      </c>
      <c r="H10" s="668" t="s">
        <v>16</v>
      </c>
    </row>
    <row r="11" spans="1:17" ht="30" customHeight="1">
      <c r="A11" s="161" t="s">
        <v>0</v>
      </c>
      <c r="B11" s="162">
        <f t="shared" ref="B11:C20" ca="1" si="0">RANDBETWEEN(0,200)</f>
        <v>60</v>
      </c>
      <c r="C11" s="162">
        <f ca="1">RANDBETWEEN(0,200)</f>
        <v>55</v>
      </c>
      <c r="D11" s="162">
        <f ca="1">SUM(B11,(SUM(C11:C12)*-1))</f>
        <v>4</v>
      </c>
      <c r="F11" s="160" t="s">
        <v>14</v>
      </c>
      <c r="G11" s="208">
        <f ca="1">_xlfn.MODE.MULT(B11:B20,C11:C20)</f>
        <v>187</v>
      </c>
      <c r="H11" s="668"/>
      <c r="I11" s="161" t="s">
        <v>0</v>
      </c>
      <c r="J11" s="162">
        <f t="shared" ref="J11:T20" ca="1" si="1">RANDBETWEEN(0,200)</f>
        <v>81</v>
      </c>
      <c r="K11" s="162">
        <f ca="1">RANDBETWEEN(0,200)</f>
        <v>126</v>
      </c>
      <c r="L11" s="164">
        <f ca="1">SUM(J11,(K11)*-1)</f>
        <v>-45</v>
      </c>
    </row>
    <row r="12" spans="1:17" ht="30" customHeight="1">
      <c r="A12" s="153" t="s">
        <v>1</v>
      </c>
      <c r="B12" s="79">
        <f t="shared" ca="1" si="0"/>
        <v>187</v>
      </c>
      <c r="C12" s="79">
        <f ca="1">RANDBETWEEN(0,200)</f>
        <v>1</v>
      </c>
      <c r="D12" s="162">
        <f t="shared" ref="D12:D19" ca="1" si="2">SUM(B12,(SUM(C12:C13)*-1))</f>
        <v>77</v>
      </c>
      <c r="F12" s="160" t="s">
        <v>15</v>
      </c>
      <c r="G12" s="208">
        <f ca="1">GEOMEAN(B11:C20)</f>
        <v>69.07511279638716</v>
      </c>
      <c r="H12" s="668"/>
      <c r="I12" s="153" t="s">
        <v>1</v>
      </c>
      <c r="J12" s="79">
        <f t="shared" ca="1" si="1"/>
        <v>32</v>
      </c>
      <c r="K12" s="79">
        <f ca="1">RANDBETWEEN(0,200)</f>
        <v>110</v>
      </c>
      <c r="L12" s="79">
        <f ca="1">RANDBETWEEN(0,200)</f>
        <v>44</v>
      </c>
      <c r="M12" s="164">
        <f ca="1">SUM(J12,SUM(K12:L12)*-1)</f>
        <v>-122</v>
      </c>
    </row>
    <row r="13" spans="1:17" ht="30" customHeight="1">
      <c r="A13" s="153" t="s">
        <v>2</v>
      </c>
      <c r="B13" s="79">
        <f t="shared" ca="1" si="0"/>
        <v>99</v>
      </c>
      <c r="C13" s="79">
        <f t="shared" ca="1" si="0"/>
        <v>109</v>
      </c>
      <c r="D13" s="162">
        <f t="shared" ca="1" si="2"/>
        <v>-72</v>
      </c>
      <c r="H13" s="668"/>
      <c r="I13" s="153" t="s">
        <v>2</v>
      </c>
      <c r="J13" s="79">
        <f t="shared" ca="1" si="1"/>
        <v>152</v>
      </c>
      <c r="K13" s="79">
        <f t="shared" ca="1" si="1"/>
        <v>174</v>
      </c>
      <c r="L13" s="79">
        <f t="shared" ca="1" si="1"/>
        <v>173</v>
      </c>
      <c r="M13" s="79">
        <f t="shared" ca="1" si="1"/>
        <v>23</v>
      </c>
      <c r="N13" s="164">
        <f ca="1">SUM(J13,SUM(K13:M13)*-1)</f>
        <v>-218</v>
      </c>
    </row>
    <row r="14" spans="1:17" ht="30" customHeight="1">
      <c r="A14" s="167" t="s">
        <v>3</v>
      </c>
      <c r="B14" s="168">
        <f t="shared" ca="1" si="0"/>
        <v>67</v>
      </c>
      <c r="C14" s="168">
        <f t="shared" ca="1" si="0"/>
        <v>62</v>
      </c>
      <c r="D14" s="162">
        <f t="shared" ca="1" si="2"/>
        <v>-182</v>
      </c>
      <c r="H14" s="668"/>
      <c r="I14" s="170" t="s">
        <v>3</v>
      </c>
      <c r="J14" s="160">
        <f t="shared" ca="1" si="1"/>
        <v>126</v>
      </c>
      <c r="K14" s="160">
        <f t="shared" ca="1" si="1"/>
        <v>172</v>
      </c>
      <c r="L14" s="160">
        <f t="shared" ca="1" si="1"/>
        <v>83</v>
      </c>
      <c r="M14" s="160">
        <f t="shared" ca="1" si="1"/>
        <v>177</v>
      </c>
      <c r="N14" s="160">
        <f t="shared" ca="1" si="1"/>
        <v>108</v>
      </c>
      <c r="O14" s="164">
        <f ca="1">SUM(J14,SUM(K14:N14)*-1)</f>
        <v>-414</v>
      </c>
    </row>
    <row r="15" spans="1:17" ht="30" customHeight="1">
      <c r="A15" s="167" t="s">
        <v>4</v>
      </c>
      <c r="B15" s="168">
        <f t="shared" ca="1" si="0"/>
        <v>34</v>
      </c>
      <c r="C15" s="168">
        <f t="shared" ca="1" si="0"/>
        <v>187</v>
      </c>
      <c r="D15" s="162">
        <f t="shared" ca="1" si="2"/>
        <v>-199</v>
      </c>
      <c r="H15" s="668"/>
      <c r="I15" s="170" t="s">
        <v>4</v>
      </c>
      <c r="J15" s="160">
        <f t="shared" ca="1" si="1"/>
        <v>179</v>
      </c>
      <c r="K15" s="160">
        <f t="shared" ca="1" si="1"/>
        <v>49</v>
      </c>
      <c r="L15" s="160">
        <f t="shared" ca="1" si="1"/>
        <v>11</v>
      </c>
      <c r="M15" s="160">
        <f t="shared" ca="1" si="1"/>
        <v>78</v>
      </c>
      <c r="N15" s="160">
        <f t="shared" ca="1" si="1"/>
        <v>66</v>
      </c>
      <c r="O15" s="160">
        <f t="shared" ca="1" si="1"/>
        <v>77</v>
      </c>
      <c r="P15" s="164">
        <f ca="1">SUM(K15,SUM(L15:O15)*-1)</f>
        <v>-183</v>
      </c>
    </row>
    <row r="16" spans="1:17" ht="30" customHeight="1">
      <c r="A16" s="153" t="s">
        <v>5</v>
      </c>
      <c r="B16" s="79">
        <f t="shared" ca="1" si="0"/>
        <v>146</v>
      </c>
      <c r="C16" s="79">
        <f t="shared" ca="1" si="0"/>
        <v>46</v>
      </c>
      <c r="D16" s="162">
        <f t="shared" ca="1" si="2"/>
        <v>71</v>
      </c>
      <c r="H16" s="668"/>
      <c r="I16" s="153" t="s">
        <v>5</v>
      </c>
      <c r="J16" s="79">
        <f t="shared" ca="1" si="1"/>
        <v>181</v>
      </c>
      <c r="K16" s="79">
        <f t="shared" ca="1" si="1"/>
        <v>39</v>
      </c>
      <c r="L16" s="79">
        <f t="shared" ca="1" si="1"/>
        <v>55</v>
      </c>
      <c r="M16" s="79">
        <f t="shared" ca="1" si="1"/>
        <v>58</v>
      </c>
      <c r="N16" s="79">
        <f t="shared" ca="1" si="1"/>
        <v>50</v>
      </c>
      <c r="O16" s="79">
        <f t="shared" ca="1" si="1"/>
        <v>161</v>
      </c>
      <c r="P16" s="79">
        <f t="shared" ca="1" si="1"/>
        <v>99</v>
      </c>
      <c r="Q16" s="164">
        <f ca="1">SUM(J16,SUM(K16:P16)*-1)</f>
        <v>-281</v>
      </c>
    </row>
    <row r="17" spans="1:21" ht="30" customHeight="1">
      <c r="A17" s="153" t="s">
        <v>6</v>
      </c>
      <c r="B17" s="79">
        <f t="shared" ca="1" si="0"/>
        <v>165</v>
      </c>
      <c r="C17" s="79">
        <f ca="1">RANDBETWEEN(0,200)</f>
        <v>29</v>
      </c>
      <c r="D17" s="162">
        <f t="shared" ca="1" si="2"/>
        <v>100</v>
      </c>
      <c r="H17" s="668"/>
      <c r="I17" s="153" t="s">
        <v>6</v>
      </c>
      <c r="J17" s="79">
        <f t="shared" ca="1" si="1"/>
        <v>80</v>
      </c>
      <c r="K17" s="79">
        <f ca="1">RANDBETWEEN(0,200)</f>
        <v>178</v>
      </c>
      <c r="L17" s="79">
        <f t="shared" ca="1" si="1"/>
        <v>108</v>
      </c>
      <c r="M17" s="79">
        <f t="shared" ca="1" si="1"/>
        <v>2</v>
      </c>
      <c r="N17" s="79">
        <f t="shared" ca="1" si="1"/>
        <v>57</v>
      </c>
      <c r="O17" s="79">
        <f t="shared" ca="1" si="1"/>
        <v>140</v>
      </c>
      <c r="P17" s="79">
        <f t="shared" ca="1" si="1"/>
        <v>65</v>
      </c>
      <c r="Q17" s="79">
        <f t="shared" ca="1" si="1"/>
        <v>69</v>
      </c>
      <c r="R17" s="164">
        <f ca="1">SUM(J17,SUM(K17:Q17)*-1)</f>
        <v>-539</v>
      </c>
    </row>
    <row r="18" spans="1:21" ht="30" customHeight="1">
      <c r="A18" s="171" t="s">
        <v>7</v>
      </c>
      <c r="B18" s="172">
        <f t="shared" ca="1" si="0"/>
        <v>79</v>
      </c>
      <c r="C18" s="172">
        <f t="shared" ca="1" si="0"/>
        <v>36</v>
      </c>
      <c r="D18" s="162">
        <f t="shared" ca="1" si="2"/>
        <v>-92</v>
      </c>
      <c r="H18" s="668"/>
      <c r="I18" s="171" t="s">
        <v>7</v>
      </c>
      <c r="J18" s="172">
        <f t="shared" ca="1" si="1"/>
        <v>20</v>
      </c>
      <c r="K18" s="172">
        <f t="shared" ca="1" si="1"/>
        <v>48</v>
      </c>
      <c r="L18" s="173">
        <f t="shared" ca="1" si="1"/>
        <v>172</v>
      </c>
      <c r="M18" s="173">
        <f t="shared" ca="1" si="1"/>
        <v>93</v>
      </c>
      <c r="N18" s="173">
        <f t="shared" ca="1" si="1"/>
        <v>97</v>
      </c>
      <c r="O18" s="173">
        <f t="shared" ca="1" si="1"/>
        <v>189</v>
      </c>
      <c r="P18" s="173">
        <f t="shared" ca="1" si="1"/>
        <v>107</v>
      </c>
      <c r="Q18" s="173">
        <f t="shared" ca="1" si="1"/>
        <v>29</v>
      </c>
      <c r="R18" s="173">
        <f t="shared" ca="1" si="1"/>
        <v>12</v>
      </c>
      <c r="S18" s="164">
        <f ca="1">SUM(J18,SUM(K18:R18)*-1)</f>
        <v>-727</v>
      </c>
    </row>
    <row r="19" spans="1:21" ht="30" customHeight="1">
      <c r="A19" s="171" t="s">
        <v>8</v>
      </c>
      <c r="B19" s="172">
        <f t="shared" ca="1" si="0"/>
        <v>183</v>
      </c>
      <c r="C19" s="172">
        <f t="shared" ca="1" si="0"/>
        <v>135</v>
      </c>
      <c r="D19" s="162">
        <f t="shared" ca="1" si="2"/>
        <v>-152</v>
      </c>
      <c r="H19" s="668"/>
      <c r="I19" s="171" t="s">
        <v>8</v>
      </c>
      <c r="J19" s="172">
        <f t="shared" ca="1" si="1"/>
        <v>162</v>
      </c>
      <c r="K19" s="172">
        <f t="shared" ca="1" si="1"/>
        <v>190</v>
      </c>
      <c r="L19" s="173">
        <f t="shared" ca="1" si="1"/>
        <v>66</v>
      </c>
      <c r="M19" s="173">
        <f t="shared" ca="1" si="1"/>
        <v>50</v>
      </c>
      <c r="N19" s="173">
        <f t="shared" ca="1" si="1"/>
        <v>23</v>
      </c>
      <c r="O19" s="173">
        <f t="shared" ca="1" si="1"/>
        <v>79</v>
      </c>
      <c r="P19" s="173">
        <f t="shared" ca="1" si="1"/>
        <v>98</v>
      </c>
      <c r="Q19" s="173">
        <f t="shared" ca="1" si="1"/>
        <v>29</v>
      </c>
      <c r="R19" s="173">
        <f t="shared" ca="1" si="1"/>
        <v>152</v>
      </c>
      <c r="S19" s="173">
        <f t="shared" ca="1" si="1"/>
        <v>172</v>
      </c>
      <c r="T19" s="164">
        <f ca="1">SUM(K19,SUM(K19:S19)*-1)</f>
        <v>-669</v>
      </c>
    </row>
    <row r="20" spans="1:21" ht="30" customHeight="1">
      <c r="A20" s="151" t="s">
        <v>9</v>
      </c>
      <c r="B20" s="142">
        <f t="shared" ca="1" si="0"/>
        <v>77</v>
      </c>
      <c r="C20" s="142">
        <f t="shared" ca="1" si="0"/>
        <v>200</v>
      </c>
      <c r="D20" s="142">
        <f ca="1">SUM(B20,C20)</f>
        <v>277</v>
      </c>
      <c r="H20" s="668"/>
      <c r="I20" s="151" t="s">
        <v>9</v>
      </c>
      <c r="J20" s="142">
        <f t="shared" ca="1" si="1"/>
        <v>171</v>
      </c>
      <c r="K20" s="142">
        <f t="shared" ca="1" si="1"/>
        <v>95</v>
      </c>
      <c r="L20" s="142">
        <f t="shared" ca="1" si="1"/>
        <v>18</v>
      </c>
      <c r="M20" s="142">
        <f t="shared" ca="1" si="1"/>
        <v>157</v>
      </c>
      <c r="N20" s="142">
        <f t="shared" ca="1" si="1"/>
        <v>113</v>
      </c>
      <c r="O20" s="142">
        <f t="shared" ca="1" si="1"/>
        <v>145</v>
      </c>
      <c r="P20" s="142">
        <f t="shared" ca="1" si="1"/>
        <v>65</v>
      </c>
      <c r="Q20" s="142">
        <f t="shared" ca="1" si="1"/>
        <v>162</v>
      </c>
      <c r="R20" s="142">
        <f t="shared" ca="1" si="1"/>
        <v>72</v>
      </c>
      <c r="S20" s="142">
        <f t="shared" ca="1" si="1"/>
        <v>64</v>
      </c>
      <c r="T20" s="142">
        <f t="shared" ca="1" si="1"/>
        <v>127</v>
      </c>
      <c r="U20" s="164">
        <f ca="1">SUM(J20,SUM(K20:T20)*-1)</f>
        <v>-847</v>
      </c>
    </row>
    <row r="21" spans="1:21">
      <c r="A21" s="81"/>
      <c r="B21" s="81"/>
      <c r="C21" s="142" t="s">
        <v>12</v>
      </c>
      <c r="D21" s="142">
        <f ca="1">SUM(D11:D20)</f>
        <v>-168</v>
      </c>
      <c r="H21" s="668"/>
    </row>
  </sheetData>
  <mergeCells count="3">
    <mergeCell ref="H10:H21"/>
    <mergeCell ref="B3:C3"/>
    <mergeCell ref="B4:C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-0.249977111117893"/>
  </sheetPr>
  <dimension ref="A1:U21"/>
  <sheetViews>
    <sheetView zoomScale="70" zoomScaleNormal="70" workbookViewId="0">
      <selection activeCell="F8" sqref="F8"/>
    </sheetView>
  </sheetViews>
  <sheetFormatPr baseColWidth="10" defaultRowHeight="16.5"/>
  <cols>
    <col min="1" max="1" width="19.75" style="14" customWidth="1"/>
    <col min="2" max="3" width="11" style="14"/>
    <col min="4" max="4" width="11.75" style="14" customWidth="1"/>
    <col min="5" max="15" width="11" style="14"/>
    <col min="16" max="21" width="11.875" style="14" customWidth="1"/>
    <col min="22" max="16384" width="11" style="14"/>
  </cols>
  <sheetData>
    <row r="1" spans="1:17">
      <c r="A1" s="669" t="s">
        <v>18</v>
      </c>
      <c r="B1" s="669"/>
    </row>
    <row r="2" spans="1:17">
      <c r="A2" s="670" t="s">
        <v>17</v>
      </c>
      <c r="B2" s="670"/>
    </row>
    <row r="10" spans="1:17">
      <c r="B10" s="79" t="s">
        <v>10</v>
      </c>
      <c r="C10" s="79" t="s">
        <v>10</v>
      </c>
      <c r="D10" s="79" t="s">
        <v>11</v>
      </c>
      <c r="F10" s="160" t="s">
        <v>13</v>
      </c>
      <c r="G10" s="160">
        <f ca="1">AVERAGE(B11:C20)</f>
        <v>84.45</v>
      </c>
      <c r="H10" s="668" t="s">
        <v>16</v>
      </c>
    </row>
    <row r="11" spans="1:17" ht="33">
      <c r="A11" s="161" t="s">
        <v>0</v>
      </c>
      <c r="B11" s="162">
        <f t="shared" ref="B11:C20" ca="1" si="0">RANDBETWEEN(0,200)</f>
        <v>77</v>
      </c>
      <c r="C11" s="162">
        <f ca="1">RANDBETWEEN(0,200)</f>
        <v>76</v>
      </c>
      <c r="D11" s="162">
        <f ca="1">PRODUCT(B11,C11)</f>
        <v>5852</v>
      </c>
      <c r="F11" s="160" t="s">
        <v>14</v>
      </c>
      <c r="G11" s="160">
        <f ca="1">_xlfn.MODE.MULT(B11:B20,C11:C20)</f>
        <v>51</v>
      </c>
      <c r="H11" s="668"/>
      <c r="I11" s="161" t="s">
        <v>0</v>
      </c>
      <c r="J11" s="162">
        <f t="shared" ref="J11:Q19" ca="1" si="1">RANDBETWEEN(0,20)</f>
        <v>16</v>
      </c>
      <c r="K11" s="162">
        <f t="shared" ca="1" si="1"/>
        <v>7</v>
      </c>
      <c r="L11" s="164">
        <f ca="1">PRODUCT(J11,(K11))</f>
        <v>112</v>
      </c>
    </row>
    <row r="12" spans="1:17" ht="33">
      <c r="A12" s="153" t="s">
        <v>1</v>
      </c>
      <c r="B12" s="79">
        <f t="shared" ca="1" si="0"/>
        <v>196</v>
      </c>
      <c r="C12" s="79">
        <f ca="1">RANDBETWEEN(0,200)</f>
        <v>51</v>
      </c>
      <c r="D12" s="162">
        <f t="shared" ref="D12:D20" ca="1" si="2">PRODUCT(B12,C12)</f>
        <v>9996</v>
      </c>
      <c r="F12" s="160" t="s">
        <v>15</v>
      </c>
      <c r="G12" s="160">
        <f ca="1">GEOMEAN(B11:C20)</f>
        <v>67.597989577582609</v>
      </c>
      <c r="H12" s="668"/>
      <c r="I12" s="153" t="s">
        <v>1</v>
      </c>
      <c r="J12" s="166">
        <f t="shared" ca="1" si="1"/>
        <v>7</v>
      </c>
      <c r="K12" s="166">
        <f t="shared" ca="1" si="1"/>
        <v>0</v>
      </c>
      <c r="L12" s="166">
        <f t="shared" ca="1" si="1"/>
        <v>16</v>
      </c>
      <c r="M12" s="164">
        <f ca="1">PRODUCT(J12:L12)</f>
        <v>0</v>
      </c>
    </row>
    <row r="13" spans="1:17" ht="33">
      <c r="A13" s="153" t="s">
        <v>2</v>
      </c>
      <c r="B13" s="79">
        <f t="shared" ca="1" si="0"/>
        <v>122</v>
      </c>
      <c r="C13" s="79">
        <f t="shared" ca="1" si="0"/>
        <v>197</v>
      </c>
      <c r="D13" s="162">
        <f t="shared" ca="1" si="2"/>
        <v>24034</v>
      </c>
      <c r="H13" s="668"/>
      <c r="I13" s="153" t="s">
        <v>2</v>
      </c>
      <c r="J13" s="166">
        <f t="shared" ca="1" si="1"/>
        <v>4</v>
      </c>
      <c r="K13" s="166">
        <f t="shared" ca="1" si="1"/>
        <v>15</v>
      </c>
      <c r="L13" s="166">
        <f t="shared" ca="1" si="1"/>
        <v>14</v>
      </c>
      <c r="M13" s="166">
        <f t="shared" ca="1" si="1"/>
        <v>14</v>
      </c>
      <c r="N13" s="164">
        <f ca="1">PRODUCT(J13:M13)</f>
        <v>11760</v>
      </c>
    </row>
    <row r="14" spans="1:17" ht="33">
      <c r="A14" s="167" t="s">
        <v>3</v>
      </c>
      <c r="B14" s="168">
        <f t="shared" ca="1" si="0"/>
        <v>45</v>
      </c>
      <c r="C14" s="168">
        <f t="shared" ca="1" si="0"/>
        <v>49</v>
      </c>
      <c r="D14" s="168">
        <f t="shared" ca="1" si="2"/>
        <v>2205</v>
      </c>
      <c r="H14" s="668"/>
      <c r="I14" s="170" t="s">
        <v>3</v>
      </c>
      <c r="J14" s="160">
        <f t="shared" ca="1" si="1"/>
        <v>2</v>
      </c>
      <c r="K14" s="160">
        <f t="shared" ca="1" si="1"/>
        <v>15</v>
      </c>
      <c r="L14" s="160">
        <f t="shared" ca="1" si="1"/>
        <v>4</v>
      </c>
      <c r="M14" s="160">
        <f t="shared" ca="1" si="1"/>
        <v>16</v>
      </c>
      <c r="N14" s="160">
        <f t="shared" ca="1" si="1"/>
        <v>2</v>
      </c>
      <c r="O14" s="164">
        <f ca="1">PRODUCT(J14:N14)</f>
        <v>3840</v>
      </c>
    </row>
    <row r="15" spans="1:17" ht="33">
      <c r="A15" s="167" t="s">
        <v>4</v>
      </c>
      <c r="B15" s="168">
        <f t="shared" ca="1" si="0"/>
        <v>163</v>
      </c>
      <c r="C15" s="168">
        <f t="shared" ca="1" si="0"/>
        <v>18</v>
      </c>
      <c r="D15" s="168">
        <f t="shared" ca="1" si="2"/>
        <v>2934</v>
      </c>
      <c r="H15" s="668"/>
      <c r="I15" s="170" t="s">
        <v>4</v>
      </c>
      <c r="J15" s="160">
        <f t="shared" ca="1" si="1"/>
        <v>9</v>
      </c>
      <c r="K15" s="160">
        <f t="shared" ca="1" si="1"/>
        <v>16</v>
      </c>
      <c r="L15" s="160">
        <f t="shared" ca="1" si="1"/>
        <v>4</v>
      </c>
      <c r="M15" s="160">
        <f t="shared" ca="1" si="1"/>
        <v>4</v>
      </c>
      <c r="N15" s="160">
        <f t="shared" ca="1" si="1"/>
        <v>8</v>
      </c>
      <c r="O15" s="160">
        <f t="shared" ca="1" si="1"/>
        <v>20</v>
      </c>
      <c r="P15" s="164">
        <f ca="1">PRODUCT(K15:O15)</f>
        <v>40960</v>
      </c>
    </row>
    <row r="16" spans="1:17" ht="33">
      <c r="A16" s="153" t="s">
        <v>5</v>
      </c>
      <c r="B16" s="79">
        <f t="shared" ca="1" si="0"/>
        <v>62</v>
      </c>
      <c r="C16" s="79">
        <f t="shared" ca="1" si="0"/>
        <v>102</v>
      </c>
      <c r="D16" s="162">
        <f t="shared" ca="1" si="2"/>
        <v>6324</v>
      </c>
      <c r="H16" s="668"/>
      <c r="I16" s="153" t="s">
        <v>5</v>
      </c>
      <c r="J16" s="166">
        <f t="shared" ca="1" si="1"/>
        <v>19</v>
      </c>
      <c r="K16" s="166">
        <f t="shared" ca="1" si="1"/>
        <v>14</v>
      </c>
      <c r="L16" s="166">
        <f t="shared" ca="1" si="1"/>
        <v>14</v>
      </c>
      <c r="M16" s="166">
        <f t="shared" ca="1" si="1"/>
        <v>11</v>
      </c>
      <c r="N16" s="166">
        <f t="shared" ca="1" si="1"/>
        <v>15</v>
      </c>
      <c r="O16" s="166">
        <f t="shared" ca="1" si="1"/>
        <v>4</v>
      </c>
      <c r="P16" s="166">
        <f t="shared" ca="1" si="1"/>
        <v>7</v>
      </c>
      <c r="Q16" s="209">
        <f ca="1">PRODUCT(J16:P16)</f>
        <v>17204880</v>
      </c>
    </row>
    <row r="17" spans="1:21" ht="33">
      <c r="A17" s="153" t="s">
        <v>6</v>
      </c>
      <c r="B17" s="79">
        <f t="shared" ca="1" si="0"/>
        <v>53</v>
      </c>
      <c r="C17" s="79">
        <f ca="1">RANDBETWEEN(0,200)</f>
        <v>31</v>
      </c>
      <c r="D17" s="162">
        <f t="shared" ca="1" si="2"/>
        <v>1643</v>
      </c>
      <c r="H17" s="668"/>
      <c r="I17" s="153" t="s">
        <v>6</v>
      </c>
      <c r="J17" s="166">
        <f t="shared" ca="1" si="1"/>
        <v>3</v>
      </c>
      <c r="K17" s="166">
        <f t="shared" ca="1" si="1"/>
        <v>16</v>
      </c>
      <c r="L17" s="166">
        <f t="shared" ca="1" si="1"/>
        <v>9</v>
      </c>
      <c r="M17" s="166">
        <f t="shared" ca="1" si="1"/>
        <v>9</v>
      </c>
      <c r="N17" s="166">
        <f t="shared" ca="1" si="1"/>
        <v>6</v>
      </c>
      <c r="O17" s="166">
        <f t="shared" ca="1" si="1"/>
        <v>0</v>
      </c>
      <c r="P17" s="166">
        <f t="shared" ca="1" si="1"/>
        <v>14</v>
      </c>
      <c r="Q17" s="166">
        <f t="shared" ca="1" si="1"/>
        <v>5</v>
      </c>
      <c r="R17" s="164">
        <f ca="1">PRODUCT(J17:Q17)</f>
        <v>0</v>
      </c>
    </row>
    <row r="18" spans="1:21" ht="33">
      <c r="A18" s="171" t="s">
        <v>7</v>
      </c>
      <c r="B18" s="172">
        <f t="shared" ca="1" si="0"/>
        <v>183</v>
      </c>
      <c r="C18" s="172">
        <f t="shared" ca="1" si="0"/>
        <v>17</v>
      </c>
      <c r="D18" s="162">
        <f t="shared" ca="1" si="2"/>
        <v>3111</v>
      </c>
      <c r="H18" s="668"/>
      <c r="I18" s="171" t="s">
        <v>7</v>
      </c>
      <c r="J18" s="173">
        <f t="shared" ca="1" si="1"/>
        <v>6</v>
      </c>
      <c r="K18" s="173">
        <f t="shared" ca="1" si="1"/>
        <v>14</v>
      </c>
      <c r="L18" s="173">
        <f t="shared" ca="1" si="1"/>
        <v>15</v>
      </c>
      <c r="M18" s="173">
        <f t="shared" ca="1" si="1"/>
        <v>18</v>
      </c>
      <c r="N18" s="173">
        <f t="shared" ca="1" si="1"/>
        <v>17</v>
      </c>
      <c r="O18" s="173">
        <f t="shared" ca="1" si="1"/>
        <v>10</v>
      </c>
      <c r="P18" s="173">
        <f t="shared" ca="1" si="1"/>
        <v>5</v>
      </c>
      <c r="Q18" s="173">
        <f t="shared" ca="1" si="1"/>
        <v>20</v>
      </c>
      <c r="R18" s="173">
        <f ca="1">RANDBETWEEN(0,20)</f>
        <v>3</v>
      </c>
      <c r="S18" s="164">
        <f ca="1">PRODUCT(J18:R18)</f>
        <v>1156680000</v>
      </c>
    </row>
    <row r="19" spans="1:21" ht="33">
      <c r="A19" s="171" t="s">
        <v>8</v>
      </c>
      <c r="B19" s="172">
        <f t="shared" ca="1" si="0"/>
        <v>73</v>
      </c>
      <c r="C19" s="172">
        <f t="shared" ca="1" si="0"/>
        <v>51</v>
      </c>
      <c r="D19" s="162">
        <f t="shared" ca="1" si="2"/>
        <v>3723</v>
      </c>
      <c r="H19" s="668"/>
      <c r="I19" s="171" t="s">
        <v>8</v>
      </c>
      <c r="J19" s="173">
        <f t="shared" ca="1" si="1"/>
        <v>15</v>
      </c>
      <c r="K19" s="173">
        <f t="shared" ca="1" si="1"/>
        <v>5</v>
      </c>
      <c r="L19" s="173">
        <f t="shared" ca="1" si="1"/>
        <v>10</v>
      </c>
      <c r="M19" s="173">
        <f t="shared" ca="1" si="1"/>
        <v>20</v>
      </c>
      <c r="N19" s="173">
        <f t="shared" ca="1" si="1"/>
        <v>2</v>
      </c>
      <c r="O19" s="173">
        <f t="shared" ca="1" si="1"/>
        <v>17</v>
      </c>
      <c r="P19" s="173">
        <f t="shared" ca="1" si="1"/>
        <v>20</v>
      </c>
      <c r="Q19" s="173">
        <f t="shared" ca="1" si="1"/>
        <v>4</v>
      </c>
      <c r="R19" s="173">
        <f ca="1">RANDBETWEEN(0,20)</f>
        <v>3</v>
      </c>
      <c r="S19" s="173">
        <f ca="1">RANDBETWEEN(0,20)</f>
        <v>15</v>
      </c>
      <c r="T19" s="164">
        <f ca="1">PRODUCT(K19:S19)</f>
        <v>122400000</v>
      </c>
    </row>
    <row r="20" spans="1:21" ht="33">
      <c r="A20" s="151" t="s">
        <v>9</v>
      </c>
      <c r="B20" s="142">
        <f t="shared" ca="1" si="0"/>
        <v>74</v>
      </c>
      <c r="C20" s="142">
        <f t="shared" ca="1" si="0"/>
        <v>49</v>
      </c>
      <c r="D20" s="162">
        <f t="shared" ca="1" si="2"/>
        <v>3626</v>
      </c>
      <c r="H20" s="668"/>
      <c r="I20" s="151" t="s">
        <v>9</v>
      </c>
      <c r="J20" s="142">
        <f t="shared" ref="J20:Q20" ca="1" si="3">RANDBETWEEN(0,20)</f>
        <v>9</v>
      </c>
      <c r="K20" s="142">
        <f t="shared" ca="1" si="3"/>
        <v>11</v>
      </c>
      <c r="L20" s="142">
        <f t="shared" ca="1" si="3"/>
        <v>16</v>
      </c>
      <c r="M20" s="142">
        <f t="shared" ca="1" si="3"/>
        <v>7</v>
      </c>
      <c r="N20" s="142">
        <f t="shared" ca="1" si="3"/>
        <v>18</v>
      </c>
      <c r="O20" s="142">
        <f t="shared" ca="1" si="3"/>
        <v>12</v>
      </c>
      <c r="P20" s="142">
        <f t="shared" ca="1" si="3"/>
        <v>16</v>
      </c>
      <c r="Q20" s="142">
        <f t="shared" ca="1" si="3"/>
        <v>17</v>
      </c>
      <c r="R20" s="142">
        <f ca="1">RANDBETWEEN(0,20)</f>
        <v>1</v>
      </c>
      <c r="S20" s="142">
        <f ca="1">RANDBETWEEN(0,20)</f>
        <v>8</v>
      </c>
      <c r="T20" s="142">
        <f ca="1">RANDBETWEEN(0,20)</f>
        <v>20</v>
      </c>
      <c r="U20" s="164">
        <f ca="1">PRODUCT(J20:T20)</f>
        <v>104230748160</v>
      </c>
    </row>
    <row r="21" spans="1:21">
      <c r="A21" s="81"/>
      <c r="B21" s="81"/>
      <c r="C21" s="142" t="s">
        <v>12</v>
      </c>
      <c r="D21" s="142">
        <f ca="1">SUM(D11:D20)</f>
        <v>63448</v>
      </c>
      <c r="H21" s="668"/>
    </row>
  </sheetData>
  <mergeCells count="3">
    <mergeCell ref="H10:H21"/>
    <mergeCell ref="A2:B2"/>
    <mergeCell ref="A1:B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6" tint="-0.249977111117893"/>
  </sheetPr>
  <dimension ref="A1:U21"/>
  <sheetViews>
    <sheetView zoomScale="70" zoomScaleNormal="70" workbookViewId="0">
      <selection sqref="A1:B2"/>
    </sheetView>
  </sheetViews>
  <sheetFormatPr baseColWidth="10" defaultRowHeight="16.5"/>
  <cols>
    <col min="1" max="16384" width="11" style="14"/>
  </cols>
  <sheetData>
    <row r="1" spans="1:21">
      <c r="A1" s="669" t="s">
        <v>18</v>
      </c>
      <c r="B1" s="669"/>
    </row>
    <row r="2" spans="1:21">
      <c r="A2" s="670" t="s">
        <v>17</v>
      </c>
      <c r="B2" s="670"/>
    </row>
    <row r="10" spans="1:21">
      <c r="B10" s="79" t="s">
        <v>10</v>
      </c>
      <c r="C10" s="79" t="s">
        <v>10</v>
      </c>
      <c r="D10" s="79" t="s">
        <v>11</v>
      </c>
      <c r="F10" s="160" t="s">
        <v>13</v>
      </c>
      <c r="G10" s="160">
        <f ca="1">AVERAGE(B11:C20)</f>
        <v>5.45</v>
      </c>
      <c r="H10" s="210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</row>
    <row r="11" spans="1:21" ht="33">
      <c r="A11" s="161" t="s">
        <v>0</v>
      </c>
      <c r="B11" s="162">
        <f ca="1">RANDBETWEEN(1,10)</f>
        <v>4</v>
      </c>
      <c r="C11" s="162">
        <f ca="1">RANDBETWEEN(1,10)</f>
        <v>6</v>
      </c>
      <c r="D11" s="162">
        <f ca="1">POWER(B11,C11)</f>
        <v>4096</v>
      </c>
      <c r="F11" s="160" t="s">
        <v>14</v>
      </c>
      <c r="G11" s="160">
        <f ca="1">_xlfn.MODE.MULT(B11:B20,C11:C20)</f>
        <v>5</v>
      </c>
      <c r="H11" s="210"/>
      <c r="I11" s="58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</row>
    <row r="12" spans="1:21" ht="33">
      <c r="A12" s="153" t="s">
        <v>1</v>
      </c>
      <c r="B12" s="166">
        <f t="shared" ref="B12:C20" ca="1" si="0">RANDBETWEEN(1,10)</f>
        <v>7</v>
      </c>
      <c r="C12" s="166">
        <f t="shared" ca="1" si="0"/>
        <v>6</v>
      </c>
      <c r="D12" s="166">
        <f t="shared" ref="D12:D20" ca="1" si="1">POWER(B12,C12)</f>
        <v>117649</v>
      </c>
      <c r="F12" s="160" t="s">
        <v>15</v>
      </c>
      <c r="G12" s="160">
        <f ca="1">GEOMEAN(B11:C20)</f>
        <v>4.5526490989599111</v>
      </c>
      <c r="H12" s="210"/>
      <c r="I12" s="58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</row>
    <row r="13" spans="1:21" ht="33">
      <c r="A13" s="153" t="s">
        <v>2</v>
      </c>
      <c r="B13" s="166">
        <f t="shared" ca="1" si="0"/>
        <v>8</v>
      </c>
      <c r="C13" s="166">
        <f t="shared" ca="1" si="0"/>
        <v>7</v>
      </c>
      <c r="D13" s="166">
        <f ca="1">POWER(B13,C13)</f>
        <v>2097152</v>
      </c>
      <c r="H13" s="210"/>
      <c r="I13" s="58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</row>
    <row r="14" spans="1:21" ht="33">
      <c r="A14" s="167" t="s">
        <v>3</v>
      </c>
      <c r="B14" s="168">
        <f t="shared" ca="1" si="0"/>
        <v>1</v>
      </c>
      <c r="C14" s="168">
        <f t="shared" ca="1" si="0"/>
        <v>8</v>
      </c>
      <c r="D14" s="168">
        <f t="shared" ca="1" si="1"/>
        <v>1</v>
      </c>
      <c r="H14" s="210"/>
      <c r="I14" s="58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</row>
    <row r="15" spans="1:21" ht="33">
      <c r="A15" s="167" t="s">
        <v>4</v>
      </c>
      <c r="B15" s="168">
        <f t="shared" ca="1" si="0"/>
        <v>8</v>
      </c>
      <c r="C15" s="168">
        <f t="shared" ca="1" si="0"/>
        <v>4</v>
      </c>
      <c r="D15" s="168">
        <f t="shared" ca="1" si="1"/>
        <v>4096</v>
      </c>
      <c r="H15" s="210"/>
      <c r="I15" s="58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</row>
    <row r="16" spans="1:21" ht="33">
      <c r="A16" s="153" t="s">
        <v>5</v>
      </c>
      <c r="B16" s="166">
        <f t="shared" ca="1" si="0"/>
        <v>10</v>
      </c>
      <c r="C16" s="166">
        <f t="shared" ca="1" si="0"/>
        <v>9</v>
      </c>
      <c r="D16" s="166">
        <f t="shared" ca="1" si="1"/>
        <v>1000000000</v>
      </c>
      <c r="H16" s="210"/>
      <c r="I16" s="58"/>
      <c r="J16" s="146"/>
      <c r="K16" s="146"/>
      <c r="L16" s="146"/>
      <c r="M16" s="146"/>
      <c r="N16" s="146"/>
      <c r="O16" s="146"/>
      <c r="P16" s="146"/>
      <c r="Q16" s="211"/>
      <c r="R16" s="146"/>
      <c r="S16" s="146"/>
      <c r="T16" s="146"/>
      <c r="U16" s="146"/>
    </row>
    <row r="17" spans="1:21" ht="33">
      <c r="A17" s="153" t="s">
        <v>6</v>
      </c>
      <c r="B17" s="166">
        <f t="shared" ca="1" si="0"/>
        <v>5</v>
      </c>
      <c r="C17" s="166">
        <f t="shared" ca="1" si="0"/>
        <v>5</v>
      </c>
      <c r="D17" s="166">
        <f t="shared" ca="1" si="1"/>
        <v>3125</v>
      </c>
      <c r="H17" s="210"/>
      <c r="I17" s="58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</row>
    <row r="18" spans="1:21" ht="33">
      <c r="A18" s="171" t="s">
        <v>7</v>
      </c>
      <c r="B18" s="173">
        <f t="shared" ca="1" si="0"/>
        <v>5</v>
      </c>
      <c r="C18" s="173">
        <f t="shared" ca="1" si="0"/>
        <v>5</v>
      </c>
      <c r="D18" s="173">
        <f t="shared" ca="1" si="1"/>
        <v>3125</v>
      </c>
      <c r="H18" s="210"/>
      <c r="I18" s="58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</row>
    <row r="19" spans="1:21" ht="33">
      <c r="A19" s="171" t="s">
        <v>8</v>
      </c>
      <c r="B19" s="173">
        <f t="shared" ca="1" si="0"/>
        <v>3</v>
      </c>
      <c r="C19" s="173">
        <f t="shared" ca="1" si="0"/>
        <v>1</v>
      </c>
      <c r="D19" s="173">
        <f t="shared" ca="1" si="1"/>
        <v>3</v>
      </c>
      <c r="H19" s="210"/>
      <c r="I19" s="58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</row>
    <row r="20" spans="1:21" ht="33">
      <c r="A20" s="151" t="s">
        <v>9</v>
      </c>
      <c r="B20" s="162">
        <f t="shared" ca="1" si="0"/>
        <v>1</v>
      </c>
      <c r="C20" s="162">
        <f t="shared" ca="1" si="0"/>
        <v>6</v>
      </c>
      <c r="D20" s="162">
        <f t="shared" ca="1" si="1"/>
        <v>1</v>
      </c>
      <c r="H20" s="210"/>
      <c r="I20" s="58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</row>
    <row r="21" spans="1:21">
      <c r="A21" s="81"/>
      <c r="B21" s="81"/>
      <c r="C21" s="142" t="s">
        <v>12</v>
      </c>
      <c r="D21" s="142">
        <f ca="1">SUM(D11:D20)</f>
        <v>1002229248</v>
      </c>
      <c r="H21" s="210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</row>
  </sheetData>
  <mergeCells count="2">
    <mergeCell ref="A1:B1"/>
    <mergeCell ref="A2:B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7" tint="-0.249977111117893"/>
  </sheetPr>
  <dimension ref="A1:G21"/>
  <sheetViews>
    <sheetView zoomScale="70" zoomScaleNormal="70" workbookViewId="0">
      <selection sqref="A1:B2"/>
    </sheetView>
  </sheetViews>
  <sheetFormatPr baseColWidth="10" defaultRowHeight="16.5"/>
  <cols>
    <col min="1" max="3" width="11" style="14"/>
    <col min="4" max="4" width="17" style="14" customWidth="1"/>
    <col min="5" max="16384" width="11" style="14"/>
  </cols>
  <sheetData>
    <row r="1" spans="1:7">
      <c r="A1" s="669" t="s">
        <v>18</v>
      </c>
      <c r="B1" s="669"/>
    </row>
    <row r="2" spans="1:7">
      <c r="A2" s="670" t="s">
        <v>17</v>
      </c>
      <c r="B2" s="670"/>
    </row>
    <row r="10" spans="1:7">
      <c r="B10" s="79" t="s">
        <v>10</v>
      </c>
      <c r="C10" s="79" t="s">
        <v>10</v>
      </c>
      <c r="D10" s="79" t="s">
        <v>11</v>
      </c>
      <c r="F10" s="160" t="s">
        <v>13</v>
      </c>
      <c r="G10" s="160">
        <f ca="1">AVERAGE(B11:C20)</f>
        <v>107.15</v>
      </c>
    </row>
    <row r="11" spans="1:7" ht="33">
      <c r="A11" s="161" t="s">
        <v>0</v>
      </c>
      <c r="B11" s="162">
        <f ca="1">RANDBETWEEN(1,200)</f>
        <v>40</v>
      </c>
      <c r="C11" s="162">
        <f ca="1">RANDBETWEEN(1,200)</f>
        <v>35</v>
      </c>
      <c r="D11" s="212">
        <f ca="1">QUOTIENT(B11,C11)</f>
        <v>1</v>
      </c>
      <c r="F11" s="160" t="s">
        <v>14</v>
      </c>
      <c r="G11" s="160" t="e">
        <f ca="1">_xlfn.MODE.MULT(B11:B20,C11:C20)</f>
        <v>#N/A</v>
      </c>
    </row>
    <row r="12" spans="1:7" ht="33">
      <c r="A12" s="153" t="s">
        <v>1</v>
      </c>
      <c r="B12" s="162">
        <f ca="1">RANDBETWEEN(1,200)</f>
        <v>76</v>
      </c>
      <c r="C12" s="162">
        <f t="shared" ref="C12:C20" ca="1" si="0">RANDBETWEEN(1,200)</f>
        <v>143</v>
      </c>
      <c r="D12" s="212">
        <f t="shared" ref="D12:D20" ca="1" si="1">QUOTIENT(B12,C12)</f>
        <v>0</v>
      </c>
      <c r="F12" s="160" t="s">
        <v>15</v>
      </c>
      <c r="G12" s="160">
        <f ca="1">GEOMEAN(B11:C20)</f>
        <v>88.784904552431385</v>
      </c>
    </row>
    <row r="13" spans="1:7" ht="33">
      <c r="A13" s="153" t="s">
        <v>2</v>
      </c>
      <c r="B13" s="162">
        <f t="shared" ref="B13:B20" ca="1" si="2">RANDBETWEEN(1,200)</f>
        <v>140</v>
      </c>
      <c r="C13" s="162">
        <f t="shared" ca="1" si="0"/>
        <v>184</v>
      </c>
      <c r="D13" s="212">
        <f t="shared" ca="1" si="1"/>
        <v>0</v>
      </c>
    </row>
    <row r="14" spans="1:7" ht="33">
      <c r="A14" s="167" t="s">
        <v>3</v>
      </c>
      <c r="B14" s="162">
        <f t="shared" ca="1" si="2"/>
        <v>139</v>
      </c>
      <c r="C14" s="162">
        <f t="shared" ca="1" si="0"/>
        <v>94</v>
      </c>
      <c r="D14" s="212">
        <f t="shared" ca="1" si="1"/>
        <v>1</v>
      </c>
    </row>
    <row r="15" spans="1:7" ht="33">
      <c r="A15" s="167" t="s">
        <v>4</v>
      </c>
      <c r="B15" s="162">
        <f t="shared" ca="1" si="2"/>
        <v>23</v>
      </c>
      <c r="C15" s="162">
        <f t="shared" ca="1" si="0"/>
        <v>72</v>
      </c>
      <c r="D15" s="212">
        <f t="shared" ca="1" si="1"/>
        <v>0</v>
      </c>
    </row>
    <row r="16" spans="1:7" ht="33">
      <c r="A16" s="153" t="s">
        <v>5</v>
      </c>
      <c r="B16" s="162">
        <f t="shared" ca="1" si="2"/>
        <v>16</v>
      </c>
      <c r="C16" s="162">
        <f t="shared" ca="1" si="0"/>
        <v>192</v>
      </c>
      <c r="D16" s="212">
        <f t="shared" ca="1" si="1"/>
        <v>0</v>
      </c>
    </row>
    <row r="17" spans="1:4" ht="33">
      <c r="A17" s="153" t="s">
        <v>6</v>
      </c>
      <c r="B17" s="162">
        <f t="shared" ca="1" si="2"/>
        <v>136</v>
      </c>
      <c r="C17" s="162">
        <f t="shared" ca="1" si="0"/>
        <v>71</v>
      </c>
      <c r="D17" s="212">
        <f t="shared" ca="1" si="1"/>
        <v>1</v>
      </c>
    </row>
    <row r="18" spans="1:4" ht="33">
      <c r="A18" s="171" t="s">
        <v>7</v>
      </c>
      <c r="B18" s="162">
        <f t="shared" ca="1" si="2"/>
        <v>153</v>
      </c>
      <c r="C18" s="162">
        <f t="shared" ca="1" si="0"/>
        <v>147</v>
      </c>
      <c r="D18" s="212">
        <f t="shared" ca="1" si="1"/>
        <v>1</v>
      </c>
    </row>
    <row r="19" spans="1:4" ht="33">
      <c r="A19" s="171" t="s">
        <v>8</v>
      </c>
      <c r="B19" s="162">
        <f t="shared" ca="1" si="2"/>
        <v>160</v>
      </c>
      <c r="C19" s="162">
        <f t="shared" ca="1" si="0"/>
        <v>163</v>
      </c>
      <c r="D19" s="212">
        <f t="shared" ca="1" si="1"/>
        <v>0</v>
      </c>
    </row>
    <row r="20" spans="1:4" ht="33">
      <c r="A20" s="151" t="s">
        <v>9</v>
      </c>
      <c r="B20" s="162">
        <f t="shared" ca="1" si="2"/>
        <v>73</v>
      </c>
      <c r="C20" s="162">
        <f t="shared" ca="1" si="0"/>
        <v>86</v>
      </c>
      <c r="D20" s="212">
        <f t="shared" ca="1" si="1"/>
        <v>0</v>
      </c>
    </row>
    <row r="21" spans="1:4">
      <c r="A21" s="81"/>
      <c r="B21" s="81"/>
      <c r="C21" s="142" t="s">
        <v>12</v>
      </c>
      <c r="D21" s="142">
        <f ca="1">SUM(D11:D20)</f>
        <v>4</v>
      </c>
    </row>
  </sheetData>
  <mergeCells count="2">
    <mergeCell ref="A1:B1"/>
    <mergeCell ref="A2:B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8" tint="-0.499984740745262"/>
  </sheetPr>
  <dimension ref="A1:U21"/>
  <sheetViews>
    <sheetView zoomScale="70" zoomScaleNormal="70" workbookViewId="0">
      <selection activeCell="C6" sqref="C6"/>
    </sheetView>
  </sheetViews>
  <sheetFormatPr baseColWidth="10" defaultRowHeight="16.5"/>
  <cols>
    <col min="1" max="3" width="11" style="14"/>
    <col min="4" max="4" width="13.625" style="14" customWidth="1"/>
    <col min="5" max="16384" width="11" style="14"/>
  </cols>
  <sheetData>
    <row r="1" spans="1:17">
      <c r="A1" s="669" t="s">
        <v>18</v>
      </c>
      <c r="B1" s="669"/>
    </row>
    <row r="2" spans="1:17">
      <c r="A2" s="670" t="s">
        <v>17</v>
      </c>
      <c r="B2" s="670"/>
    </row>
    <row r="10" spans="1:17">
      <c r="B10" s="79" t="s">
        <v>10</v>
      </c>
      <c r="C10" s="79" t="s">
        <v>10</v>
      </c>
      <c r="D10" s="79" t="s">
        <v>11</v>
      </c>
      <c r="F10" s="160" t="s">
        <v>13</v>
      </c>
      <c r="G10" s="160">
        <f ca="1">AVERAGE(B11:C20)</f>
        <v>89.9</v>
      </c>
      <c r="H10" s="668" t="s">
        <v>16</v>
      </c>
    </row>
    <row r="11" spans="1:17" ht="33">
      <c r="A11" s="161" t="s">
        <v>0</v>
      </c>
      <c r="B11" s="162">
        <f t="shared" ref="B11:C20" ca="1" si="0">RANDBETWEEN(0,200)</f>
        <v>2</v>
      </c>
      <c r="C11" s="162">
        <f ca="1">RANDBETWEEN(0,200)</f>
        <v>80</v>
      </c>
      <c r="D11" s="163">
        <f ca="1">AVERAGE(B11:C11)</f>
        <v>41</v>
      </c>
      <c r="F11" s="160" t="s">
        <v>14</v>
      </c>
      <c r="G11" s="160">
        <f ca="1">_xlfn.MODE.MULT(B11:B20,C11:C20)</f>
        <v>2</v>
      </c>
      <c r="H11" s="668"/>
      <c r="I11" s="161" t="s">
        <v>0</v>
      </c>
      <c r="J11" s="162">
        <f t="shared" ref="J11:T20" ca="1" si="1">RANDBETWEEN(0,20)</f>
        <v>8</v>
      </c>
      <c r="K11" s="162">
        <f t="shared" ca="1" si="1"/>
        <v>7</v>
      </c>
      <c r="L11" s="164">
        <f ca="1">AVERAGE(J11:K11)</f>
        <v>7.5</v>
      </c>
    </row>
    <row r="12" spans="1:17" ht="33">
      <c r="A12" s="153" t="s">
        <v>1</v>
      </c>
      <c r="B12" s="79">
        <f t="shared" ca="1" si="0"/>
        <v>132</v>
      </c>
      <c r="C12" s="79">
        <f ca="1">RANDBETWEEN(0,200)</f>
        <v>18</v>
      </c>
      <c r="D12" s="165">
        <f t="shared" ref="D12:D20" ca="1" si="2">AVERAGE(B12:C12)</f>
        <v>75</v>
      </c>
      <c r="F12" s="160" t="s">
        <v>15</v>
      </c>
      <c r="G12" s="160">
        <f ca="1">GEOMEAN(B11:C20)</f>
        <v>55.125833972426761</v>
      </c>
      <c r="H12" s="668"/>
      <c r="I12" s="153" t="s">
        <v>1</v>
      </c>
      <c r="J12" s="166">
        <f t="shared" ca="1" si="1"/>
        <v>6</v>
      </c>
      <c r="K12" s="166">
        <f t="shared" ca="1" si="1"/>
        <v>15</v>
      </c>
      <c r="L12" s="166">
        <f t="shared" ca="1" si="1"/>
        <v>19</v>
      </c>
      <c r="M12" s="164">
        <f ca="1">AVERAGE(J12:L12)</f>
        <v>13.333333333333334</v>
      </c>
    </row>
    <row r="13" spans="1:17" ht="33">
      <c r="A13" s="153" t="s">
        <v>2</v>
      </c>
      <c r="B13" s="79">
        <f t="shared" ca="1" si="0"/>
        <v>27</v>
      </c>
      <c r="C13" s="79">
        <f t="shared" ca="1" si="0"/>
        <v>158</v>
      </c>
      <c r="D13" s="165">
        <f t="shared" ca="1" si="2"/>
        <v>92.5</v>
      </c>
      <c r="H13" s="668"/>
      <c r="I13" s="153" t="s">
        <v>2</v>
      </c>
      <c r="J13" s="166">
        <f t="shared" ca="1" si="1"/>
        <v>14</v>
      </c>
      <c r="K13" s="166">
        <f t="shared" ca="1" si="1"/>
        <v>13</v>
      </c>
      <c r="L13" s="166">
        <f t="shared" ca="1" si="1"/>
        <v>7</v>
      </c>
      <c r="M13" s="166">
        <f t="shared" ca="1" si="1"/>
        <v>2</v>
      </c>
      <c r="N13" s="164">
        <f ca="1">AVERAGE(J13:M13)</f>
        <v>9</v>
      </c>
    </row>
    <row r="14" spans="1:17" ht="33">
      <c r="A14" s="167" t="s">
        <v>3</v>
      </c>
      <c r="B14" s="168">
        <f t="shared" ca="1" si="0"/>
        <v>159</v>
      </c>
      <c r="C14" s="168">
        <f t="shared" ca="1" si="0"/>
        <v>63</v>
      </c>
      <c r="D14" s="169">
        <f t="shared" ca="1" si="2"/>
        <v>111</v>
      </c>
      <c r="H14" s="668"/>
      <c r="I14" s="170" t="s">
        <v>3</v>
      </c>
      <c r="J14" s="160">
        <f t="shared" ca="1" si="1"/>
        <v>8</v>
      </c>
      <c r="K14" s="160">
        <f t="shared" ca="1" si="1"/>
        <v>19</v>
      </c>
      <c r="L14" s="160">
        <f t="shared" ca="1" si="1"/>
        <v>18</v>
      </c>
      <c r="M14" s="160">
        <f t="shared" ca="1" si="1"/>
        <v>12</v>
      </c>
      <c r="N14" s="160">
        <f t="shared" ca="1" si="1"/>
        <v>8</v>
      </c>
      <c r="O14" s="164">
        <f ca="1">AVERAGE(J14:N14)</f>
        <v>13</v>
      </c>
    </row>
    <row r="15" spans="1:17" ht="33">
      <c r="A15" s="167" t="s">
        <v>4</v>
      </c>
      <c r="B15" s="168">
        <f t="shared" ca="1" si="0"/>
        <v>163</v>
      </c>
      <c r="C15" s="168">
        <f t="shared" ca="1" si="0"/>
        <v>29</v>
      </c>
      <c r="D15" s="169">
        <f t="shared" ca="1" si="2"/>
        <v>96</v>
      </c>
      <c r="H15" s="668"/>
      <c r="I15" s="170" t="s">
        <v>4</v>
      </c>
      <c r="J15" s="160">
        <f t="shared" ca="1" si="1"/>
        <v>6</v>
      </c>
      <c r="K15" s="160">
        <f t="shared" ca="1" si="1"/>
        <v>4</v>
      </c>
      <c r="L15" s="160">
        <f t="shared" ca="1" si="1"/>
        <v>10</v>
      </c>
      <c r="M15" s="160">
        <f t="shared" ca="1" si="1"/>
        <v>19</v>
      </c>
      <c r="N15" s="160">
        <f t="shared" ca="1" si="1"/>
        <v>7</v>
      </c>
      <c r="O15" s="160">
        <f t="shared" ca="1" si="1"/>
        <v>15</v>
      </c>
      <c r="P15" s="164">
        <f ca="1">AVERAGE(J15:O15)</f>
        <v>10.166666666666666</v>
      </c>
    </row>
    <row r="16" spans="1:17" ht="33">
      <c r="A16" s="153" t="s">
        <v>5</v>
      </c>
      <c r="B16" s="79">
        <f t="shared" ca="1" si="0"/>
        <v>133</v>
      </c>
      <c r="C16" s="79">
        <f t="shared" ca="1" si="0"/>
        <v>20</v>
      </c>
      <c r="D16" s="165">
        <f t="shared" ca="1" si="2"/>
        <v>76.5</v>
      </c>
      <c r="H16" s="668"/>
      <c r="I16" s="153" t="s">
        <v>5</v>
      </c>
      <c r="J16" s="166">
        <f t="shared" ca="1" si="1"/>
        <v>16</v>
      </c>
      <c r="K16" s="166">
        <f t="shared" ca="1" si="1"/>
        <v>11</v>
      </c>
      <c r="L16" s="166">
        <f t="shared" ca="1" si="1"/>
        <v>15</v>
      </c>
      <c r="M16" s="166">
        <f t="shared" ca="1" si="1"/>
        <v>15</v>
      </c>
      <c r="N16" s="166">
        <f t="shared" ca="1" si="1"/>
        <v>15</v>
      </c>
      <c r="O16" s="166">
        <f t="shared" ca="1" si="1"/>
        <v>9</v>
      </c>
      <c r="P16" s="166">
        <f t="shared" ca="1" si="1"/>
        <v>18</v>
      </c>
      <c r="Q16" s="164">
        <f ca="1">AVERAGE(J16:P16)</f>
        <v>14.142857142857142</v>
      </c>
    </row>
    <row r="17" spans="1:21" ht="33">
      <c r="A17" s="153" t="s">
        <v>6</v>
      </c>
      <c r="B17" s="79">
        <f t="shared" ca="1" si="0"/>
        <v>175</v>
      </c>
      <c r="C17" s="79">
        <f ca="1">RANDBETWEEN(0,200)</f>
        <v>161</v>
      </c>
      <c r="D17" s="165">
        <f t="shared" ca="1" si="2"/>
        <v>168</v>
      </c>
      <c r="H17" s="668"/>
      <c r="I17" s="153" t="s">
        <v>6</v>
      </c>
      <c r="J17" s="166">
        <f t="shared" ca="1" si="1"/>
        <v>2</v>
      </c>
      <c r="K17" s="166">
        <f t="shared" ca="1" si="1"/>
        <v>6</v>
      </c>
      <c r="L17" s="166">
        <f t="shared" ca="1" si="1"/>
        <v>15</v>
      </c>
      <c r="M17" s="166">
        <f t="shared" ca="1" si="1"/>
        <v>19</v>
      </c>
      <c r="N17" s="166">
        <f t="shared" ca="1" si="1"/>
        <v>19</v>
      </c>
      <c r="O17" s="166">
        <f t="shared" ca="1" si="1"/>
        <v>14</v>
      </c>
      <c r="P17" s="166">
        <f t="shared" ca="1" si="1"/>
        <v>17</v>
      </c>
      <c r="Q17" s="166">
        <f t="shared" ca="1" si="1"/>
        <v>14</v>
      </c>
      <c r="R17" s="164">
        <f ca="1">AVERAGE(J17:Q17)</f>
        <v>13.25</v>
      </c>
    </row>
    <row r="18" spans="1:21" ht="33">
      <c r="A18" s="171" t="s">
        <v>7</v>
      </c>
      <c r="B18" s="172">
        <f t="shared" ca="1" si="0"/>
        <v>122</v>
      </c>
      <c r="C18" s="172">
        <f t="shared" ca="1" si="0"/>
        <v>114</v>
      </c>
      <c r="D18" s="169">
        <f t="shared" ca="1" si="2"/>
        <v>118</v>
      </c>
      <c r="H18" s="668"/>
      <c r="I18" s="171" t="s">
        <v>7</v>
      </c>
      <c r="J18" s="173">
        <f t="shared" ca="1" si="1"/>
        <v>20</v>
      </c>
      <c r="K18" s="173">
        <f t="shared" ca="1" si="1"/>
        <v>17</v>
      </c>
      <c r="L18" s="173">
        <f t="shared" ca="1" si="1"/>
        <v>20</v>
      </c>
      <c r="M18" s="173">
        <f t="shared" ca="1" si="1"/>
        <v>11</v>
      </c>
      <c r="N18" s="173">
        <f t="shared" ca="1" si="1"/>
        <v>4</v>
      </c>
      <c r="O18" s="173">
        <f t="shared" ca="1" si="1"/>
        <v>19</v>
      </c>
      <c r="P18" s="173">
        <f t="shared" ca="1" si="1"/>
        <v>17</v>
      </c>
      <c r="Q18" s="173">
        <f t="shared" ca="1" si="1"/>
        <v>3</v>
      </c>
      <c r="R18" s="173">
        <f t="shared" ca="1" si="1"/>
        <v>4</v>
      </c>
      <c r="S18" s="164">
        <f ca="1">AVERAGE(J18:R18)</f>
        <v>12.777777777777779</v>
      </c>
    </row>
    <row r="19" spans="1:21" ht="33">
      <c r="A19" s="171" t="s">
        <v>8</v>
      </c>
      <c r="B19" s="172">
        <f t="shared" ca="1" si="0"/>
        <v>114</v>
      </c>
      <c r="C19" s="172">
        <f t="shared" ca="1" si="0"/>
        <v>2</v>
      </c>
      <c r="D19" s="169">
        <f t="shared" ca="1" si="2"/>
        <v>58</v>
      </c>
      <c r="H19" s="668"/>
      <c r="I19" s="171" t="s">
        <v>8</v>
      </c>
      <c r="J19" s="173">
        <f t="shared" ca="1" si="1"/>
        <v>14</v>
      </c>
      <c r="K19" s="173">
        <f t="shared" ca="1" si="1"/>
        <v>4</v>
      </c>
      <c r="L19" s="173">
        <f t="shared" ca="1" si="1"/>
        <v>19</v>
      </c>
      <c r="M19" s="173">
        <f t="shared" ca="1" si="1"/>
        <v>14</v>
      </c>
      <c r="N19" s="173">
        <f t="shared" ca="1" si="1"/>
        <v>15</v>
      </c>
      <c r="O19" s="173">
        <f t="shared" ca="1" si="1"/>
        <v>19</v>
      </c>
      <c r="P19" s="173">
        <f t="shared" ca="1" si="1"/>
        <v>6</v>
      </c>
      <c r="Q19" s="173">
        <f t="shared" ca="1" si="1"/>
        <v>17</v>
      </c>
      <c r="R19" s="173">
        <f t="shared" ca="1" si="1"/>
        <v>14</v>
      </c>
      <c r="S19" s="173">
        <f t="shared" ca="1" si="1"/>
        <v>5</v>
      </c>
      <c r="T19" s="164">
        <f ca="1">AVERAGE(J19:S19)</f>
        <v>12.7</v>
      </c>
    </row>
    <row r="20" spans="1:21" ht="33">
      <c r="A20" s="151" t="s">
        <v>9</v>
      </c>
      <c r="B20" s="142">
        <f t="shared" ca="1" si="0"/>
        <v>80</v>
      </c>
      <c r="C20" s="142">
        <f t="shared" ca="1" si="0"/>
        <v>46</v>
      </c>
      <c r="D20" s="142">
        <f t="shared" ca="1" si="2"/>
        <v>63</v>
      </c>
      <c r="H20" s="668"/>
      <c r="I20" s="151" t="s">
        <v>9</v>
      </c>
      <c r="J20" s="142">
        <f ca="1">RANDBETWEEN(0,20)</f>
        <v>18</v>
      </c>
      <c r="K20" s="142">
        <f t="shared" ca="1" si="1"/>
        <v>10</v>
      </c>
      <c r="L20" s="142">
        <f t="shared" ca="1" si="1"/>
        <v>10</v>
      </c>
      <c r="M20" s="142">
        <f t="shared" ca="1" si="1"/>
        <v>5</v>
      </c>
      <c r="N20" s="142">
        <f t="shared" ca="1" si="1"/>
        <v>8</v>
      </c>
      <c r="O20" s="142">
        <f t="shared" ca="1" si="1"/>
        <v>8</v>
      </c>
      <c r="P20" s="142">
        <f t="shared" ca="1" si="1"/>
        <v>5</v>
      </c>
      <c r="Q20" s="142">
        <f t="shared" ca="1" si="1"/>
        <v>7</v>
      </c>
      <c r="R20" s="142">
        <f t="shared" ca="1" si="1"/>
        <v>18</v>
      </c>
      <c r="S20" s="142">
        <f t="shared" ca="1" si="1"/>
        <v>5</v>
      </c>
      <c r="T20" s="142">
        <f t="shared" ca="1" si="1"/>
        <v>4</v>
      </c>
      <c r="U20" s="164">
        <f ca="1">AVERAGE(J20:T20)</f>
        <v>8.9090909090909083</v>
      </c>
    </row>
    <row r="21" spans="1:21">
      <c r="A21" s="81"/>
      <c r="B21" s="81"/>
      <c r="C21" s="142" t="s">
        <v>12</v>
      </c>
      <c r="D21" s="142">
        <f ca="1">SUM(D11:D20)</f>
        <v>899</v>
      </c>
      <c r="H21" s="668"/>
    </row>
  </sheetData>
  <mergeCells count="3">
    <mergeCell ref="A1:B1"/>
    <mergeCell ref="A2:B2"/>
    <mergeCell ref="H10:H2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-0.249977111117893"/>
  </sheetPr>
  <dimension ref="A1:L21"/>
  <sheetViews>
    <sheetView zoomScale="85" zoomScaleNormal="85" workbookViewId="0">
      <selection activeCell="A20" sqref="A20:B21"/>
    </sheetView>
  </sheetViews>
  <sheetFormatPr baseColWidth="10" defaultRowHeight="16.5"/>
  <cols>
    <col min="1" max="1" width="28" style="14" customWidth="1"/>
    <col min="2" max="2" width="29.875" style="14" customWidth="1"/>
    <col min="3" max="3" width="23.25" style="14" customWidth="1"/>
    <col min="4" max="4" width="11" style="14"/>
    <col min="5" max="5" width="14.5" style="14" customWidth="1"/>
    <col min="6" max="6" width="16.25" style="14" customWidth="1"/>
    <col min="7" max="7" width="11" style="14"/>
    <col min="8" max="8" width="11.875" style="14" bestFit="1" customWidth="1"/>
    <col min="9" max="9" width="12.875" style="14" customWidth="1"/>
    <col min="10" max="10" width="24.25" style="14" customWidth="1"/>
    <col min="11" max="11" width="25.375" style="14" customWidth="1"/>
    <col min="12" max="16384" width="11" style="14"/>
  </cols>
  <sheetData>
    <row r="1" spans="1:12">
      <c r="A1" s="174" t="s">
        <v>28</v>
      </c>
      <c r="B1" s="174" t="s">
        <v>30</v>
      </c>
      <c r="C1" s="174" t="s">
        <v>31</v>
      </c>
      <c r="D1" s="174" t="s">
        <v>32</v>
      </c>
      <c r="E1" s="174" t="s">
        <v>33</v>
      </c>
      <c r="F1" s="174" t="s">
        <v>48</v>
      </c>
      <c r="G1" s="174" t="s">
        <v>34</v>
      </c>
      <c r="H1" s="174" t="s">
        <v>35</v>
      </c>
      <c r="I1" s="174" t="s">
        <v>36</v>
      </c>
      <c r="J1" s="174" t="s">
        <v>51</v>
      </c>
      <c r="K1" s="175" t="s">
        <v>349</v>
      </c>
      <c r="L1" s="176"/>
    </row>
    <row r="2" spans="1:12">
      <c r="A2" s="177">
        <v>1</v>
      </c>
      <c r="B2" s="177" t="s">
        <v>39</v>
      </c>
      <c r="C2" s="178">
        <v>1986262430</v>
      </c>
      <c r="D2" s="178">
        <v>29</v>
      </c>
      <c r="E2" s="178">
        <v>83</v>
      </c>
      <c r="F2" s="178">
        <v>164</v>
      </c>
      <c r="G2" s="178">
        <v>3</v>
      </c>
      <c r="H2" s="179">
        <f>IF(G2=2,(($B$18)*0.04),IF(G2=3,($B$19*0.04),IF(G2=1,($B$17*0.04))))</f>
        <v>35600</v>
      </c>
      <c r="I2" s="179">
        <f>IF(G2=1,(($B$17*0.04)),IF(G2=2,($B$18*0.04),IF(G2=3,($B$19*0.04),"n/a")))</f>
        <v>35600</v>
      </c>
      <c r="J2" s="180">
        <f t="shared" ref="J2:J10" si="0">H2+I2</f>
        <v>71200</v>
      </c>
      <c r="K2" s="181">
        <v>818800</v>
      </c>
    </row>
    <row r="3" spans="1:12">
      <c r="A3" s="177">
        <v>2</v>
      </c>
      <c r="B3" s="177" t="s">
        <v>40</v>
      </c>
      <c r="C3" s="178">
        <v>1575848757</v>
      </c>
      <c r="D3" s="178">
        <v>23</v>
      </c>
      <c r="E3" s="178">
        <v>56</v>
      </c>
      <c r="F3" s="178">
        <v>180</v>
      </c>
      <c r="G3" s="178">
        <v>2</v>
      </c>
      <c r="H3" s="179">
        <f t="shared" ref="H3:H10" si="1">IF(G3=2,(($B$18)*0.04),IF(G3=3,($B$19*0.04),IF(G3=1,($B$17*0.04))))</f>
        <v>58000</v>
      </c>
      <c r="I3" s="179">
        <f t="shared" ref="I3:I10" si="2">IF(G3=1,(($B$17*0.04)),IF(G3=2,($B$18*0.04),IF(G3=3,($B$19*0.04),"n/a")))</f>
        <v>58000</v>
      </c>
      <c r="J3" s="180">
        <f t="shared" si="0"/>
        <v>116000</v>
      </c>
      <c r="K3" s="181">
        <v>1334000</v>
      </c>
    </row>
    <row r="4" spans="1:12">
      <c r="A4" s="177">
        <v>3</v>
      </c>
      <c r="B4" s="177" t="s">
        <v>41</v>
      </c>
      <c r="C4" s="178">
        <v>1953620784</v>
      </c>
      <c r="D4" s="178">
        <v>24</v>
      </c>
      <c r="E4" s="178">
        <v>65</v>
      </c>
      <c r="F4" s="178">
        <v>150</v>
      </c>
      <c r="G4" s="178">
        <v>3</v>
      </c>
      <c r="H4" s="179">
        <f t="shared" si="1"/>
        <v>35600</v>
      </c>
      <c r="I4" s="179">
        <f t="shared" si="2"/>
        <v>35600</v>
      </c>
      <c r="J4" s="180">
        <f t="shared" si="0"/>
        <v>71200</v>
      </c>
      <c r="K4" s="181">
        <v>818800</v>
      </c>
    </row>
    <row r="5" spans="1:12">
      <c r="A5" s="182">
        <v>4</v>
      </c>
      <c r="B5" s="183" t="s">
        <v>42</v>
      </c>
      <c r="C5" s="184">
        <v>1947483664</v>
      </c>
      <c r="D5" s="184">
        <v>27</v>
      </c>
      <c r="E5" s="184">
        <v>64</v>
      </c>
      <c r="F5" s="184">
        <v>187</v>
      </c>
      <c r="G5" s="184">
        <v>2</v>
      </c>
      <c r="H5" s="179">
        <f t="shared" si="1"/>
        <v>58000</v>
      </c>
      <c r="I5" s="179">
        <f t="shared" si="2"/>
        <v>58000</v>
      </c>
      <c r="J5" s="180">
        <f t="shared" si="0"/>
        <v>116000</v>
      </c>
      <c r="K5" s="181">
        <v>1334000</v>
      </c>
    </row>
    <row r="6" spans="1:12">
      <c r="A6" s="182">
        <v>5</v>
      </c>
      <c r="B6" s="183" t="s">
        <v>43</v>
      </c>
      <c r="C6" s="184">
        <v>1797086257</v>
      </c>
      <c r="D6" s="184">
        <v>25</v>
      </c>
      <c r="E6" s="184">
        <v>71</v>
      </c>
      <c r="F6" s="184">
        <v>197</v>
      </c>
      <c r="G6" s="184">
        <v>3</v>
      </c>
      <c r="H6" s="179">
        <f t="shared" si="1"/>
        <v>35600</v>
      </c>
      <c r="I6" s="179">
        <f t="shared" si="2"/>
        <v>35600</v>
      </c>
      <c r="J6" s="180">
        <f t="shared" si="0"/>
        <v>71200</v>
      </c>
      <c r="K6" s="181">
        <v>818800</v>
      </c>
    </row>
    <row r="7" spans="1:12">
      <c r="A7" s="182">
        <v>6</v>
      </c>
      <c r="B7" s="183" t="s">
        <v>44</v>
      </c>
      <c r="C7" s="184">
        <v>1344099548</v>
      </c>
      <c r="D7" s="184">
        <v>21</v>
      </c>
      <c r="E7" s="184">
        <v>54</v>
      </c>
      <c r="F7" s="184">
        <v>181</v>
      </c>
      <c r="G7" s="184">
        <v>1</v>
      </c>
      <c r="H7" s="179">
        <f t="shared" si="1"/>
        <v>31289.68</v>
      </c>
      <c r="I7" s="179">
        <f t="shared" si="2"/>
        <v>31289.68</v>
      </c>
      <c r="J7" s="180">
        <f t="shared" si="0"/>
        <v>62579.360000000001</v>
      </c>
      <c r="K7" s="181">
        <v>719662.64</v>
      </c>
    </row>
    <row r="8" spans="1:12">
      <c r="A8" s="185">
        <v>7</v>
      </c>
      <c r="B8" s="185" t="s">
        <v>45</v>
      </c>
      <c r="C8" s="186">
        <v>1441633449</v>
      </c>
      <c r="D8" s="186">
        <v>20</v>
      </c>
      <c r="E8" s="186">
        <v>75</v>
      </c>
      <c r="F8" s="186">
        <v>184</v>
      </c>
      <c r="G8" s="186">
        <v>3</v>
      </c>
      <c r="H8" s="179">
        <f t="shared" si="1"/>
        <v>35600</v>
      </c>
      <c r="I8" s="179">
        <f t="shared" si="2"/>
        <v>35600</v>
      </c>
      <c r="J8" s="180">
        <f t="shared" si="0"/>
        <v>71200</v>
      </c>
      <c r="K8" s="181">
        <v>818800</v>
      </c>
    </row>
    <row r="9" spans="1:12">
      <c r="A9" s="185">
        <v>8</v>
      </c>
      <c r="B9" s="185" t="s">
        <v>46</v>
      </c>
      <c r="C9" s="186">
        <v>1743499850</v>
      </c>
      <c r="D9" s="186">
        <v>23</v>
      </c>
      <c r="E9" s="186">
        <v>75</v>
      </c>
      <c r="F9" s="186">
        <v>152</v>
      </c>
      <c r="G9" s="186">
        <v>1</v>
      </c>
      <c r="H9" s="179">
        <f t="shared" si="1"/>
        <v>31289.68</v>
      </c>
      <c r="I9" s="179">
        <f t="shared" si="2"/>
        <v>31289.68</v>
      </c>
      <c r="J9" s="180">
        <f t="shared" si="0"/>
        <v>62579.360000000001</v>
      </c>
      <c r="K9" s="181">
        <v>719662.64</v>
      </c>
    </row>
    <row r="10" spans="1:12">
      <c r="A10" s="185">
        <v>9</v>
      </c>
      <c r="B10" s="185" t="s">
        <v>47</v>
      </c>
      <c r="C10" s="186">
        <v>1263725009</v>
      </c>
      <c r="D10" s="186">
        <v>21</v>
      </c>
      <c r="E10" s="186">
        <v>83</v>
      </c>
      <c r="F10" s="186">
        <v>160</v>
      </c>
      <c r="G10" s="186">
        <v>1</v>
      </c>
      <c r="H10" s="179">
        <f t="shared" si="1"/>
        <v>31289.68</v>
      </c>
      <c r="I10" s="179">
        <f t="shared" si="2"/>
        <v>31289.68</v>
      </c>
      <c r="J10" s="180">
        <f t="shared" si="0"/>
        <v>62579.360000000001</v>
      </c>
      <c r="K10" s="181">
        <v>719662.64</v>
      </c>
    </row>
    <row r="12" spans="1:12">
      <c r="A12" s="79" t="s">
        <v>52</v>
      </c>
      <c r="B12" s="79">
        <f>COUNT(A2:A10)</f>
        <v>9</v>
      </c>
    </row>
    <row r="14" spans="1:12" ht="49.5">
      <c r="D14" s="187"/>
      <c r="E14" s="188" t="s">
        <v>55</v>
      </c>
    </row>
    <row r="15" spans="1:12">
      <c r="D15" s="187" t="s">
        <v>49</v>
      </c>
      <c r="E15" s="187" t="s">
        <v>54</v>
      </c>
      <c r="H15" s="189" t="s">
        <v>13</v>
      </c>
      <c r="I15" s="190"/>
    </row>
    <row r="16" spans="1:12">
      <c r="A16" s="191" t="s">
        <v>37</v>
      </c>
      <c r="B16" s="191" t="s">
        <v>38</v>
      </c>
      <c r="D16" s="187"/>
      <c r="E16" s="187"/>
      <c r="H16" s="192" t="s">
        <v>50</v>
      </c>
      <c r="I16" s="193">
        <f>SUM(F2:F10)/COUNT(F2:F10)</f>
        <v>172.77777777777777</v>
      </c>
    </row>
    <row r="17" spans="1:9">
      <c r="A17" s="194">
        <v>1</v>
      </c>
      <c r="B17" s="195">
        <v>782242</v>
      </c>
      <c r="D17" s="187" t="s">
        <v>53</v>
      </c>
      <c r="E17" s="196">
        <v>8806726</v>
      </c>
      <c r="H17" s="192" t="s">
        <v>33</v>
      </c>
      <c r="I17" s="193">
        <f>SUM(E2:E10)/COUNT(E2:E10)</f>
        <v>69.555555555555557</v>
      </c>
    </row>
    <row r="18" spans="1:9">
      <c r="A18" s="194">
        <v>2</v>
      </c>
      <c r="B18" s="195">
        <v>1450000</v>
      </c>
      <c r="H18" s="192" t="s">
        <v>32</v>
      </c>
      <c r="I18" s="193">
        <f>SUM(D2:D10)/COUNT(D2:D10)</f>
        <v>23.666666666666668</v>
      </c>
    </row>
    <row r="19" spans="1:9">
      <c r="A19" s="194">
        <v>3</v>
      </c>
      <c r="B19" s="195">
        <v>890000</v>
      </c>
      <c r="H19" s="197" t="s">
        <v>34</v>
      </c>
      <c r="I19" s="198">
        <f>E17/B12</f>
        <v>978525.11111111112</v>
      </c>
    </row>
    <row r="20" spans="1:9">
      <c r="A20" s="669" t="s">
        <v>18</v>
      </c>
      <c r="B20" s="669"/>
    </row>
    <row r="21" spans="1:9">
      <c r="A21" s="670" t="s">
        <v>17</v>
      </c>
      <c r="B21" s="670"/>
    </row>
  </sheetData>
  <mergeCells count="2">
    <mergeCell ref="A20:B20"/>
    <mergeCell ref="A21:B2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0.39997558519241921"/>
  </sheetPr>
  <dimension ref="A1:K19"/>
  <sheetViews>
    <sheetView topLeftCell="B1" workbookViewId="0">
      <selection activeCell="I24" sqref="I24"/>
    </sheetView>
  </sheetViews>
  <sheetFormatPr baseColWidth="10" defaultRowHeight="16.5"/>
  <cols>
    <col min="1" max="3" width="11" style="14"/>
    <col min="4" max="4" width="16.875" style="14" customWidth="1"/>
    <col min="5" max="5" width="11" style="14"/>
    <col min="6" max="6" width="16.875" style="14" customWidth="1"/>
    <col min="7" max="7" width="11" style="14"/>
    <col min="8" max="8" width="18" style="14" customWidth="1"/>
    <col min="9" max="9" width="14.5" style="14" customWidth="1"/>
    <col min="10" max="10" width="21.375" style="14" customWidth="1"/>
    <col min="11" max="11" width="24.375" style="14" customWidth="1"/>
    <col min="12" max="16384" width="11" style="14"/>
  </cols>
  <sheetData>
    <row r="1" spans="1:10">
      <c r="A1" s="199"/>
      <c r="B1" s="199"/>
      <c r="C1" s="671" t="s">
        <v>58</v>
      </c>
      <c r="D1" s="671"/>
      <c r="E1" s="671" t="s">
        <v>59</v>
      </c>
      <c r="F1" s="671"/>
      <c r="G1" s="671" t="s">
        <v>60</v>
      </c>
      <c r="H1" s="671"/>
      <c r="I1" s="671" t="s">
        <v>223</v>
      </c>
      <c r="J1" s="671"/>
    </row>
    <row r="2" spans="1:10">
      <c r="A2" s="200" t="s">
        <v>56</v>
      </c>
      <c r="B2" s="200" t="s">
        <v>57</v>
      </c>
      <c r="C2" s="200" t="s">
        <v>61</v>
      </c>
      <c r="D2" s="200" t="s">
        <v>62</v>
      </c>
      <c r="E2" s="200" t="s">
        <v>61</v>
      </c>
      <c r="F2" s="200" t="s">
        <v>62</v>
      </c>
      <c r="G2" s="200" t="s">
        <v>61</v>
      </c>
      <c r="H2" s="200" t="s">
        <v>62</v>
      </c>
      <c r="I2" s="200" t="s">
        <v>63</v>
      </c>
      <c r="J2" s="200" t="s">
        <v>64</v>
      </c>
    </row>
    <row r="3" spans="1:10">
      <c r="A3" s="201">
        <v>1619183</v>
      </c>
      <c r="B3" s="202" t="s">
        <v>65</v>
      </c>
      <c r="C3" s="201">
        <v>37</v>
      </c>
      <c r="D3" s="203" t="s">
        <v>79</v>
      </c>
      <c r="E3" s="201">
        <v>92</v>
      </c>
      <c r="F3" s="204" t="s">
        <v>80</v>
      </c>
      <c r="G3" s="201">
        <v>92</v>
      </c>
      <c r="H3" s="204" t="s">
        <v>80</v>
      </c>
      <c r="I3" s="205">
        <v>73.666666666666671</v>
      </c>
      <c r="J3" s="206" t="s">
        <v>81</v>
      </c>
    </row>
    <row r="4" spans="1:10">
      <c r="A4" s="201">
        <v>1606152</v>
      </c>
      <c r="B4" s="202" t="s">
        <v>66</v>
      </c>
      <c r="C4" s="201">
        <v>92</v>
      </c>
      <c r="D4" s="204" t="s">
        <v>80</v>
      </c>
      <c r="E4" s="201">
        <v>50</v>
      </c>
      <c r="F4" s="203" t="s">
        <v>79</v>
      </c>
      <c r="G4" s="201">
        <v>21</v>
      </c>
      <c r="H4" s="203" t="s">
        <v>79</v>
      </c>
      <c r="I4" s="205">
        <v>54.333333333333336</v>
      </c>
      <c r="J4" s="206" t="s">
        <v>81</v>
      </c>
    </row>
    <row r="5" spans="1:10">
      <c r="A5" s="201">
        <v>1637573</v>
      </c>
      <c r="B5" s="202" t="s">
        <v>67</v>
      </c>
      <c r="C5" s="201">
        <v>93</v>
      </c>
      <c r="D5" s="204" t="s">
        <v>80</v>
      </c>
      <c r="E5" s="201">
        <v>16</v>
      </c>
      <c r="F5" s="203" t="s">
        <v>79</v>
      </c>
      <c r="G5" s="201">
        <v>89</v>
      </c>
      <c r="H5" s="204" t="s">
        <v>80</v>
      </c>
      <c r="I5" s="205">
        <v>66</v>
      </c>
      <c r="J5" s="206" t="s">
        <v>81</v>
      </c>
    </row>
    <row r="6" spans="1:10">
      <c r="A6" s="201">
        <v>1617147</v>
      </c>
      <c r="B6" s="202" t="s">
        <v>68</v>
      </c>
      <c r="C6" s="201">
        <v>46</v>
      </c>
      <c r="D6" s="203" t="s">
        <v>79</v>
      </c>
      <c r="E6" s="201">
        <v>60</v>
      </c>
      <c r="F6" s="203" t="s">
        <v>79</v>
      </c>
      <c r="G6" s="201">
        <v>87</v>
      </c>
      <c r="H6" s="204" t="s">
        <v>80</v>
      </c>
      <c r="I6" s="205">
        <v>64.333333333333329</v>
      </c>
      <c r="J6" s="206" t="s">
        <v>81</v>
      </c>
    </row>
    <row r="7" spans="1:10">
      <c r="A7" s="201">
        <v>1639357</v>
      </c>
      <c r="B7" s="202" t="s">
        <v>69</v>
      </c>
      <c r="C7" s="201">
        <v>63</v>
      </c>
      <c r="D7" s="203" t="s">
        <v>79</v>
      </c>
      <c r="E7" s="201">
        <v>33</v>
      </c>
      <c r="F7" s="203" t="s">
        <v>79</v>
      </c>
      <c r="G7" s="201">
        <v>86</v>
      </c>
      <c r="H7" s="204" t="s">
        <v>80</v>
      </c>
      <c r="I7" s="205">
        <v>60.666666666666664</v>
      </c>
      <c r="J7" s="206" t="s">
        <v>81</v>
      </c>
    </row>
    <row r="8" spans="1:10">
      <c r="A8" s="201">
        <v>1642636</v>
      </c>
      <c r="B8" s="202" t="s">
        <v>70</v>
      </c>
      <c r="C8" s="201">
        <v>100</v>
      </c>
      <c r="D8" s="204" t="s">
        <v>80</v>
      </c>
      <c r="E8" s="201">
        <v>42</v>
      </c>
      <c r="F8" s="203" t="s">
        <v>79</v>
      </c>
      <c r="G8" s="201">
        <v>93</v>
      </c>
      <c r="H8" s="204" t="s">
        <v>80</v>
      </c>
      <c r="I8" s="205">
        <v>78.333333333333329</v>
      </c>
      <c r="J8" s="206" t="s">
        <v>81</v>
      </c>
    </row>
    <row r="9" spans="1:10">
      <c r="A9" s="201">
        <v>1621563</v>
      </c>
      <c r="B9" s="202" t="s">
        <v>71</v>
      </c>
      <c r="C9" s="201">
        <v>68</v>
      </c>
      <c r="D9" s="203" t="s">
        <v>79</v>
      </c>
      <c r="E9" s="201">
        <v>33</v>
      </c>
      <c r="F9" s="203" t="s">
        <v>79</v>
      </c>
      <c r="G9" s="201">
        <v>100</v>
      </c>
      <c r="H9" s="204" t="s">
        <v>80</v>
      </c>
      <c r="I9" s="205">
        <v>67</v>
      </c>
      <c r="J9" s="206" t="s">
        <v>81</v>
      </c>
    </row>
    <row r="10" spans="1:10">
      <c r="A10" s="201">
        <v>1665196</v>
      </c>
      <c r="B10" s="202" t="s">
        <v>72</v>
      </c>
      <c r="C10" s="201">
        <v>18</v>
      </c>
      <c r="D10" s="203" t="s">
        <v>79</v>
      </c>
      <c r="E10" s="201">
        <v>78</v>
      </c>
      <c r="F10" s="204" t="s">
        <v>80</v>
      </c>
      <c r="G10" s="201">
        <v>46</v>
      </c>
      <c r="H10" s="203" t="s">
        <v>79</v>
      </c>
      <c r="I10" s="205">
        <v>47.333333333333336</v>
      </c>
      <c r="J10" s="206" t="s">
        <v>81</v>
      </c>
    </row>
    <row r="11" spans="1:10">
      <c r="A11" s="201">
        <v>1612507</v>
      </c>
      <c r="B11" s="202" t="s">
        <v>73</v>
      </c>
      <c r="C11" s="201">
        <v>79</v>
      </c>
      <c r="D11" s="204" t="s">
        <v>80</v>
      </c>
      <c r="E11" s="201">
        <v>75</v>
      </c>
      <c r="F11" s="204" t="s">
        <v>80</v>
      </c>
      <c r="G11" s="201">
        <v>67</v>
      </c>
      <c r="H11" s="203" t="s">
        <v>79</v>
      </c>
      <c r="I11" s="205">
        <v>73.666666666666671</v>
      </c>
      <c r="J11" s="206" t="s">
        <v>81</v>
      </c>
    </row>
    <row r="12" spans="1:10">
      <c r="A12" s="201">
        <v>1611047</v>
      </c>
      <c r="B12" s="202" t="s">
        <v>74</v>
      </c>
      <c r="C12" s="201">
        <v>57</v>
      </c>
      <c r="D12" s="203" t="s">
        <v>79</v>
      </c>
      <c r="E12" s="201">
        <v>58</v>
      </c>
      <c r="F12" s="203" t="s">
        <v>79</v>
      </c>
      <c r="G12" s="201">
        <v>71</v>
      </c>
      <c r="H12" s="203" t="s">
        <v>79</v>
      </c>
      <c r="I12" s="205">
        <v>62</v>
      </c>
      <c r="J12" s="206" t="s">
        <v>81</v>
      </c>
    </row>
    <row r="13" spans="1:10">
      <c r="A13" s="201">
        <v>1671282</v>
      </c>
      <c r="B13" s="202" t="s">
        <v>75</v>
      </c>
      <c r="C13" s="201">
        <v>69</v>
      </c>
      <c r="D13" s="203" t="s">
        <v>79</v>
      </c>
      <c r="E13" s="201">
        <v>26</v>
      </c>
      <c r="F13" s="203" t="s">
        <v>79</v>
      </c>
      <c r="G13" s="201">
        <v>40</v>
      </c>
      <c r="H13" s="203" t="s">
        <v>79</v>
      </c>
      <c r="I13" s="205">
        <v>45</v>
      </c>
      <c r="J13" s="206" t="s">
        <v>81</v>
      </c>
    </row>
    <row r="14" spans="1:10">
      <c r="A14" s="201">
        <v>1637024</v>
      </c>
      <c r="B14" s="202" t="s">
        <v>76</v>
      </c>
      <c r="C14" s="201">
        <v>63</v>
      </c>
      <c r="D14" s="203" t="s">
        <v>79</v>
      </c>
      <c r="E14" s="201">
        <v>94</v>
      </c>
      <c r="F14" s="204" t="s">
        <v>80</v>
      </c>
      <c r="G14" s="201">
        <v>21</v>
      </c>
      <c r="H14" s="203" t="s">
        <v>79</v>
      </c>
      <c r="I14" s="205">
        <v>59.333333333333336</v>
      </c>
      <c r="J14" s="206" t="s">
        <v>81</v>
      </c>
    </row>
    <row r="15" spans="1:10">
      <c r="A15" s="201">
        <v>1638612</v>
      </c>
      <c r="B15" s="202" t="s">
        <v>77</v>
      </c>
      <c r="C15" s="201">
        <v>28</v>
      </c>
      <c r="D15" s="203" t="s">
        <v>79</v>
      </c>
      <c r="E15" s="201">
        <v>91</v>
      </c>
      <c r="F15" s="204" t="s">
        <v>80</v>
      </c>
      <c r="G15" s="201">
        <v>36</v>
      </c>
      <c r="H15" s="203" t="s">
        <v>79</v>
      </c>
      <c r="I15" s="205">
        <v>51.666666666666664</v>
      </c>
      <c r="J15" s="206" t="s">
        <v>81</v>
      </c>
    </row>
    <row r="16" spans="1:10">
      <c r="A16" s="201">
        <v>1654147</v>
      </c>
      <c r="B16" s="202" t="s">
        <v>78</v>
      </c>
      <c r="C16" s="201">
        <v>34</v>
      </c>
      <c r="D16" s="203" t="s">
        <v>79</v>
      </c>
      <c r="E16" s="201">
        <v>17</v>
      </c>
      <c r="F16" s="203" t="s">
        <v>79</v>
      </c>
      <c r="G16" s="201">
        <v>52</v>
      </c>
      <c r="H16" s="203" t="s">
        <v>79</v>
      </c>
      <c r="I16" s="205">
        <v>34.333333333333336</v>
      </c>
      <c r="J16" s="206" t="s">
        <v>81</v>
      </c>
    </row>
    <row r="17" spans="2:11">
      <c r="J17" s="207"/>
      <c r="K17" s="14">
        <f>SUMIFS(C3:C16,D3:D16,"NO APROBADO",J3:J16,"NO BECA")</f>
        <v>483</v>
      </c>
    </row>
    <row r="18" spans="2:11">
      <c r="B18" s="669" t="s">
        <v>18</v>
      </c>
      <c r="C18" s="669"/>
    </row>
    <row r="19" spans="2:11">
      <c r="B19" s="670" t="s">
        <v>17</v>
      </c>
      <c r="C19" s="670"/>
      <c r="F19" s="672" t="s">
        <v>1031</v>
      </c>
      <c r="G19" s="672"/>
      <c r="H19" s="672"/>
    </row>
  </sheetData>
  <mergeCells count="7">
    <mergeCell ref="B19:C19"/>
    <mergeCell ref="C1:D1"/>
    <mergeCell ref="E1:F1"/>
    <mergeCell ref="G1:H1"/>
    <mergeCell ref="I1:J1"/>
    <mergeCell ref="B18:C18"/>
    <mergeCell ref="F19:H1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2:K47"/>
  <sheetViews>
    <sheetView zoomScaleNormal="100" workbookViewId="0">
      <selection activeCell="J12" sqref="J12"/>
    </sheetView>
  </sheetViews>
  <sheetFormatPr baseColWidth="10" defaultRowHeight="16.5"/>
  <cols>
    <col min="1" max="1" width="19.5" style="14" customWidth="1"/>
    <col min="2" max="10" width="11" style="14"/>
    <col min="11" max="11" width="22.625" style="14" customWidth="1"/>
    <col min="12" max="16384" width="11" style="14"/>
  </cols>
  <sheetData>
    <row r="2" spans="1:11">
      <c r="A2" s="139" t="s">
        <v>840</v>
      </c>
      <c r="B2" s="679" t="s">
        <v>839</v>
      </c>
      <c r="C2" s="679"/>
      <c r="D2" s="679"/>
      <c r="E2" s="679"/>
      <c r="F2" s="679"/>
      <c r="G2" s="679"/>
      <c r="H2" s="679"/>
      <c r="I2" s="679"/>
    </row>
    <row r="3" spans="1:11">
      <c r="A3" s="140"/>
      <c r="B3" s="140" t="s">
        <v>209</v>
      </c>
      <c r="C3" s="140" t="s">
        <v>86</v>
      </c>
      <c r="D3" s="140" t="s">
        <v>87</v>
      </c>
      <c r="E3" s="140" t="s">
        <v>153</v>
      </c>
      <c r="F3" s="140" t="s">
        <v>154</v>
      </c>
      <c r="G3" s="140" t="s">
        <v>89</v>
      </c>
      <c r="H3" s="140" t="s">
        <v>90</v>
      </c>
      <c r="I3" s="140" t="s">
        <v>155</v>
      </c>
      <c r="J3" s="140" t="s">
        <v>54</v>
      </c>
      <c r="K3" s="140" t="s">
        <v>13</v>
      </c>
    </row>
    <row r="4" spans="1:11">
      <c r="A4" s="140" t="s">
        <v>838</v>
      </c>
      <c r="B4" s="141">
        <v>0</v>
      </c>
      <c r="C4" s="141">
        <v>0.84</v>
      </c>
      <c r="D4" s="141">
        <v>0.77</v>
      </c>
      <c r="E4" s="141">
        <v>0.86</v>
      </c>
      <c r="F4" s="141">
        <v>0.94</v>
      </c>
      <c r="G4" s="141">
        <v>0.12</v>
      </c>
      <c r="H4" s="141">
        <v>0.91</v>
      </c>
      <c r="I4" s="141">
        <v>0.16</v>
      </c>
      <c r="J4" s="142"/>
      <c r="K4" s="142"/>
    </row>
    <row r="5" spans="1:11">
      <c r="A5" s="140" t="s">
        <v>837</v>
      </c>
      <c r="B5" s="143">
        <v>300</v>
      </c>
      <c r="C5" s="143">
        <f t="shared" ref="C5:I5" si="0">B5*(1+C4)</f>
        <v>552</v>
      </c>
      <c r="D5" s="143">
        <f t="shared" si="0"/>
        <v>977.04</v>
      </c>
      <c r="E5" s="143">
        <f t="shared" si="0"/>
        <v>1817.2943999999998</v>
      </c>
      <c r="F5" s="143">
        <f t="shared" si="0"/>
        <v>3525.5511359999996</v>
      </c>
      <c r="G5" s="143">
        <f t="shared" si="0"/>
        <v>3948.6172723199998</v>
      </c>
      <c r="H5" s="143">
        <f t="shared" si="0"/>
        <v>7541.8589901311998</v>
      </c>
      <c r="I5" s="143">
        <f t="shared" si="0"/>
        <v>8748.5564285521905</v>
      </c>
      <c r="J5" s="144">
        <f>SUM(B5:I5)</f>
        <v>27410.918227003389</v>
      </c>
      <c r="K5" s="145">
        <f>SUM(B5:I5)/COUNT(B5:I5)</f>
        <v>3426.3647783754236</v>
      </c>
    </row>
    <row r="6" spans="1:11">
      <c r="A6" s="140" t="s">
        <v>836</v>
      </c>
      <c r="B6" s="140">
        <v>350</v>
      </c>
      <c r="C6" s="140">
        <v>150</v>
      </c>
      <c r="D6" s="140">
        <v>150</v>
      </c>
      <c r="E6" s="140">
        <v>150</v>
      </c>
      <c r="F6" s="140">
        <v>150</v>
      </c>
      <c r="G6" s="140">
        <v>150</v>
      </c>
      <c r="H6" s="140">
        <v>150</v>
      </c>
      <c r="I6" s="140">
        <v>150</v>
      </c>
      <c r="J6" s="144">
        <f>SUM(B6:I6)</f>
        <v>1400</v>
      </c>
      <c r="K6" s="142"/>
    </row>
    <row r="7" spans="1:11">
      <c r="A7" s="140" t="s">
        <v>835</v>
      </c>
      <c r="B7" s="143">
        <f t="shared" ref="B7:I7" si="1">(B5*0.4)</f>
        <v>120</v>
      </c>
      <c r="C7" s="143">
        <f t="shared" si="1"/>
        <v>220.8</v>
      </c>
      <c r="D7" s="143">
        <f t="shared" si="1"/>
        <v>390.81600000000003</v>
      </c>
      <c r="E7" s="143">
        <f t="shared" si="1"/>
        <v>726.91775999999993</v>
      </c>
      <c r="F7" s="143">
        <f t="shared" si="1"/>
        <v>1410.2204543999999</v>
      </c>
      <c r="G7" s="143">
        <f t="shared" si="1"/>
        <v>1579.4469089280001</v>
      </c>
      <c r="H7" s="143">
        <f t="shared" si="1"/>
        <v>3016.7435960524799</v>
      </c>
      <c r="I7" s="143">
        <f t="shared" si="1"/>
        <v>3499.4225714208765</v>
      </c>
      <c r="J7" s="144">
        <f>SUM(B7:I7)</f>
        <v>10964.367290801356</v>
      </c>
      <c r="K7" s="142"/>
    </row>
    <row r="8" spans="1:11">
      <c r="A8" s="140" t="s">
        <v>834</v>
      </c>
      <c r="B8" s="143">
        <f t="shared" ref="B8:I8" si="2">(B5-(B6+B7))</f>
        <v>-170</v>
      </c>
      <c r="C8" s="143">
        <f t="shared" si="2"/>
        <v>181.2</v>
      </c>
      <c r="D8" s="143">
        <f t="shared" si="2"/>
        <v>436.22399999999993</v>
      </c>
      <c r="E8" s="143">
        <f t="shared" si="2"/>
        <v>940.37663999999984</v>
      </c>
      <c r="F8" s="143">
        <f t="shared" si="2"/>
        <v>1965.3306815999997</v>
      </c>
      <c r="G8" s="143">
        <f t="shared" si="2"/>
        <v>2219.1703633919997</v>
      </c>
      <c r="H8" s="143">
        <f t="shared" si="2"/>
        <v>4375.1153940787199</v>
      </c>
      <c r="I8" s="143">
        <f t="shared" si="2"/>
        <v>5099.1338571313136</v>
      </c>
      <c r="J8" s="142"/>
      <c r="K8" s="142"/>
    </row>
    <row r="9" spans="1:11">
      <c r="A9" s="146"/>
      <c r="B9" s="146"/>
      <c r="C9" s="146"/>
      <c r="D9" s="146"/>
      <c r="E9" s="146"/>
      <c r="F9" s="146"/>
      <c r="G9" s="146"/>
      <c r="H9" s="146"/>
      <c r="I9" s="146"/>
    </row>
    <row r="10" spans="1:11">
      <c r="A10" s="147" t="s">
        <v>833</v>
      </c>
      <c r="B10" s="673" t="s">
        <v>832</v>
      </c>
      <c r="C10" s="673"/>
      <c r="D10" s="673"/>
      <c r="E10" s="673"/>
      <c r="F10" s="673"/>
      <c r="G10" s="673"/>
      <c r="H10" s="674"/>
      <c r="I10" s="669" t="s">
        <v>18</v>
      </c>
      <c r="J10" s="669"/>
    </row>
    <row r="11" spans="1:11">
      <c r="A11" s="148" t="s">
        <v>831</v>
      </c>
      <c r="B11" s="149"/>
      <c r="C11" s="149"/>
      <c r="D11" s="149" t="s">
        <v>412</v>
      </c>
      <c r="E11" s="680">
        <f ca="1">TODAY()</f>
        <v>43731</v>
      </c>
      <c r="F11" s="681"/>
      <c r="G11" s="681"/>
      <c r="H11" s="681"/>
      <c r="I11" s="670" t="s">
        <v>17</v>
      </c>
      <c r="J11" s="670"/>
    </row>
    <row r="12" spans="1:11" ht="33">
      <c r="A12" s="150" t="s">
        <v>830</v>
      </c>
      <c r="B12" s="151" t="s">
        <v>291</v>
      </c>
      <c r="C12" s="151" t="s">
        <v>829</v>
      </c>
      <c r="D12" s="151" t="s">
        <v>828</v>
      </c>
      <c r="E12" s="151" t="s">
        <v>827</v>
      </c>
      <c r="F12" s="151" t="s">
        <v>826</v>
      </c>
      <c r="G12" s="682" t="s">
        <v>825</v>
      </c>
      <c r="H12" s="682"/>
      <c r="I12" s="146"/>
    </row>
    <row r="13" spans="1:11">
      <c r="A13" s="38">
        <v>19</v>
      </c>
      <c r="B13" s="152">
        <v>4</v>
      </c>
      <c r="C13" s="152" t="s">
        <v>824</v>
      </c>
      <c r="D13" s="43">
        <v>27</v>
      </c>
      <c r="E13" s="43">
        <f t="shared" ref="E13:E21" si="3">D13*B13</f>
        <v>108</v>
      </c>
      <c r="F13" s="43">
        <f t="shared" ref="F13:F21" si="4">(E13*21/100)</f>
        <v>22.68</v>
      </c>
      <c r="G13" s="683">
        <f t="shared" ref="G13:G21" si="5">SUM(E13,F13)</f>
        <v>130.68</v>
      </c>
      <c r="H13" s="684"/>
      <c r="I13" s="146"/>
    </row>
    <row r="14" spans="1:11">
      <c r="A14" s="38">
        <v>32</v>
      </c>
      <c r="B14" s="152">
        <v>3</v>
      </c>
      <c r="C14" s="152" t="s">
        <v>823</v>
      </c>
      <c r="D14" s="43">
        <v>16</v>
      </c>
      <c r="E14" s="43">
        <f t="shared" si="3"/>
        <v>48</v>
      </c>
      <c r="F14" s="43">
        <f t="shared" si="4"/>
        <v>10.08</v>
      </c>
      <c r="G14" s="683">
        <f t="shared" si="5"/>
        <v>58.08</v>
      </c>
      <c r="H14" s="684"/>
      <c r="I14" s="146"/>
    </row>
    <row r="15" spans="1:11">
      <c r="A15" s="38">
        <v>41</v>
      </c>
      <c r="B15" s="152">
        <v>2</v>
      </c>
      <c r="C15" s="153" t="s">
        <v>822</v>
      </c>
      <c r="D15" s="43">
        <v>25</v>
      </c>
      <c r="E15" s="43">
        <f t="shared" si="3"/>
        <v>50</v>
      </c>
      <c r="F15" s="43">
        <f t="shared" si="4"/>
        <v>10.5</v>
      </c>
      <c r="G15" s="683">
        <f t="shared" si="5"/>
        <v>60.5</v>
      </c>
      <c r="H15" s="684"/>
    </row>
    <row r="16" spans="1:11">
      <c r="A16" s="38">
        <v>49</v>
      </c>
      <c r="B16" s="152">
        <v>2</v>
      </c>
      <c r="C16" s="153" t="s">
        <v>821</v>
      </c>
      <c r="D16" s="43">
        <v>13</v>
      </c>
      <c r="E16" s="43">
        <f t="shared" si="3"/>
        <v>26</v>
      </c>
      <c r="F16" s="43">
        <f t="shared" si="4"/>
        <v>5.46</v>
      </c>
      <c r="G16" s="683">
        <f t="shared" si="5"/>
        <v>31.46</v>
      </c>
      <c r="H16" s="684"/>
    </row>
    <row r="17" spans="1:8">
      <c r="A17" s="38">
        <v>70</v>
      </c>
      <c r="B17" s="152">
        <v>4</v>
      </c>
      <c r="C17" s="153" t="s">
        <v>820</v>
      </c>
      <c r="D17" s="43">
        <v>38</v>
      </c>
      <c r="E17" s="43">
        <f t="shared" si="3"/>
        <v>152</v>
      </c>
      <c r="F17" s="43">
        <f t="shared" si="4"/>
        <v>31.92</v>
      </c>
      <c r="G17" s="683">
        <f t="shared" si="5"/>
        <v>183.92000000000002</v>
      </c>
      <c r="H17" s="684"/>
    </row>
    <row r="18" spans="1:8">
      <c r="A18" s="38">
        <v>71</v>
      </c>
      <c r="B18" s="152">
        <v>1</v>
      </c>
      <c r="C18" s="153" t="s">
        <v>819</v>
      </c>
      <c r="D18" s="43">
        <v>12</v>
      </c>
      <c r="E18" s="43">
        <f t="shared" si="3"/>
        <v>12</v>
      </c>
      <c r="F18" s="43">
        <f t="shared" si="4"/>
        <v>2.52</v>
      </c>
      <c r="G18" s="683">
        <f t="shared" si="5"/>
        <v>14.52</v>
      </c>
      <c r="H18" s="684"/>
    </row>
    <row r="19" spans="1:8">
      <c r="A19" s="38">
        <v>79</v>
      </c>
      <c r="B19" s="152">
        <v>1</v>
      </c>
      <c r="C19" s="153" t="s">
        <v>818</v>
      </c>
      <c r="D19" s="43">
        <v>40</v>
      </c>
      <c r="E19" s="43">
        <f t="shared" si="3"/>
        <v>40</v>
      </c>
      <c r="F19" s="43">
        <f t="shared" si="4"/>
        <v>8.4</v>
      </c>
      <c r="G19" s="683">
        <f t="shared" si="5"/>
        <v>48.4</v>
      </c>
      <c r="H19" s="684"/>
    </row>
    <row r="20" spans="1:8">
      <c r="A20" s="38">
        <v>97</v>
      </c>
      <c r="B20" s="152">
        <v>5</v>
      </c>
      <c r="C20" s="153" t="s">
        <v>817</v>
      </c>
      <c r="D20" s="43">
        <v>23</v>
      </c>
      <c r="E20" s="43">
        <f t="shared" si="3"/>
        <v>115</v>
      </c>
      <c r="F20" s="43">
        <f t="shared" si="4"/>
        <v>24.15</v>
      </c>
      <c r="G20" s="683">
        <f t="shared" si="5"/>
        <v>139.15</v>
      </c>
      <c r="H20" s="684"/>
    </row>
    <row r="21" spans="1:8">
      <c r="A21" s="38">
        <v>95</v>
      </c>
      <c r="B21" s="152">
        <v>5</v>
      </c>
      <c r="C21" s="153" t="s">
        <v>816</v>
      </c>
      <c r="D21" s="43">
        <v>34</v>
      </c>
      <c r="E21" s="43">
        <f t="shared" si="3"/>
        <v>170</v>
      </c>
      <c r="F21" s="43">
        <f t="shared" si="4"/>
        <v>35.700000000000003</v>
      </c>
      <c r="G21" s="683">
        <f t="shared" si="5"/>
        <v>205.7</v>
      </c>
      <c r="H21" s="684"/>
    </row>
    <row r="22" spans="1:8">
      <c r="A22" s="79"/>
      <c r="B22" s="79"/>
      <c r="C22" s="79"/>
      <c r="D22" s="79"/>
      <c r="E22" s="79"/>
      <c r="F22" s="79"/>
      <c r="G22" s="677"/>
      <c r="H22" s="678"/>
    </row>
    <row r="23" spans="1:8">
      <c r="A23" s="79"/>
      <c r="B23" s="79"/>
      <c r="C23" s="79"/>
      <c r="D23" s="79"/>
      <c r="E23" s="79"/>
      <c r="F23" s="79"/>
      <c r="G23" s="677"/>
      <c r="H23" s="678"/>
    </row>
    <row r="24" spans="1:8">
      <c r="A24" s="686"/>
      <c r="B24" s="686"/>
      <c r="C24" s="686"/>
      <c r="D24" s="686"/>
      <c r="E24" s="686"/>
      <c r="F24" s="154" t="s">
        <v>815</v>
      </c>
      <c r="G24" s="155">
        <v>0.05</v>
      </c>
      <c r="H24" s="156">
        <f>(SUM(G13:H21)*0.05)</f>
        <v>43.620499999999993</v>
      </c>
    </row>
    <row r="25" spans="1:8">
      <c r="A25" s="686"/>
      <c r="B25" s="686"/>
      <c r="C25" s="686"/>
      <c r="D25" s="686"/>
      <c r="E25" s="686"/>
      <c r="F25" s="157" t="s">
        <v>814</v>
      </c>
      <c r="G25" s="675">
        <f>(SUM(G13:H21))</f>
        <v>872.40999999999985</v>
      </c>
      <c r="H25" s="676"/>
    </row>
    <row r="26" spans="1:8" ht="33">
      <c r="A26" s="686"/>
      <c r="B26" s="686"/>
      <c r="C26" s="686"/>
      <c r="D26" s="686"/>
      <c r="E26" s="686"/>
      <c r="F26" s="158" t="s">
        <v>813</v>
      </c>
      <c r="G26" s="685">
        <f>(SUM(G13:H21)-H24)</f>
        <v>828.78949999999986</v>
      </c>
      <c r="H26" s="685"/>
    </row>
    <row r="28" spans="1:8">
      <c r="A28" s="159" t="s">
        <v>812</v>
      </c>
      <c r="B28" s="687" t="s">
        <v>811</v>
      </c>
      <c r="C28" s="687"/>
      <c r="D28" s="687"/>
      <c r="E28" s="687"/>
      <c r="F28" s="687"/>
      <c r="G28" s="687"/>
      <c r="H28" s="687"/>
    </row>
    <row r="29" spans="1:8">
      <c r="A29" s="159"/>
      <c r="B29" s="159"/>
      <c r="C29" s="159"/>
      <c r="D29" s="159"/>
      <c r="E29" s="159"/>
      <c r="F29" s="159"/>
      <c r="G29" s="159"/>
      <c r="H29" s="159"/>
    </row>
    <row r="30" spans="1:8">
      <c r="A30" s="159"/>
      <c r="B30" s="159"/>
      <c r="C30" s="159"/>
      <c r="D30" s="159"/>
      <c r="E30" s="159"/>
      <c r="F30" s="159"/>
      <c r="G30" s="159"/>
      <c r="H30" s="159"/>
    </row>
    <row r="31" spans="1:8">
      <c r="A31" s="159"/>
      <c r="B31" s="159"/>
      <c r="C31" s="159"/>
      <c r="D31" s="159"/>
      <c r="E31" s="159"/>
      <c r="F31" s="159"/>
      <c r="G31" s="159"/>
      <c r="H31" s="159"/>
    </row>
    <row r="32" spans="1:8">
      <c r="A32" s="159"/>
      <c r="B32" s="159"/>
      <c r="C32" s="159"/>
      <c r="D32" s="159"/>
      <c r="E32" s="159"/>
      <c r="F32" s="159"/>
      <c r="G32" s="159"/>
      <c r="H32" s="159"/>
    </row>
    <row r="33" spans="1:8">
      <c r="A33" s="159"/>
      <c r="B33" s="159"/>
      <c r="C33" s="159"/>
      <c r="D33" s="159"/>
      <c r="E33" s="159"/>
      <c r="F33" s="159"/>
      <c r="G33" s="159"/>
      <c r="H33" s="159"/>
    </row>
    <row r="34" spans="1:8">
      <c r="A34" s="159"/>
      <c r="B34" s="159"/>
      <c r="C34" s="159"/>
      <c r="D34" s="159"/>
      <c r="E34" s="159"/>
      <c r="F34" s="159"/>
      <c r="G34" s="159"/>
      <c r="H34" s="159"/>
    </row>
    <row r="35" spans="1:8">
      <c r="A35" s="159"/>
      <c r="B35" s="159"/>
      <c r="C35" s="159"/>
      <c r="D35" s="159"/>
      <c r="E35" s="159"/>
      <c r="F35" s="159"/>
      <c r="G35" s="159"/>
      <c r="H35" s="159"/>
    </row>
    <row r="36" spans="1:8">
      <c r="A36" s="159"/>
      <c r="B36" s="159"/>
      <c r="C36" s="159"/>
      <c r="D36" s="159"/>
      <c r="E36" s="159"/>
      <c r="F36" s="159"/>
      <c r="G36" s="159"/>
      <c r="H36" s="159"/>
    </row>
    <row r="37" spans="1:8">
      <c r="A37" s="159"/>
      <c r="B37" s="159"/>
      <c r="C37" s="159"/>
      <c r="D37" s="159"/>
      <c r="E37" s="159"/>
      <c r="F37" s="159"/>
      <c r="G37" s="159"/>
      <c r="H37" s="159"/>
    </row>
    <row r="38" spans="1:8">
      <c r="A38" s="159"/>
      <c r="B38" s="159"/>
      <c r="C38" s="159"/>
      <c r="D38" s="159"/>
      <c r="E38" s="159"/>
      <c r="F38" s="159"/>
      <c r="G38" s="159"/>
      <c r="H38" s="159"/>
    </row>
    <row r="39" spans="1:8">
      <c r="A39" s="159"/>
      <c r="B39" s="159"/>
      <c r="C39" s="159"/>
      <c r="D39" s="159"/>
      <c r="E39" s="159"/>
      <c r="F39" s="159"/>
      <c r="G39" s="159"/>
      <c r="H39" s="159"/>
    </row>
    <row r="40" spans="1:8">
      <c r="A40" s="159"/>
      <c r="B40" s="159"/>
      <c r="C40" s="159"/>
      <c r="D40" s="159"/>
      <c r="E40" s="159"/>
      <c r="F40" s="159"/>
      <c r="G40" s="159"/>
      <c r="H40" s="159"/>
    </row>
    <row r="41" spans="1:8">
      <c r="A41" s="159"/>
      <c r="B41" s="159"/>
      <c r="C41" s="159"/>
      <c r="D41" s="159"/>
      <c r="E41" s="159"/>
      <c r="F41" s="159"/>
      <c r="G41" s="159"/>
      <c r="H41" s="159"/>
    </row>
    <row r="42" spans="1:8">
      <c r="A42" s="159"/>
      <c r="B42" s="159"/>
      <c r="C42" s="159"/>
      <c r="D42" s="159"/>
      <c r="E42" s="159"/>
      <c r="F42" s="159"/>
      <c r="G42" s="159"/>
      <c r="H42" s="159"/>
    </row>
    <row r="43" spans="1:8">
      <c r="A43" s="159"/>
      <c r="B43" s="159"/>
      <c r="C43" s="159"/>
      <c r="D43" s="159"/>
      <c r="E43" s="159"/>
      <c r="F43" s="159"/>
      <c r="G43" s="159"/>
      <c r="H43" s="159"/>
    </row>
    <row r="44" spans="1:8">
      <c r="A44" s="159"/>
      <c r="B44" s="159"/>
      <c r="C44" s="159"/>
      <c r="D44" s="159"/>
      <c r="E44" s="159"/>
      <c r="F44" s="159"/>
      <c r="G44" s="159"/>
      <c r="H44" s="159"/>
    </row>
    <row r="45" spans="1:8">
      <c r="A45" s="159"/>
      <c r="B45" s="159"/>
      <c r="C45" s="159"/>
      <c r="D45" s="159"/>
      <c r="E45" s="159"/>
      <c r="F45" s="159"/>
      <c r="G45" s="159"/>
      <c r="H45" s="159"/>
    </row>
    <row r="46" spans="1:8">
      <c r="A46" s="159"/>
      <c r="B46" s="159"/>
      <c r="C46" s="159"/>
      <c r="D46" s="159"/>
      <c r="E46" s="159"/>
      <c r="F46" s="159"/>
      <c r="G46" s="159"/>
      <c r="H46" s="159"/>
    </row>
    <row r="47" spans="1:8">
      <c r="A47" s="159"/>
      <c r="B47" s="159"/>
      <c r="C47" s="159"/>
      <c r="D47" s="159"/>
      <c r="E47" s="159"/>
      <c r="F47" s="159"/>
      <c r="G47" s="159"/>
      <c r="H47" s="159"/>
    </row>
  </sheetData>
  <sheetProtection algorithmName="SHA-512" hashValue="F746vkPJsPcpNtKOQqF0oCLh1xhlrt91QtIR+u4QqwBku5k9PhrFZMbPen/NoURqPOkllhYokjAFwA+9q+bNqg==" saltValue="BvAthyvMt+K5SIM49IqHKA==" spinCount="100000" sheet="1" objects="1" scenarios="1" selectLockedCells="1"/>
  <mergeCells count="21">
    <mergeCell ref="G26:H26"/>
    <mergeCell ref="A24:E26"/>
    <mergeCell ref="B28:H28"/>
    <mergeCell ref="G18:H18"/>
    <mergeCell ref="G19:H19"/>
    <mergeCell ref="G20:H20"/>
    <mergeCell ref="G21:H21"/>
    <mergeCell ref="B10:H10"/>
    <mergeCell ref="G25:H25"/>
    <mergeCell ref="G22:H22"/>
    <mergeCell ref="G23:H23"/>
    <mergeCell ref="B2:I2"/>
    <mergeCell ref="E11:H11"/>
    <mergeCell ref="G12:H12"/>
    <mergeCell ref="G13:H13"/>
    <mergeCell ref="G14:H14"/>
    <mergeCell ref="G15:H15"/>
    <mergeCell ref="G16:H16"/>
    <mergeCell ref="G17:H17"/>
    <mergeCell ref="I10:J10"/>
    <mergeCell ref="I11:J11"/>
  </mergeCells>
  <conditionalFormatting sqref="B8:I8">
    <cfRule type="cellIs" dxfId="39" priority="1" operator="less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990099"/>
  </sheetPr>
  <dimension ref="A1:S69"/>
  <sheetViews>
    <sheetView showGridLines="0" topLeftCell="A46" zoomScale="78" zoomScaleNormal="78" workbookViewId="0">
      <selection activeCell="C23" sqref="C23:Q23"/>
    </sheetView>
  </sheetViews>
  <sheetFormatPr baseColWidth="10" defaultRowHeight="16.5"/>
  <cols>
    <col min="1" max="1" width="11" style="14"/>
    <col min="2" max="2" width="38.25" style="14" customWidth="1"/>
    <col min="3" max="3" width="11" style="25"/>
    <col min="4" max="4" width="16.25" style="25" customWidth="1"/>
    <col min="5" max="10" width="11" style="25"/>
    <col min="11" max="11" width="14.25" style="25" customWidth="1"/>
    <col min="12" max="12" width="13" style="25" customWidth="1"/>
    <col min="13" max="13" width="11" style="25"/>
    <col min="14" max="14" width="13.375" style="25" customWidth="1"/>
    <col min="15" max="16" width="11" style="25"/>
    <col min="17" max="17" width="16.75" style="25" customWidth="1"/>
    <col min="18" max="16384" width="11" style="25"/>
  </cols>
  <sheetData>
    <row r="1" spans="1:19" s="14" customFormat="1" ht="17.25" thickBot="1">
      <c r="B1" s="213" t="s">
        <v>94</v>
      </c>
    </row>
    <row r="2" spans="1:19" s="215" customFormat="1" ht="18.75" thickBot="1">
      <c r="A2" s="14"/>
      <c r="B2" s="214" t="s">
        <v>95</v>
      </c>
      <c r="C2" s="691" t="s">
        <v>999</v>
      </c>
      <c r="D2" s="692"/>
      <c r="E2" s="692"/>
      <c r="F2" s="692"/>
      <c r="G2" s="692"/>
      <c r="H2" s="692"/>
      <c r="I2" s="692"/>
      <c r="J2" s="692"/>
      <c r="K2" s="692"/>
      <c r="L2" s="692"/>
      <c r="M2" s="692"/>
      <c r="N2" s="692"/>
      <c r="O2" s="692"/>
      <c r="P2" s="692"/>
      <c r="Q2" s="693"/>
    </row>
    <row r="3" spans="1:19" s="215" customFormat="1">
      <c r="A3" s="216" t="s">
        <v>151</v>
      </c>
      <c r="B3" s="217" t="s">
        <v>96</v>
      </c>
      <c r="C3" s="694" t="s">
        <v>152</v>
      </c>
      <c r="D3" s="218" t="s">
        <v>88</v>
      </c>
      <c r="E3" s="218" t="s">
        <v>86</v>
      </c>
      <c r="F3" s="218" t="s">
        <v>87</v>
      </c>
      <c r="G3" s="218" t="s">
        <v>153</v>
      </c>
      <c r="H3" s="218" t="s">
        <v>154</v>
      </c>
      <c r="I3" s="218" t="s">
        <v>89</v>
      </c>
      <c r="J3" s="218" t="s">
        <v>90</v>
      </c>
      <c r="K3" s="218" t="s">
        <v>155</v>
      </c>
      <c r="L3" s="218" t="s">
        <v>91</v>
      </c>
      <c r="M3" s="218" t="s">
        <v>156</v>
      </c>
      <c r="N3" s="218" t="s">
        <v>92</v>
      </c>
      <c r="O3" s="218" t="s">
        <v>93</v>
      </c>
      <c r="P3" s="218" t="s">
        <v>157</v>
      </c>
      <c r="Q3" s="219" t="s">
        <v>158</v>
      </c>
      <c r="R3" s="669" t="s">
        <v>18</v>
      </c>
      <c r="S3" s="669"/>
    </row>
    <row r="4" spans="1:19" s="215" customFormat="1" ht="17.25" thickBot="1">
      <c r="A4" s="220"/>
      <c r="B4" s="221" t="s">
        <v>97</v>
      </c>
      <c r="C4" s="695"/>
      <c r="D4" s="222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22"/>
      <c r="P4" s="222"/>
      <c r="Q4" s="223"/>
      <c r="R4" s="670" t="s">
        <v>17</v>
      </c>
      <c r="S4" s="670"/>
    </row>
    <row r="5" spans="1:19">
      <c r="A5" s="79"/>
      <c r="B5" s="224" t="s">
        <v>82</v>
      </c>
      <c r="C5" s="225"/>
      <c r="D5" s="665">
        <f>SUM(SUELDOS!I3:I13)</f>
        <v>999477.1</v>
      </c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226"/>
      <c r="Q5" s="225"/>
      <c r="R5" s="670" t="s">
        <v>1029</v>
      </c>
      <c r="S5" s="670"/>
    </row>
    <row r="6" spans="1:19">
      <c r="A6" s="79"/>
      <c r="B6" s="227" t="s">
        <v>83</v>
      </c>
      <c r="C6" s="47"/>
      <c r="D6" s="664">
        <f>SUM(SUELDOS!O3:O13)</f>
        <v>149114.88125000001</v>
      </c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47"/>
      <c r="R6" s="670" t="s">
        <v>1030</v>
      </c>
      <c r="S6" s="670"/>
    </row>
    <row r="7" spans="1:19">
      <c r="A7" s="79"/>
      <c r="B7" s="227" t="s">
        <v>98</v>
      </c>
      <c r="C7" s="47"/>
      <c r="D7" s="664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47"/>
    </row>
    <row r="8" spans="1:19">
      <c r="A8" s="79"/>
      <c r="B8" s="227" t="s">
        <v>99</v>
      </c>
      <c r="C8" s="47"/>
      <c r="D8" s="664">
        <f>SUM(SUELDOS!M3:M13)</f>
        <v>18007.5</v>
      </c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47"/>
    </row>
    <row r="9" spans="1:19">
      <c r="A9" s="79"/>
      <c r="B9" s="227" t="s">
        <v>100</v>
      </c>
      <c r="C9" s="229">
        <v>0.08</v>
      </c>
      <c r="D9" s="664">
        <f>SUM(SUELDOS!U3:U13)</f>
        <v>93251.213430000003</v>
      </c>
      <c r="E9" s="228"/>
      <c r="F9" s="228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47"/>
    </row>
    <row r="10" spans="1:19">
      <c r="A10" s="79"/>
      <c r="B10" s="230" t="s">
        <v>101</v>
      </c>
      <c r="C10" s="229">
        <v>0.01</v>
      </c>
      <c r="D10" s="664">
        <f>(SUM(SUELDOS!I3:I13)*0.01)</f>
        <v>9994.7710000000006</v>
      </c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O10" s="228"/>
      <c r="P10" s="228"/>
      <c r="Q10" s="47"/>
    </row>
    <row r="11" spans="1:19">
      <c r="A11" s="79"/>
      <c r="B11" s="230" t="s">
        <v>84</v>
      </c>
      <c r="C11" s="229">
        <v>0.08</v>
      </c>
      <c r="D11" s="664"/>
      <c r="E11" s="228"/>
      <c r="F11" s="228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47"/>
    </row>
    <row r="12" spans="1:19">
      <c r="A12" s="79"/>
      <c r="B12" s="227" t="s">
        <v>102</v>
      </c>
      <c r="C12" s="229">
        <v>0.04</v>
      </c>
      <c r="D12" s="664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47"/>
    </row>
    <row r="13" spans="1:19">
      <c r="A13" s="79"/>
      <c r="B13" s="227" t="s">
        <v>103</v>
      </c>
      <c r="C13" s="229">
        <v>0.04</v>
      </c>
      <c r="D13" s="664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47"/>
    </row>
    <row r="14" spans="1:19">
      <c r="A14" s="79"/>
      <c r="B14" s="227" t="s">
        <v>104</v>
      </c>
      <c r="C14" s="47"/>
      <c r="D14" s="664"/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47"/>
    </row>
    <row r="15" spans="1:19">
      <c r="A15" s="79"/>
      <c r="B15" s="227" t="s">
        <v>105</v>
      </c>
      <c r="C15" s="47"/>
      <c r="D15" s="664"/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47"/>
    </row>
    <row r="16" spans="1:19">
      <c r="A16" s="79"/>
      <c r="B16" s="227" t="s">
        <v>106</v>
      </c>
      <c r="C16" s="229">
        <v>0.08</v>
      </c>
      <c r="D16" s="664">
        <f>SUM(SUELDOS!K3:K13,SUELDOS!R3:R13)</f>
        <v>124934.6375</v>
      </c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47"/>
    </row>
    <row r="17" spans="1:17">
      <c r="A17" s="79"/>
      <c r="B17" s="227" t="s">
        <v>107</v>
      </c>
      <c r="C17" s="229">
        <v>0.1</v>
      </c>
      <c r="D17" s="664">
        <f>SUM(SUELDOS!L3:L13,SUELDOS!S3:S13)</f>
        <v>153410.68979999999</v>
      </c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47"/>
    </row>
    <row r="18" spans="1:17">
      <c r="A18" s="79"/>
      <c r="B18" s="230" t="s">
        <v>85</v>
      </c>
      <c r="C18" s="229">
        <v>0.04</v>
      </c>
      <c r="D18" s="664">
        <f>(SUM(SUELDOS!I3:I13)*0.04)</f>
        <v>39979.084000000003</v>
      </c>
      <c r="E18" s="228"/>
      <c r="F18" s="228"/>
      <c r="G18" s="228"/>
      <c r="H18" s="228"/>
      <c r="I18" s="228"/>
      <c r="J18" s="228"/>
      <c r="K18" s="228"/>
      <c r="L18" s="228"/>
      <c r="M18" s="228"/>
      <c r="N18" s="228"/>
      <c r="O18" s="228"/>
      <c r="P18" s="228"/>
      <c r="Q18" s="47"/>
    </row>
    <row r="19" spans="1:17">
      <c r="A19" s="79"/>
      <c r="B19" s="227" t="s">
        <v>108</v>
      </c>
      <c r="C19" s="229">
        <v>0.03</v>
      </c>
      <c r="D19" s="664">
        <f>(SUM(SUELDOS!I3:I13)*0.03)</f>
        <v>29984.312999999998</v>
      </c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47"/>
    </row>
    <row r="20" spans="1:17">
      <c r="A20" s="79"/>
      <c r="B20" s="227" t="s">
        <v>109</v>
      </c>
      <c r="C20" s="229">
        <v>0.02</v>
      </c>
      <c r="D20" s="664">
        <f>(SUM(SUELDOS!I3:I13)*0.02)</f>
        <v>19989.542000000001</v>
      </c>
      <c r="E20" s="228"/>
      <c r="F20" s="228"/>
      <c r="G20" s="228"/>
      <c r="H20" s="228"/>
      <c r="I20" s="228"/>
      <c r="J20" s="228"/>
      <c r="K20" s="228"/>
      <c r="L20" s="228"/>
      <c r="M20" s="228"/>
      <c r="N20" s="228"/>
      <c r="O20" s="228"/>
      <c r="P20" s="228"/>
      <c r="Q20" s="47"/>
    </row>
    <row r="21" spans="1:17">
      <c r="A21" s="79"/>
      <c r="B21" s="227" t="s">
        <v>110</v>
      </c>
      <c r="C21" s="47"/>
      <c r="D21" s="664"/>
      <c r="E21" s="228"/>
      <c r="F21" s="228"/>
      <c r="G21" s="228"/>
      <c r="H21" s="228"/>
      <c r="I21" s="228"/>
      <c r="J21" s="228"/>
      <c r="K21" s="228"/>
      <c r="L21" s="228"/>
      <c r="M21" s="228"/>
      <c r="N21" s="228"/>
      <c r="O21" s="228"/>
      <c r="P21" s="228"/>
      <c r="Q21" s="47"/>
    </row>
    <row r="22" spans="1:17">
      <c r="A22" s="177"/>
      <c r="B22" s="231" t="s">
        <v>111</v>
      </c>
      <c r="C22" s="103"/>
      <c r="D22" s="666">
        <f>SUM(D5:D21)</f>
        <v>1638143.7319799999</v>
      </c>
      <c r="E22" s="232"/>
      <c r="F22" s="232"/>
      <c r="G22" s="232"/>
      <c r="H22" s="232"/>
      <c r="I22" s="232"/>
      <c r="J22" s="232"/>
      <c r="K22" s="232"/>
      <c r="L22" s="232"/>
      <c r="M22" s="232"/>
      <c r="N22" s="232"/>
      <c r="O22" s="232"/>
      <c r="P22" s="232"/>
      <c r="Q22" s="103"/>
    </row>
    <row r="23" spans="1:17">
      <c r="A23" s="79"/>
      <c r="B23" s="233" t="s">
        <v>112</v>
      </c>
      <c r="C23" s="688"/>
      <c r="D23" s="689"/>
      <c r="E23" s="689"/>
      <c r="F23" s="689"/>
      <c r="G23" s="689"/>
      <c r="H23" s="689"/>
      <c r="I23" s="689"/>
      <c r="J23" s="689"/>
      <c r="K23" s="689"/>
      <c r="L23" s="689"/>
      <c r="M23" s="689"/>
      <c r="N23" s="689"/>
      <c r="O23" s="689"/>
      <c r="P23" s="689"/>
      <c r="Q23" s="690"/>
    </row>
    <row r="24" spans="1:17">
      <c r="A24" s="79"/>
      <c r="B24" s="234" t="s">
        <v>113</v>
      </c>
      <c r="C24" s="47"/>
      <c r="D24" s="47">
        <v>30000</v>
      </c>
      <c r="E24" s="47">
        <v>0</v>
      </c>
      <c r="F24" s="47">
        <v>0</v>
      </c>
      <c r="G24" s="47">
        <v>0</v>
      </c>
      <c r="H24" s="47">
        <v>30000</v>
      </c>
      <c r="I24" s="47">
        <v>0</v>
      </c>
      <c r="J24" s="47">
        <v>20000</v>
      </c>
      <c r="K24" s="47">
        <v>0</v>
      </c>
      <c r="L24" s="47">
        <v>30000</v>
      </c>
      <c r="M24" s="47">
        <v>0</v>
      </c>
      <c r="N24" s="47">
        <v>25000</v>
      </c>
      <c r="O24" s="47">
        <v>0</v>
      </c>
      <c r="P24" s="47">
        <v>0</v>
      </c>
      <c r="Q24" s="47"/>
    </row>
    <row r="25" spans="1:17">
      <c r="A25" s="79"/>
      <c r="B25" s="234" t="s">
        <v>110</v>
      </c>
      <c r="C25" s="47"/>
      <c r="D25" s="47">
        <v>0</v>
      </c>
      <c r="E25" s="47">
        <v>0</v>
      </c>
      <c r="F25" s="47">
        <v>0</v>
      </c>
      <c r="G25" s="47">
        <v>0</v>
      </c>
      <c r="H25" s="47">
        <v>0</v>
      </c>
      <c r="I25" s="47">
        <v>0</v>
      </c>
      <c r="J25" s="47">
        <v>0</v>
      </c>
      <c r="K25" s="47">
        <v>0</v>
      </c>
      <c r="L25" s="47">
        <v>0</v>
      </c>
      <c r="M25" s="47">
        <v>0</v>
      </c>
      <c r="N25" s="47">
        <v>0</v>
      </c>
      <c r="O25" s="47">
        <v>0</v>
      </c>
      <c r="P25" s="47">
        <v>0</v>
      </c>
      <c r="Q25" s="47"/>
    </row>
    <row r="26" spans="1:17">
      <c r="A26" s="177"/>
      <c r="B26" s="231" t="s">
        <v>114</v>
      </c>
      <c r="C26" s="103"/>
      <c r="D26" s="103">
        <f>SUM(D24,D25)</f>
        <v>30000</v>
      </c>
      <c r="E26" s="103">
        <f t="shared" ref="E26:P26" si="0">SUM(E24,E25)</f>
        <v>0</v>
      </c>
      <c r="F26" s="103">
        <f t="shared" si="0"/>
        <v>0</v>
      </c>
      <c r="G26" s="103">
        <f t="shared" si="0"/>
        <v>0</v>
      </c>
      <c r="H26" s="103">
        <f t="shared" si="0"/>
        <v>30000</v>
      </c>
      <c r="I26" s="103">
        <f t="shared" si="0"/>
        <v>0</v>
      </c>
      <c r="J26" s="103">
        <f t="shared" si="0"/>
        <v>20000</v>
      </c>
      <c r="K26" s="103">
        <f t="shared" si="0"/>
        <v>0</v>
      </c>
      <c r="L26" s="103">
        <f t="shared" si="0"/>
        <v>30000</v>
      </c>
      <c r="M26" s="103">
        <f t="shared" si="0"/>
        <v>0</v>
      </c>
      <c r="N26" s="103">
        <f t="shared" si="0"/>
        <v>25000</v>
      </c>
      <c r="O26" s="103">
        <f t="shared" si="0"/>
        <v>0</v>
      </c>
      <c r="P26" s="103">
        <f t="shared" si="0"/>
        <v>0</v>
      </c>
      <c r="Q26" s="103"/>
    </row>
    <row r="27" spans="1:17">
      <c r="A27" s="79"/>
      <c r="B27" s="233" t="s">
        <v>115</v>
      </c>
      <c r="C27" s="688"/>
      <c r="D27" s="689"/>
      <c r="E27" s="689"/>
      <c r="F27" s="689"/>
      <c r="G27" s="689"/>
      <c r="H27" s="689"/>
      <c r="I27" s="689"/>
      <c r="J27" s="689"/>
      <c r="K27" s="689"/>
      <c r="L27" s="689"/>
      <c r="M27" s="689"/>
      <c r="N27" s="689"/>
      <c r="O27" s="689"/>
      <c r="P27" s="689"/>
      <c r="Q27" s="690"/>
    </row>
    <row r="28" spans="1:17">
      <c r="A28" s="79"/>
      <c r="B28" s="234" t="s">
        <v>116</v>
      </c>
      <c r="C28" s="47"/>
      <c r="D28" s="47">
        <v>0</v>
      </c>
      <c r="E28" s="47">
        <v>0</v>
      </c>
      <c r="F28" s="47">
        <v>0</v>
      </c>
      <c r="G28" s="47">
        <v>0</v>
      </c>
      <c r="H28" s="47">
        <v>0</v>
      </c>
      <c r="I28" s="47">
        <v>0</v>
      </c>
      <c r="J28" s="47">
        <v>0</v>
      </c>
      <c r="K28" s="47">
        <v>0</v>
      </c>
      <c r="L28" s="47">
        <v>0</v>
      </c>
      <c r="M28" s="47">
        <v>0</v>
      </c>
      <c r="N28" s="47">
        <v>0</v>
      </c>
      <c r="O28" s="47">
        <v>0</v>
      </c>
      <c r="P28" s="47">
        <v>0</v>
      </c>
      <c r="Q28" s="47"/>
    </row>
    <row r="29" spans="1:17">
      <c r="A29" s="79"/>
      <c r="B29" s="234" t="s">
        <v>117</v>
      </c>
      <c r="C29" s="47"/>
      <c r="D29" s="47">
        <v>1400000</v>
      </c>
      <c r="E29" s="47">
        <f t="shared" ref="E29:P29" si="1">D29-17000</f>
        <v>1383000</v>
      </c>
      <c r="F29" s="47">
        <f t="shared" si="1"/>
        <v>1366000</v>
      </c>
      <c r="G29" s="47">
        <f t="shared" si="1"/>
        <v>1349000</v>
      </c>
      <c r="H29" s="47">
        <f t="shared" si="1"/>
        <v>1332000</v>
      </c>
      <c r="I29" s="47">
        <f t="shared" si="1"/>
        <v>1315000</v>
      </c>
      <c r="J29" s="47">
        <f t="shared" si="1"/>
        <v>1298000</v>
      </c>
      <c r="K29" s="47">
        <f t="shared" si="1"/>
        <v>1281000</v>
      </c>
      <c r="L29" s="47">
        <f t="shared" si="1"/>
        <v>1264000</v>
      </c>
      <c r="M29" s="47">
        <f t="shared" si="1"/>
        <v>1247000</v>
      </c>
      <c r="N29" s="47">
        <f t="shared" si="1"/>
        <v>1230000</v>
      </c>
      <c r="O29" s="47">
        <f t="shared" si="1"/>
        <v>1213000</v>
      </c>
      <c r="P29" s="47">
        <f t="shared" si="1"/>
        <v>1196000</v>
      </c>
      <c r="Q29" s="47"/>
    </row>
    <row r="30" spans="1:17">
      <c r="A30" s="177"/>
      <c r="B30" s="231" t="s">
        <v>118</v>
      </c>
      <c r="C30" s="103"/>
      <c r="D30" s="103">
        <f>D29</f>
        <v>1400000</v>
      </c>
      <c r="E30" s="103">
        <f t="shared" ref="E30:P30" si="2">E29</f>
        <v>1383000</v>
      </c>
      <c r="F30" s="103">
        <f t="shared" si="2"/>
        <v>1366000</v>
      </c>
      <c r="G30" s="103">
        <f t="shared" si="2"/>
        <v>1349000</v>
      </c>
      <c r="H30" s="103">
        <f t="shared" si="2"/>
        <v>1332000</v>
      </c>
      <c r="I30" s="103">
        <f t="shared" si="2"/>
        <v>1315000</v>
      </c>
      <c r="J30" s="103">
        <f t="shared" si="2"/>
        <v>1298000</v>
      </c>
      <c r="K30" s="103">
        <f t="shared" si="2"/>
        <v>1281000</v>
      </c>
      <c r="L30" s="103">
        <f t="shared" si="2"/>
        <v>1264000</v>
      </c>
      <c r="M30" s="103">
        <f t="shared" si="2"/>
        <v>1247000</v>
      </c>
      <c r="N30" s="103">
        <f t="shared" si="2"/>
        <v>1230000</v>
      </c>
      <c r="O30" s="103">
        <f t="shared" si="2"/>
        <v>1213000</v>
      </c>
      <c r="P30" s="103">
        <f t="shared" si="2"/>
        <v>1196000</v>
      </c>
      <c r="Q30" s="103"/>
    </row>
    <row r="31" spans="1:17">
      <c r="A31" s="79"/>
      <c r="B31" s="233" t="s">
        <v>119</v>
      </c>
      <c r="C31" s="688"/>
      <c r="D31" s="689"/>
      <c r="E31" s="689"/>
      <c r="F31" s="689"/>
      <c r="G31" s="689"/>
      <c r="H31" s="689"/>
      <c r="I31" s="689"/>
      <c r="J31" s="689"/>
      <c r="K31" s="689"/>
      <c r="L31" s="689"/>
      <c r="M31" s="689"/>
      <c r="N31" s="689"/>
      <c r="O31" s="689"/>
      <c r="P31" s="689"/>
      <c r="Q31" s="690"/>
    </row>
    <row r="32" spans="1:17">
      <c r="A32" s="79"/>
      <c r="B32" s="234" t="s">
        <v>117</v>
      </c>
      <c r="C32" s="47"/>
      <c r="D32" s="47">
        <v>0</v>
      </c>
      <c r="E32" s="47">
        <v>0</v>
      </c>
      <c r="F32" s="47">
        <v>0</v>
      </c>
      <c r="G32" s="47">
        <v>0</v>
      </c>
      <c r="H32" s="47">
        <v>0</v>
      </c>
      <c r="I32" s="47">
        <v>0</v>
      </c>
      <c r="J32" s="47">
        <v>0</v>
      </c>
      <c r="K32" s="47">
        <v>0</v>
      </c>
      <c r="L32" s="47">
        <v>0</v>
      </c>
      <c r="M32" s="47">
        <v>0</v>
      </c>
      <c r="N32" s="47">
        <v>0</v>
      </c>
      <c r="O32" s="47">
        <v>0</v>
      </c>
      <c r="P32" s="47">
        <v>0</v>
      </c>
      <c r="Q32" s="47"/>
    </row>
    <row r="33" spans="1:17">
      <c r="A33" s="79"/>
      <c r="B33" s="234" t="s">
        <v>120</v>
      </c>
      <c r="C33" s="47"/>
      <c r="D33" s="47">
        <v>0</v>
      </c>
      <c r="E33" s="47">
        <v>0</v>
      </c>
      <c r="F33" s="47">
        <v>0</v>
      </c>
      <c r="G33" s="47">
        <v>0</v>
      </c>
      <c r="H33" s="47">
        <v>0</v>
      </c>
      <c r="I33" s="47">
        <v>0</v>
      </c>
      <c r="J33" s="47">
        <v>0</v>
      </c>
      <c r="K33" s="47">
        <v>0</v>
      </c>
      <c r="L33" s="47">
        <v>0</v>
      </c>
      <c r="M33" s="47">
        <v>0</v>
      </c>
      <c r="N33" s="47">
        <v>0</v>
      </c>
      <c r="O33" s="47">
        <v>0</v>
      </c>
      <c r="P33" s="47">
        <v>0</v>
      </c>
      <c r="Q33" s="47"/>
    </row>
    <row r="34" spans="1:17">
      <c r="A34" s="177"/>
      <c r="B34" s="231" t="s">
        <v>121</v>
      </c>
      <c r="C34" s="103"/>
      <c r="D34" s="103">
        <f>SUM(D32,D33)</f>
        <v>0</v>
      </c>
      <c r="E34" s="103">
        <f t="shared" ref="E34:P34" si="3">SUM(E32,E33)</f>
        <v>0</v>
      </c>
      <c r="F34" s="103">
        <f t="shared" si="3"/>
        <v>0</v>
      </c>
      <c r="G34" s="103">
        <f t="shared" si="3"/>
        <v>0</v>
      </c>
      <c r="H34" s="103">
        <f t="shared" si="3"/>
        <v>0</v>
      </c>
      <c r="I34" s="103">
        <f t="shared" si="3"/>
        <v>0</v>
      </c>
      <c r="J34" s="103">
        <f t="shared" si="3"/>
        <v>0</v>
      </c>
      <c r="K34" s="103">
        <f t="shared" si="3"/>
        <v>0</v>
      </c>
      <c r="L34" s="103">
        <f t="shared" si="3"/>
        <v>0</v>
      </c>
      <c r="M34" s="103">
        <f t="shared" si="3"/>
        <v>0</v>
      </c>
      <c r="N34" s="103">
        <f t="shared" si="3"/>
        <v>0</v>
      </c>
      <c r="O34" s="103">
        <f t="shared" si="3"/>
        <v>0</v>
      </c>
      <c r="P34" s="103">
        <f t="shared" si="3"/>
        <v>0</v>
      </c>
      <c r="Q34" s="103"/>
    </row>
    <row r="35" spans="1:17">
      <c r="A35" s="79"/>
      <c r="B35" s="233" t="s">
        <v>122</v>
      </c>
      <c r="C35" s="688"/>
      <c r="D35" s="689"/>
      <c r="E35" s="689"/>
      <c r="F35" s="689"/>
      <c r="G35" s="689"/>
      <c r="H35" s="689"/>
      <c r="I35" s="689"/>
      <c r="J35" s="689"/>
      <c r="K35" s="689"/>
      <c r="L35" s="689"/>
      <c r="M35" s="689"/>
      <c r="N35" s="689"/>
      <c r="O35" s="689"/>
      <c r="P35" s="689"/>
      <c r="Q35" s="690"/>
    </row>
    <row r="36" spans="1:17">
      <c r="A36" s="79"/>
      <c r="B36" s="234" t="s">
        <v>123</v>
      </c>
      <c r="C36" s="47"/>
      <c r="D36" s="47">
        <v>0</v>
      </c>
      <c r="E36" s="47">
        <v>0</v>
      </c>
      <c r="F36" s="47">
        <v>0</v>
      </c>
      <c r="G36" s="47">
        <v>0</v>
      </c>
      <c r="H36" s="47">
        <v>0</v>
      </c>
      <c r="I36" s="47">
        <v>0</v>
      </c>
      <c r="J36" s="47">
        <v>0</v>
      </c>
      <c r="K36" s="47">
        <v>0</v>
      </c>
      <c r="L36" s="47">
        <v>0</v>
      </c>
      <c r="M36" s="47">
        <v>0</v>
      </c>
      <c r="N36" s="47">
        <v>0</v>
      </c>
      <c r="O36" s="47">
        <v>0</v>
      </c>
      <c r="P36" s="47">
        <v>0</v>
      </c>
      <c r="Q36" s="47"/>
    </row>
    <row r="37" spans="1:17">
      <c r="A37" s="79"/>
      <c r="B37" s="234" t="s">
        <v>215</v>
      </c>
      <c r="C37" s="47"/>
      <c r="D37" s="47">
        <v>300000</v>
      </c>
      <c r="E37" s="47">
        <v>300000</v>
      </c>
      <c r="F37" s="47">
        <v>300000</v>
      </c>
      <c r="G37" s="47">
        <v>300000</v>
      </c>
      <c r="H37" s="47">
        <v>300000</v>
      </c>
      <c r="I37" s="47">
        <v>300000</v>
      </c>
      <c r="J37" s="47">
        <v>300000</v>
      </c>
      <c r="K37" s="47">
        <v>300000</v>
      </c>
      <c r="L37" s="47">
        <v>300000</v>
      </c>
      <c r="M37" s="47">
        <v>300000</v>
      </c>
      <c r="N37" s="47">
        <v>300000</v>
      </c>
      <c r="O37" s="47">
        <v>300000</v>
      </c>
      <c r="P37" s="47">
        <v>300000</v>
      </c>
      <c r="Q37" s="47"/>
    </row>
    <row r="38" spans="1:17">
      <c r="A38" s="79"/>
      <c r="B38" s="234" t="s">
        <v>124</v>
      </c>
      <c r="C38" s="47"/>
      <c r="D38" s="47">
        <v>25000</v>
      </c>
      <c r="E38" s="47">
        <v>25000</v>
      </c>
      <c r="F38" s="47">
        <v>25000</v>
      </c>
      <c r="G38" s="47">
        <v>25000</v>
      </c>
      <c r="H38" s="47">
        <v>25000</v>
      </c>
      <c r="I38" s="47">
        <v>25000</v>
      </c>
      <c r="J38" s="47">
        <v>25000</v>
      </c>
      <c r="K38" s="47">
        <v>25000</v>
      </c>
      <c r="L38" s="47">
        <v>25000</v>
      </c>
      <c r="M38" s="47">
        <v>25000</v>
      </c>
      <c r="N38" s="47">
        <v>25000</v>
      </c>
      <c r="O38" s="47">
        <v>25000</v>
      </c>
      <c r="P38" s="47">
        <v>25000</v>
      </c>
      <c r="Q38" s="47"/>
    </row>
    <row r="39" spans="1:17">
      <c r="A39" s="79"/>
      <c r="B39" s="234" t="s">
        <v>125</v>
      </c>
      <c r="C39" s="47"/>
      <c r="D39" s="47">
        <v>90000</v>
      </c>
      <c r="E39" s="47">
        <v>90000</v>
      </c>
      <c r="F39" s="47">
        <v>90000</v>
      </c>
      <c r="G39" s="47">
        <v>90000</v>
      </c>
      <c r="H39" s="47">
        <v>90000</v>
      </c>
      <c r="I39" s="47">
        <v>90000</v>
      </c>
      <c r="J39" s="47">
        <v>90000</v>
      </c>
      <c r="K39" s="47">
        <v>90000</v>
      </c>
      <c r="L39" s="47">
        <v>90000</v>
      </c>
      <c r="M39" s="47">
        <v>90000</v>
      </c>
      <c r="N39" s="47">
        <v>90000</v>
      </c>
      <c r="O39" s="47">
        <v>90000</v>
      </c>
      <c r="P39" s="47">
        <v>90000</v>
      </c>
      <c r="Q39" s="47"/>
    </row>
    <row r="40" spans="1:17">
      <c r="A40" s="79"/>
      <c r="B40" s="234" t="s">
        <v>126</v>
      </c>
      <c r="C40" s="47"/>
      <c r="D40" s="47">
        <v>50000</v>
      </c>
      <c r="E40" s="47">
        <v>50000</v>
      </c>
      <c r="F40" s="47">
        <v>50000</v>
      </c>
      <c r="G40" s="47">
        <v>50000</v>
      </c>
      <c r="H40" s="47">
        <v>50000</v>
      </c>
      <c r="I40" s="47">
        <v>50000</v>
      </c>
      <c r="J40" s="47">
        <v>50000</v>
      </c>
      <c r="K40" s="47">
        <v>50000</v>
      </c>
      <c r="L40" s="47">
        <v>50000</v>
      </c>
      <c r="M40" s="47">
        <v>50000</v>
      </c>
      <c r="N40" s="47">
        <v>50000</v>
      </c>
      <c r="O40" s="47">
        <v>50000</v>
      </c>
      <c r="P40" s="47">
        <v>50000</v>
      </c>
      <c r="Q40" s="47"/>
    </row>
    <row r="41" spans="1:17">
      <c r="A41" s="79"/>
      <c r="B41" s="234" t="s">
        <v>127</v>
      </c>
      <c r="C41" s="47"/>
      <c r="D41" s="47">
        <v>0</v>
      </c>
      <c r="E41" s="235">
        <v>10000</v>
      </c>
      <c r="F41" s="47">
        <v>0</v>
      </c>
      <c r="G41" s="47">
        <v>0</v>
      </c>
      <c r="H41" s="47">
        <v>0</v>
      </c>
      <c r="I41" s="47">
        <v>0</v>
      </c>
      <c r="J41" s="47">
        <v>0</v>
      </c>
      <c r="K41" s="47">
        <v>8000</v>
      </c>
      <c r="L41" s="47">
        <v>0</v>
      </c>
      <c r="M41" s="47">
        <v>0</v>
      </c>
      <c r="N41" s="47">
        <v>10000</v>
      </c>
      <c r="O41" s="47">
        <v>0</v>
      </c>
      <c r="P41" s="47">
        <v>0</v>
      </c>
      <c r="Q41" s="47"/>
    </row>
    <row r="42" spans="1:17">
      <c r="A42" s="79"/>
      <c r="B42" s="234" t="s">
        <v>128</v>
      </c>
      <c r="C42" s="47"/>
      <c r="D42" s="47">
        <v>0</v>
      </c>
      <c r="E42" s="47">
        <v>0</v>
      </c>
      <c r="F42" s="47">
        <v>0</v>
      </c>
      <c r="G42" s="47">
        <v>0</v>
      </c>
      <c r="H42" s="47">
        <v>0</v>
      </c>
      <c r="I42" s="47">
        <v>0</v>
      </c>
      <c r="J42" s="47">
        <v>0</v>
      </c>
      <c r="K42" s="47">
        <v>0</v>
      </c>
      <c r="L42" s="47">
        <v>0</v>
      </c>
      <c r="M42" s="47">
        <v>0</v>
      </c>
      <c r="N42" s="47">
        <v>0</v>
      </c>
      <c r="O42" s="47">
        <v>0</v>
      </c>
      <c r="P42" s="47">
        <v>0</v>
      </c>
      <c r="Q42" s="47"/>
    </row>
    <row r="43" spans="1:17">
      <c r="A43" s="79"/>
      <c r="B43" s="234" t="s">
        <v>129</v>
      </c>
      <c r="C43" s="47"/>
      <c r="D43" s="47">
        <v>0</v>
      </c>
      <c r="E43" s="47">
        <v>0</v>
      </c>
      <c r="F43" s="47">
        <v>0</v>
      </c>
      <c r="G43" s="47">
        <v>0</v>
      </c>
      <c r="H43" s="47">
        <v>0</v>
      </c>
      <c r="I43" s="47">
        <v>0</v>
      </c>
      <c r="J43" s="47">
        <v>0</v>
      </c>
      <c r="K43" s="47">
        <v>0</v>
      </c>
      <c r="L43" s="47">
        <v>0</v>
      </c>
      <c r="M43" s="47">
        <v>0</v>
      </c>
      <c r="N43" s="47">
        <v>0</v>
      </c>
      <c r="O43" s="47">
        <v>0</v>
      </c>
      <c r="P43" s="47">
        <v>0</v>
      </c>
      <c r="Q43" s="47"/>
    </row>
    <row r="44" spans="1:17">
      <c r="A44" s="177"/>
      <c r="B44" s="231" t="s">
        <v>130</v>
      </c>
      <c r="C44" s="103"/>
      <c r="D44" s="103">
        <f>SUM(D36:D43)</f>
        <v>465000</v>
      </c>
      <c r="E44" s="103">
        <f t="shared" ref="E44:P44" si="4">SUM(E36:E43)</f>
        <v>475000</v>
      </c>
      <c r="F44" s="103">
        <f t="shared" si="4"/>
        <v>465000</v>
      </c>
      <c r="G44" s="103">
        <f t="shared" si="4"/>
        <v>465000</v>
      </c>
      <c r="H44" s="103">
        <f t="shared" si="4"/>
        <v>465000</v>
      </c>
      <c r="I44" s="103">
        <f t="shared" si="4"/>
        <v>465000</v>
      </c>
      <c r="J44" s="103">
        <f t="shared" si="4"/>
        <v>465000</v>
      </c>
      <c r="K44" s="103">
        <f t="shared" si="4"/>
        <v>473000</v>
      </c>
      <c r="L44" s="103">
        <f t="shared" si="4"/>
        <v>465000</v>
      </c>
      <c r="M44" s="103">
        <f t="shared" si="4"/>
        <v>465000</v>
      </c>
      <c r="N44" s="103">
        <f t="shared" si="4"/>
        <v>475000</v>
      </c>
      <c r="O44" s="103">
        <f t="shared" si="4"/>
        <v>465000</v>
      </c>
      <c r="P44" s="103">
        <f t="shared" si="4"/>
        <v>465000</v>
      </c>
      <c r="Q44" s="103"/>
    </row>
    <row r="45" spans="1:17">
      <c r="A45" s="79"/>
      <c r="B45" s="233" t="s">
        <v>131</v>
      </c>
      <c r="C45" s="688"/>
      <c r="D45" s="689"/>
      <c r="E45" s="689"/>
      <c r="F45" s="689"/>
      <c r="G45" s="689"/>
      <c r="H45" s="689"/>
      <c r="I45" s="689"/>
      <c r="J45" s="689"/>
      <c r="K45" s="689"/>
      <c r="L45" s="689"/>
      <c r="M45" s="689"/>
      <c r="N45" s="689"/>
      <c r="O45" s="689"/>
      <c r="P45" s="689"/>
      <c r="Q45" s="690"/>
    </row>
    <row r="46" spans="1:17">
      <c r="A46" s="79"/>
      <c r="B46" s="234" t="s">
        <v>132</v>
      </c>
      <c r="C46" s="47"/>
      <c r="D46" s="47">
        <v>200000</v>
      </c>
      <c r="E46" s="47">
        <v>150000</v>
      </c>
      <c r="F46" s="47">
        <v>120000</v>
      </c>
      <c r="G46" s="47">
        <v>100000</v>
      </c>
      <c r="H46" s="47">
        <v>90000</v>
      </c>
      <c r="I46" s="47">
        <v>50000</v>
      </c>
      <c r="J46" s="47">
        <v>20000</v>
      </c>
      <c r="K46" s="47">
        <v>15000</v>
      </c>
      <c r="L46" s="47">
        <v>10000</v>
      </c>
      <c r="M46" s="47">
        <v>0</v>
      </c>
      <c r="N46" s="47">
        <v>0</v>
      </c>
      <c r="O46" s="47">
        <v>0</v>
      </c>
      <c r="P46" s="47">
        <v>0</v>
      </c>
      <c r="Q46" s="47"/>
    </row>
    <row r="47" spans="1:17">
      <c r="A47" s="79"/>
      <c r="B47" s="234" t="s">
        <v>133</v>
      </c>
      <c r="C47" s="47"/>
      <c r="D47" s="47">
        <v>1562000</v>
      </c>
      <c r="E47" s="47">
        <v>0</v>
      </c>
      <c r="F47" s="47">
        <v>0</v>
      </c>
      <c r="G47" s="47">
        <v>0</v>
      </c>
      <c r="H47" s="47">
        <v>0</v>
      </c>
      <c r="I47" s="47">
        <v>0</v>
      </c>
      <c r="J47" s="47">
        <v>0</v>
      </c>
      <c r="K47" s="47">
        <v>0</v>
      </c>
      <c r="L47" s="47">
        <v>0</v>
      </c>
      <c r="M47" s="47">
        <v>0</v>
      </c>
      <c r="N47" s="47">
        <v>0</v>
      </c>
      <c r="O47" s="47">
        <v>0</v>
      </c>
      <c r="P47" s="47">
        <v>0</v>
      </c>
      <c r="Q47" s="47"/>
    </row>
    <row r="48" spans="1:17">
      <c r="A48" s="79"/>
      <c r="B48" s="233" t="s">
        <v>134</v>
      </c>
      <c r="C48" s="688"/>
      <c r="D48" s="689"/>
      <c r="E48" s="689"/>
      <c r="F48" s="689"/>
      <c r="G48" s="689"/>
      <c r="H48" s="689"/>
      <c r="I48" s="689"/>
      <c r="J48" s="689"/>
      <c r="K48" s="689"/>
      <c r="L48" s="689"/>
      <c r="M48" s="689"/>
      <c r="N48" s="689"/>
      <c r="O48" s="689"/>
      <c r="P48" s="689"/>
      <c r="Q48" s="690"/>
    </row>
    <row r="49" spans="1:17">
      <c r="A49" s="79"/>
      <c r="B49" s="234" t="s">
        <v>135</v>
      </c>
      <c r="C49" s="47"/>
      <c r="D49" s="235">
        <v>50000</v>
      </c>
      <c r="E49" s="235">
        <v>50000</v>
      </c>
      <c r="F49" s="235">
        <v>50000</v>
      </c>
      <c r="G49" s="235">
        <v>50000</v>
      </c>
      <c r="H49" s="235">
        <v>50000</v>
      </c>
      <c r="I49" s="235">
        <v>50000</v>
      </c>
      <c r="J49" s="235">
        <v>50000</v>
      </c>
      <c r="K49" s="235">
        <v>50000</v>
      </c>
      <c r="L49" s="235">
        <v>50000</v>
      </c>
      <c r="M49" s="235">
        <v>50000</v>
      </c>
      <c r="N49" s="235">
        <v>50000</v>
      </c>
      <c r="O49" s="235">
        <v>50000</v>
      </c>
      <c r="P49" s="235">
        <v>50000</v>
      </c>
      <c r="Q49" s="235"/>
    </row>
    <row r="50" spans="1:17">
      <c r="A50" s="79"/>
      <c r="B50" s="236" t="s">
        <v>136</v>
      </c>
      <c r="C50" s="47"/>
      <c r="D50" s="47">
        <v>300000</v>
      </c>
      <c r="E50" s="47">
        <v>300000</v>
      </c>
      <c r="F50" s="47">
        <v>300000</v>
      </c>
      <c r="G50" s="47">
        <v>300000</v>
      </c>
      <c r="H50" s="47">
        <v>300000</v>
      </c>
      <c r="I50" s="47">
        <v>300000</v>
      </c>
      <c r="J50" s="47">
        <v>300000</v>
      </c>
      <c r="K50" s="47">
        <v>300000</v>
      </c>
      <c r="L50" s="47">
        <v>300000</v>
      </c>
      <c r="M50" s="47">
        <v>300000</v>
      </c>
      <c r="N50" s="47">
        <v>300000</v>
      </c>
      <c r="O50" s="47">
        <v>300000</v>
      </c>
      <c r="P50" s="47">
        <v>300000</v>
      </c>
      <c r="Q50" s="47"/>
    </row>
    <row r="51" spans="1:17">
      <c r="A51" s="79"/>
      <c r="B51" s="234" t="s">
        <v>137</v>
      </c>
      <c r="C51" s="47"/>
      <c r="D51" s="47">
        <v>0</v>
      </c>
      <c r="E51" s="47">
        <v>0</v>
      </c>
      <c r="F51" s="47">
        <v>0</v>
      </c>
      <c r="G51" s="47">
        <v>0</v>
      </c>
      <c r="H51" s="47">
        <v>0</v>
      </c>
      <c r="I51" s="47">
        <v>0</v>
      </c>
      <c r="J51" s="47">
        <v>0</v>
      </c>
      <c r="K51" s="47">
        <v>0</v>
      </c>
      <c r="L51" s="47">
        <v>0</v>
      </c>
      <c r="M51" s="47">
        <v>0</v>
      </c>
      <c r="N51" s="47">
        <v>0</v>
      </c>
      <c r="O51" s="47">
        <v>0</v>
      </c>
      <c r="P51" s="47">
        <v>0</v>
      </c>
      <c r="Q51" s="47"/>
    </row>
    <row r="52" spans="1:17">
      <c r="A52" s="79"/>
      <c r="B52" s="233" t="s">
        <v>138</v>
      </c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</row>
    <row r="53" spans="1:17">
      <c r="A53" s="79"/>
      <c r="B53" s="234" t="s">
        <v>139</v>
      </c>
      <c r="C53" s="47"/>
      <c r="D53" s="47">
        <v>30000</v>
      </c>
      <c r="E53" s="47">
        <v>30000</v>
      </c>
      <c r="F53" s="47">
        <v>30000</v>
      </c>
      <c r="G53" s="47">
        <v>30000</v>
      </c>
      <c r="H53" s="47">
        <v>30000</v>
      </c>
      <c r="I53" s="47">
        <v>30000</v>
      </c>
      <c r="J53" s="47">
        <v>30000</v>
      </c>
      <c r="K53" s="47">
        <v>30000</v>
      </c>
      <c r="L53" s="47">
        <v>30000</v>
      </c>
      <c r="M53" s="47">
        <v>30000</v>
      </c>
      <c r="N53" s="47">
        <v>30000</v>
      </c>
      <c r="O53" s="47">
        <v>30000</v>
      </c>
      <c r="P53" s="47">
        <v>30000</v>
      </c>
      <c r="Q53" s="47"/>
    </row>
    <row r="54" spans="1:17">
      <c r="A54" s="79"/>
      <c r="B54" s="234" t="s">
        <v>140</v>
      </c>
      <c r="C54" s="47"/>
      <c r="D54" s="47">
        <v>40000</v>
      </c>
      <c r="E54" s="47">
        <v>0</v>
      </c>
      <c r="F54" s="47">
        <v>0</v>
      </c>
      <c r="G54" s="47">
        <v>40000</v>
      </c>
      <c r="H54" s="47">
        <v>0</v>
      </c>
      <c r="I54" s="47">
        <v>0</v>
      </c>
      <c r="J54" s="47">
        <v>0</v>
      </c>
      <c r="K54" s="47">
        <v>40000</v>
      </c>
      <c r="L54" s="47">
        <v>0</v>
      </c>
      <c r="M54" s="47">
        <v>0</v>
      </c>
      <c r="N54" s="47">
        <v>40000</v>
      </c>
      <c r="O54" s="47">
        <v>0</v>
      </c>
      <c r="P54" s="47">
        <v>0</v>
      </c>
      <c r="Q54" s="47"/>
    </row>
    <row r="55" spans="1:17">
      <c r="A55" s="177"/>
      <c r="B55" s="231" t="s">
        <v>141</v>
      </c>
      <c r="C55" s="103"/>
      <c r="D55" s="103">
        <f>SUM(D46:D54)</f>
        <v>2182000</v>
      </c>
      <c r="E55" s="103">
        <f t="shared" ref="E55:P55" si="5">SUM(E46:E54)</f>
        <v>530000</v>
      </c>
      <c r="F55" s="103">
        <f t="shared" si="5"/>
        <v>500000</v>
      </c>
      <c r="G55" s="103">
        <f>SUM(G46:G54)</f>
        <v>520000</v>
      </c>
      <c r="H55" s="103">
        <f t="shared" si="5"/>
        <v>470000</v>
      </c>
      <c r="I55" s="103">
        <f t="shared" si="5"/>
        <v>430000</v>
      </c>
      <c r="J55" s="103">
        <f t="shared" si="5"/>
        <v>400000</v>
      </c>
      <c r="K55" s="103">
        <f t="shared" si="5"/>
        <v>435000</v>
      </c>
      <c r="L55" s="103">
        <f t="shared" si="5"/>
        <v>390000</v>
      </c>
      <c r="M55" s="103">
        <f t="shared" si="5"/>
        <v>380000</v>
      </c>
      <c r="N55" s="103">
        <f t="shared" si="5"/>
        <v>420000</v>
      </c>
      <c r="O55" s="103">
        <f t="shared" si="5"/>
        <v>380000</v>
      </c>
      <c r="P55" s="103">
        <f t="shared" si="5"/>
        <v>380000</v>
      </c>
      <c r="Q55" s="103"/>
    </row>
    <row r="56" spans="1:17" ht="22.5" customHeight="1">
      <c r="A56" s="79"/>
      <c r="B56" s="233" t="s">
        <v>142</v>
      </c>
      <c r="C56" s="688"/>
      <c r="D56" s="689"/>
      <c r="E56" s="689"/>
      <c r="F56" s="689"/>
      <c r="G56" s="689"/>
      <c r="H56" s="689"/>
      <c r="I56" s="689"/>
      <c r="J56" s="689"/>
      <c r="K56" s="689"/>
      <c r="L56" s="689"/>
      <c r="M56" s="689"/>
      <c r="N56" s="689"/>
      <c r="O56" s="689"/>
      <c r="P56" s="689"/>
      <c r="Q56" s="690"/>
    </row>
    <row r="57" spans="1:17">
      <c r="A57" s="79"/>
      <c r="B57" s="237" t="s">
        <v>143</v>
      </c>
      <c r="C57" s="688"/>
      <c r="D57" s="689"/>
      <c r="E57" s="689"/>
      <c r="F57" s="689"/>
      <c r="G57" s="689"/>
      <c r="H57" s="689"/>
      <c r="I57" s="689"/>
      <c r="J57" s="689"/>
      <c r="K57" s="689"/>
      <c r="L57" s="689"/>
      <c r="M57" s="689"/>
      <c r="N57" s="689"/>
      <c r="O57" s="689"/>
      <c r="P57" s="689"/>
      <c r="Q57" s="690"/>
    </row>
    <row r="58" spans="1:17">
      <c r="A58" s="79"/>
      <c r="B58" s="234" t="s">
        <v>98</v>
      </c>
      <c r="C58" s="47"/>
      <c r="D58" s="47">
        <v>0</v>
      </c>
      <c r="E58" s="47">
        <v>0</v>
      </c>
      <c r="F58" s="47">
        <v>0</v>
      </c>
      <c r="G58" s="47">
        <v>0</v>
      </c>
      <c r="H58" s="47">
        <v>0</v>
      </c>
      <c r="I58" s="47">
        <v>0</v>
      </c>
      <c r="J58" s="47">
        <v>40000</v>
      </c>
      <c r="K58" s="47">
        <v>0</v>
      </c>
      <c r="L58" s="47">
        <v>0</v>
      </c>
      <c r="M58" s="47">
        <v>60000</v>
      </c>
      <c r="N58" s="47">
        <v>0</v>
      </c>
      <c r="O58" s="47">
        <v>80000</v>
      </c>
      <c r="P58" s="47">
        <v>0</v>
      </c>
      <c r="Q58" s="47"/>
    </row>
    <row r="59" spans="1:17">
      <c r="A59" s="79"/>
      <c r="B59" s="234" t="s">
        <v>144</v>
      </c>
      <c r="C59" s="47"/>
      <c r="D59" s="47">
        <v>20000</v>
      </c>
      <c r="E59" s="47">
        <v>20000</v>
      </c>
      <c r="F59" s="47">
        <v>20000</v>
      </c>
      <c r="G59" s="47">
        <v>20000</v>
      </c>
      <c r="H59" s="47">
        <v>20000</v>
      </c>
      <c r="I59" s="47">
        <v>20000</v>
      </c>
      <c r="J59" s="47">
        <v>20000</v>
      </c>
      <c r="K59" s="47">
        <v>20000</v>
      </c>
      <c r="L59" s="47">
        <v>20000</v>
      </c>
      <c r="M59" s="47">
        <v>20000</v>
      </c>
      <c r="N59" s="47">
        <v>20000</v>
      </c>
      <c r="O59" s="47">
        <v>20000</v>
      </c>
      <c r="P59" s="47">
        <v>20000</v>
      </c>
      <c r="Q59" s="47"/>
    </row>
    <row r="60" spans="1:17">
      <c r="A60" s="79"/>
      <c r="B60" s="234" t="s">
        <v>145</v>
      </c>
      <c r="C60" s="47"/>
      <c r="D60" s="47">
        <f ca="1">RANDBETWEEN(5000,15000)</f>
        <v>7088</v>
      </c>
      <c r="E60" s="47">
        <f ca="1">RANDBETWEEN(5000,15000)</f>
        <v>8852</v>
      </c>
      <c r="F60" s="47">
        <f t="shared" ref="F60:P60" ca="1" si="6">RANDBETWEEN(5000,15000)</f>
        <v>13593</v>
      </c>
      <c r="G60" s="47">
        <f t="shared" ca="1" si="6"/>
        <v>9777</v>
      </c>
      <c r="H60" s="47">
        <f t="shared" ca="1" si="6"/>
        <v>9595</v>
      </c>
      <c r="I60" s="47">
        <f t="shared" ca="1" si="6"/>
        <v>11225</v>
      </c>
      <c r="J60" s="47">
        <f t="shared" ca="1" si="6"/>
        <v>13104</v>
      </c>
      <c r="K60" s="47">
        <f t="shared" ca="1" si="6"/>
        <v>5227</v>
      </c>
      <c r="L60" s="47">
        <f t="shared" ca="1" si="6"/>
        <v>14242</v>
      </c>
      <c r="M60" s="47">
        <f t="shared" ca="1" si="6"/>
        <v>10108</v>
      </c>
      <c r="N60" s="47">
        <f t="shared" ca="1" si="6"/>
        <v>10568</v>
      </c>
      <c r="O60" s="47">
        <f t="shared" ca="1" si="6"/>
        <v>13216</v>
      </c>
      <c r="P60" s="47">
        <f t="shared" ca="1" si="6"/>
        <v>14887</v>
      </c>
      <c r="Q60" s="47"/>
    </row>
    <row r="61" spans="1:17">
      <c r="A61" s="79"/>
      <c r="B61" s="234" t="s">
        <v>146</v>
      </c>
      <c r="C61" s="47"/>
      <c r="D61" s="47">
        <f ca="1" xml:space="preserve"> RANDBETWEEN(10000,30000)</f>
        <v>23518</v>
      </c>
      <c r="E61" s="47">
        <f t="shared" ref="E61:P61" ca="1" si="7" xml:space="preserve"> RANDBETWEEN(10000,30000)</f>
        <v>26073</v>
      </c>
      <c r="F61" s="47">
        <f t="shared" ca="1" si="7"/>
        <v>25940</v>
      </c>
      <c r="G61" s="47">
        <f t="shared" ca="1" si="7"/>
        <v>18647</v>
      </c>
      <c r="H61" s="47">
        <f t="shared" ca="1" si="7"/>
        <v>25504</v>
      </c>
      <c r="I61" s="47">
        <f t="shared" ca="1" si="7"/>
        <v>19929</v>
      </c>
      <c r="J61" s="47">
        <f t="shared" ca="1" si="7"/>
        <v>28755</v>
      </c>
      <c r="K61" s="47">
        <f t="shared" ca="1" si="7"/>
        <v>19536</v>
      </c>
      <c r="L61" s="47">
        <f t="shared" ca="1" si="7"/>
        <v>17540</v>
      </c>
      <c r="M61" s="47">
        <f t="shared" ca="1" si="7"/>
        <v>19796</v>
      </c>
      <c r="N61" s="47">
        <f t="shared" ca="1" si="7"/>
        <v>16288</v>
      </c>
      <c r="O61" s="47">
        <f t="shared" ca="1" si="7"/>
        <v>24504</v>
      </c>
      <c r="P61" s="47">
        <f t="shared" ca="1" si="7"/>
        <v>23158</v>
      </c>
      <c r="Q61" s="47"/>
    </row>
    <row r="62" spans="1:17">
      <c r="A62" s="79"/>
      <c r="B62" s="234" t="s">
        <v>147</v>
      </c>
      <c r="C62" s="47"/>
      <c r="D62" s="47">
        <v>0</v>
      </c>
      <c r="E62" s="47">
        <v>0</v>
      </c>
      <c r="F62" s="47">
        <v>0</v>
      </c>
      <c r="G62" s="47">
        <v>0</v>
      </c>
      <c r="H62" s="47">
        <v>0</v>
      </c>
      <c r="I62" s="47">
        <v>0</v>
      </c>
      <c r="J62" s="47">
        <v>0</v>
      </c>
      <c r="K62" s="47">
        <v>0</v>
      </c>
      <c r="L62" s="47">
        <v>0</v>
      </c>
      <c r="M62" s="47">
        <v>0</v>
      </c>
      <c r="N62" s="47">
        <v>0</v>
      </c>
      <c r="O62" s="47">
        <v>0</v>
      </c>
      <c r="P62" s="47">
        <v>0</v>
      </c>
      <c r="Q62" s="47"/>
    </row>
    <row r="63" spans="1:17">
      <c r="A63" s="79"/>
      <c r="B63" s="234" t="s">
        <v>148</v>
      </c>
      <c r="C63" s="47"/>
      <c r="D63" s="47">
        <f ca="1">RANDBETWEEN(30000,70000)</f>
        <v>41936</v>
      </c>
      <c r="E63" s="47">
        <f t="shared" ref="E63:P63" ca="1" si="8">RANDBETWEEN(30000,70000)</f>
        <v>67993</v>
      </c>
      <c r="F63" s="47">
        <f t="shared" ca="1" si="8"/>
        <v>47236</v>
      </c>
      <c r="G63" s="47">
        <f t="shared" ca="1" si="8"/>
        <v>69342</v>
      </c>
      <c r="H63" s="47">
        <f t="shared" ca="1" si="8"/>
        <v>53034</v>
      </c>
      <c r="I63" s="47">
        <f t="shared" ca="1" si="8"/>
        <v>34791</v>
      </c>
      <c r="J63" s="47">
        <f t="shared" ca="1" si="8"/>
        <v>66614</v>
      </c>
      <c r="K63" s="47">
        <f t="shared" ca="1" si="8"/>
        <v>53215</v>
      </c>
      <c r="L63" s="47">
        <f t="shared" ca="1" si="8"/>
        <v>69358</v>
      </c>
      <c r="M63" s="47">
        <f t="shared" ca="1" si="8"/>
        <v>45610</v>
      </c>
      <c r="N63" s="47">
        <f t="shared" ca="1" si="8"/>
        <v>46568</v>
      </c>
      <c r="O63" s="47">
        <f t="shared" ca="1" si="8"/>
        <v>45719</v>
      </c>
      <c r="P63" s="47">
        <f t="shared" ca="1" si="8"/>
        <v>54885</v>
      </c>
      <c r="Q63" s="47"/>
    </row>
    <row r="64" spans="1:17">
      <c r="A64" s="177"/>
      <c r="B64" s="238" t="s">
        <v>149</v>
      </c>
      <c r="C64" s="103"/>
      <c r="D64" s="103">
        <f ca="1" xml:space="preserve"> SUM(D58:D63)</f>
        <v>92542</v>
      </c>
      <c r="E64" s="103">
        <f t="shared" ref="E64:P64" ca="1" si="9" xml:space="preserve"> SUM(E58:E63)</f>
        <v>122918</v>
      </c>
      <c r="F64" s="103">
        <f t="shared" ca="1" si="9"/>
        <v>106769</v>
      </c>
      <c r="G64" s="103">
        <f t="shared" ca="1" si="9"/>
        <v>117766</v>
      </c>
      <c r="H64" s="103">
        <f t="shared" ca="1" si="9"/>
        <v>108133</v>
      </c>
      <c r="I64" s="103">
        <f t="shared" ca="1" si="9"/>
        <v>85945</v>
      </c>
      <c r="J64" s="103">
        <f t="shared" ca="1" si="9"/>
        <v>168473</v>
      </c>
      <c r="K64" s="103">
        <f t="shared" ca="1" si="9"/>
        <v>97978</v>
      </c>
      <c r="L64" s="103">
        <f t="shared" ca="1" si="9"/>
        <v>121140</v>
      </c>
      <c r="M64" s="103">
        <f t="shared" ca="1" si="9"/>
        <v>155514</v>
      </c>
      <c r="N64" s="103">
        <f t="shared" ca="1" si="9"/>
        <v>93424</v>
      </c>
      <c r="O64" s="103">
        <f t="shared" ca="1" si="9"/>
        <v>183439</v>
      </c>
      <c r="P64" s="103">
        <f t="shared" ca="1" si="9"/>
        <v>112930</v>
      </c>
      <c r="Q64" s="103"/>
    </row>
    <row r="65" spans="1:17" s="44" customFormat="1">
      <c r="A65" s="146"/>
      <c r="B65" s="239"/>
    </row>
    <row r="66" spans="1:17" s="44" customFormat="1" ht="17.25" thickBot="1">
      <c r="A66" s="146"/>
      <c r="B66" s="239"/>
    </row>
    <row r="67" spans="1:17" ht="17.25" thickBot="1">
      <c r="A67" s="240"/>
      <c r="B67" s="241" t="s">
        <v>150</v>
      </c>
      <c r="C67" s="242"/>
      <c r="D67" s="242">
        <f t="shared" ref="D67:P67" ca="1" si="10">SUM(D22,D26,D30,D44,D55,D64)</f>
        <v>5807685.7319799997</v>
      </c>
      <c r="E67" s="242">
        <f t="shared" ca="1" si="10"/>
        <v>2510918</v>
      </c>
      <c r="F67" s="242">
        <f t="shared" ca="1" si="10"/>
        <v>2437769</v>
      </c>
      <c r="G67" s="242">
        <f t="shared" ca="1" si="10"/>
        <v>2451766</v>
      </c>
      <c r="H67" s="242">
        <f t="shared" ca="1" si="10"/>
        <v>2405133</v>
      </c>
      <c r="I67" s="242">
        <f t="shared" ca="1" si="10"/>
        <v>2295945</v>
      </c>
      <c r="J67" s="242">
        <f t="shared" ca="1" si="10"/>
        <v>2351473</v>
      </c>
      <c r="K67" s="242">
        <f t="shared" ca="1" si="10"/>
        <v>2286978</v>
      </c>
      <c r="L67" s="242">
        <f t="shared" ca="1" si="10"/>
        <v>2270140</v>
      </c>
      <c r="M67" s="242">
        <f t="shared" ca="1" si="10"/>
        <v>2247514</v>
      </c>
      <c r="N67" s="242">
        <f t="shared" ca="1" si="10"/>
        <v>2243424</v>
      </c>
      <c r="O67" s="242">
        <f t="shared" ca="1" si="10"/>
        <v>2241439</v>
      </c>
      <c r="P67" s="242">
        <f t="shared" ca="1" si="10"/>
        <v>2153930</v>
      </c>
      <c r="Q67" s="243"/>
    </row>
    <row r="68" spans="1:17">
      <c r="A68" s="244"/>
      <c r="B68" s="244"/>
      <c r="C68" s="245"/>
      <c r="D68" s="245"/>
      <c r="E68" s="245"/>
      <c r="F68" s="245"/>
      <c r="G68" s="245"/>
      <c r="H68" s="245"/>
      <c r="I68" s="245"/>
      <c r="J68" s="245"/>
      <c r="K68" s="245"/>
      <c r="L68" s="245"/>
      <c r="M68" s="245"/>
      <c r="N68" s="245"/>
      <c r="O68" s="245"/>
      <c r="P68" s="245"/>
      <c r="Q68" s="245"/>
    </row>
    <row r="69" spans="1:17">
      <c r="A69" s="244"/>
      <c r="B69" s="244"/>
      <c r="C69" s="245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</row>
  </sheetData>
  <sheetProtection algorithmName="SHA-512" hashValue="iGVXMc0CP5qK+rpl8Xo/RcU16INTOi5inS49+8zIRguVoyJVdUn8NjiKphmbWkPqCXxwuMkhkjkFxwX/E+vaYw==" saltValue="QI78XpbhCk2+3yFa/zdDGw==" spinCount="100000" sheet="1" formatCells="0" formatColumns="0" formatRows="0" insertColumns="0" insertRows="0" insertHyperlinks="0" deleteColumns="0" deleteRows="0" selectLockedCells="1" sort="0" autoFilter="0" pivotTables="0"/>
  <mergeCells count="14">
    <mergeCell ref="R3:S3"/>
    <mergeCell ref="R4:S4"/>
    <mergeCell ref="R5:S5"/>
    <mergeCell ref="R6:S6"/>
    <mergeCell ref="C45:Q45"/>
    <mergeCell ref="C48:Q48"/>
    <mergeCell ref="C56:Q56"/>
    <mergeCell ref="C57:Q57"/>
    <mergeCell ref="C2:Q2"/>
    <mergeCell ref="C3:C4"/>
    <mergeCell ref="C23:Q23"/>
    <mergeCell ref="C27:Q27"/>
    <mergeCell ref="C31:Q31"/>
    <mergeCell ref="C35:Q35"/>
  </mergeCells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rgb="FF7030A0"/>
  </sheetPr>
  <dimension ref="B1:AE81"/>
  <sheetViews>
    <sheetView topLeftCell="C5" zoomScale="70" zoomScaleNormal="70" workbookViewId="0">
      <selection activeCell="C41" sqref="C41"/>
    </sheetView>
  </sheetViews>
  <sheetFormatPr baseColWidth="10" defaultRowHeight="16.5"/>
  <cols>
    <col min="1" max="1" width="8.125" style="14" customWidth="1"/>
    <col min="2" max="2" width="24" style="14" customWidth="1"/>
    <col min="3" max="3" width="15.75" style="14" customWidth="1"/>
    <col min="4" max="5" width="17.5" style="14" customWidth="1"/>
    <col min="6" max="6" width="14.875" style="14" customWidth="1"/>
    <col min="7" max="7" width="15.125" style="14" customWidth="1"/>
    <col min="8" max="8" width="17.125" style="14" customWidth="1"/>
    <col min="9" max="9" width="15.625" style="14" customWidth="1"/>
    <col min="10" max="10" width="16.625" style="14" customWidth="1"/>
    <col min="11" max="11" width="19.5" style="14" customWidth="1"/>
    <col min="12" max="12" width="16" style="14" customWidth="1"/>
    <col min="13" max="13" width="16.5" style="14" customWidth="1"/>
    <col min="14" max="14" width="8.375" style="14" customWidth="1"/>
    <col min="15" max="15" width="16.625" style="14" customWidth="1"/>
    <col min="16" max="16" width="16.875" style="14" customWidth="1"/>
    <col min="17" max="17" width="10.375" style="14" customWidth="1"/>
    <col min="18" max="18" width="10.375" style="14" bestFit="1" customWidth="1"/>
    <col min="19" max="19" width="10.5" style="14" customWidth="1"/>
    <col min="20" max="20" width="11" style="14"/>
    <col min="21" max="21" width="9.125" style="14" customWidth="1"/>
    <col min="22" max="23" width="16.625" style="14" customWidth="1"/>
    <col min="24" max="16384" width="11" style="14"/>
  </cols>
  <sheetData>
    <row r="1" spans="2:23" ht="17.25" thickBot="1"/>
    <row r="2" spans="2:23" ht="19.5" thickBot="1">
      <c r="F2" s="715" t="s">
        <v>177</v>
      </c>
      <c r="G2" s="716"/>
      <c r="H2" s="716"/>
      <c r="I2" s="716"/>
      <c r="J2" s="716"/>
      <c r="K2" s="716"/>
      <c r="L2" s="716"/>
      <c r="M2" s="716"/>
      <c r="N2" s="716"/>
      <c r="O2" s="717"/>
    </row>
    <row r="3" spans="2:23">
      <c r="H3" s="246"/>
      <c r="I3" s="246"/>
      <c r="J3" s="246"/>
      <c r="K3" s="246"/>
      <c r="L3" s="246"/>
      <c r="M3" s="246"/>
      <c r="N3" s="246"/>
      <c r="O3" s="246"/>
    </row>
    <row r="4" spans="2:23">
      <c r="B4" s="733" t="s">
        <v>178</v>
      </c>
      <c r="C4" s="734"/>
      <c r="D4" s="247" t="s">
        <v>179</v>
      </c>
      <c r="E4" s="729" t="s">
        <v>180</v>
      </c>
      <c r="F4" s="729"/>
      <c r="G4" s="729"/>
      <c r="H4" s="730" t="s">
        <v>181</v>
      </c>
      <c r="I4" s="730"/>
      <c r="J4" s="246"/>
      <c r="K4" s="248" t="s">
        <v>810</v>
      </c>
      <c r="L4" s="713" t="s">
        <v>701</v>
      </c>
      <c r="M4" s="713"/>
      <c r="N4" s="713"/>
      <c r="O4" s="712" t="s">
        <v>181</v>
      </c>
      <c r="P4" s="712"/>
      <c r="Q4" s="244"/>
      <c r="R4" s="249" t="s">
        <v>179</v>
      </c>
      <c r="S4" s="714" t="s">
        <v>700</v>
      </c>
      <c r="T4" s="714"/>
      <c r="U4" s="714"/>
      <c r="V4" s="710" t="s">
        <v>181</v>
      </c>
      <c r="W4" s="710"/>
    </row>
    <row r="5" spans="2:23">
      <c r="B5" s="250" t="s">
        <v>182</v>
      </c>
      <c r="C5" s="251" t="s">
        <v>183</v>
      </c>
      <c r="D5" s="728" t="s">
        <v>184</v>
      </c>
      <c r="E5" s="729"/>
      <c r="F5" s="729"/>
      <c r="G5" s="729"/>
      <c r="H5" s="67" t="s">
        <v>185</v>
      </c>
      <c r="I5" s="67" t="s">
        <v>186</v>
      </c>
      <c r="J5" s="252"/>
      <c r="K5" s="676" t="s">
        <v>187</v>
      </c>
      <c r="L5" s="676"/>
      <c r="M5" s="676"/>
      <c r="N5" s="676"/>
      <c r="O5" s="253" t="s">
        <v>188</v>
      </c>
      <c r="P5" s="253" t="s">
        <v>189</v>
      </c>
      <c r="Q5" s="252"/>
      <c r="R5" s="711" t="s">
        <v>190</v>
      </c>
      <c r="S5" s="711"/>
      <c r="T5" s="711"/>
      <c r="U5" s="711"/>
      <c r="V5" s="254" t="s">
        <v>191</v>
      </c>
      <c r="W5" s="255" t="s">
        <v>189</v>
      </c>
    </row>
    <row r="6" spans="2:23">
      <c r="B6" s="250" t="s">
        <v>192</v>
      </c>
      <c r="C6" s="251" t="s">
        <v>193</v>
      </c>
      <c r="D6" s="256">
        <v>1</v>
      </c>
      <c r="E6" s="708" t="s">
        <v>194</v>
      </c>
      <c r="F6" s="708"/>
      <c r="G6" s="708"/>
      <c r="H6" s="257">
        <v>150000</v>
      </c>
      <c r="I6" s="257">
        <v>250000</v>
      </c>
      <c r="J6" s="246"/>
      <c r="K6" s="258"/>
      <c r="L6" s="709" t="s">
        <v>194</v>
      </c>
      <c r="M6" s="709"/>
      <c r="N6" s="709"/>
      <c r="O6" s="259" t="s">
        <v>195</v>
      </c>
      <c r="P6" s="259" t="s">
        <v>195</v>
      </c>
      <c r="Q6" s="244"/>
      <c r="R6" s="258"/>
      <c r="S6" s="707" t="s">
        <v>194</v>
      </c>
      <c r="T6" s="707"/>
      <c r="U6" s="707"/>
      <c r="V6" s="260" t="s">
        <v>195</v>
      </c>
      <c r="W6" s="260" t="s">
        <v>195</v>
      </c>
    </row>
    <row r="7" spans="2:23" ht="33">
      <c r="B7" s="261" t="s">
        <v>856</v>
      </c>
      <c r="C7" s="262" t="s">
        <v>857</v>
      </c>
      <c r="D7" s="256">
        <v>2</v>
      </c>
      <c r="E7" s="708" t="s">
        <v>196</v>
      </c>
      <c r="F7" s="708"/>
      <c r="G7" s="708"/>
      <c r="H7" s="257">
        <v>100000</v>
      </c>
      <c r="I7" s="257">
        <v>100000</v>
      </c>
      <c r="J7" s="246"/>
      <c r="K7" s="258"/>
      <c r="L7" s="709" t="s">
        <v>196</v>
      </c>
      <c r="M7" s="709"/>
      <c r="N7" s="709"/>
      <c r="O7" s="259" t="s">
        <v>195</v>
      </c>
      <c r="P7" s="259" t="s">
        <v>195</v>
      </c>
      <c r="Q7" s="244"/>
      <c r="R7" s="258"/>
      <c r="S7" s="707" t="s">
        <v>196</v>
      </c>
      <c r="T7" s="707"/>
      <c r="U7" s="707"/>
      <c r="V7" s="260"/>
      <c r="W7" s="260"/>
    </row>
    <row r="8" spans="2:23">
      <c r="C8" s="17"/>
      <c r="D8" s="15">
        <v>3</v>
      </c>
      <c r="E8" s="677" t="s">
        <v>197</v>
      </c>
      <c r="F8" s="719"/>
      <c r="G8" s="678"/>
      <c r="H8" s="257">
        <v>400000</v>
      </c>
      <c r="I8" s="257">
        <v>580000</v>
      </c>
      <c r="J8" s="246"/>
      <c r="K8" s="258"/>
      <c r="L8" s="263" t="s">
        <v>198</v>
      </c>
      <c r="M8" s="264"/>
      <c r="N8" s="265"/>
      <c r="O8" s="259" t="s">
        <v>195</v>
      </c>
      <c r="P8" s="259" t="s">
        <v>195</v>
      </c>
      <c r="Q8" s="244"/>
      <c r="R8" s="258"/>
      <c r="S8" s="266" t="s">
        <v>197</v>
      </c>
      <c r="T8" s="266"/>
      <c r="U8" s="266"/>
      <c r="V8" s="260"/>
      <c r="W8" s="260"/>
    </row>
    <row r="9" spans="2:23">
      <c r="C9" s="17"/>
      <c r="D9" s="15">
        <v>4</v>
      </c>
      <c r="E9" s="708" t="s">
        <v>199</v>
      </c>
      <c r="F9" s="708"/>
      <c r="G9" s="708"/>
      <c r="H9" s="257">
        <v>390000</v>
      </c>
      <c r="I9" s="257">
        <v>430000</v>
      </c>
      <c r="J9" s="246"/>
      <c r="K9" s="258"/>
      <c r="L9" s="709" t="s">
        <v>199</v>
      </c>
      <c r="M9" s="709"/>
      <c r="N9" s="709"/>
      <c r="O9" s="259" t="s">
        <v>195</v>
      </c>
      <c r="P9" s="259" t="s">
        <v>195</v>
      </c>
      <c r="Q9" s="244"/>
      <c r="R9" s="258"/>
      <c r="S9" s="707" t="s">
        <v>199</v>
      </c>
      <c r="T9" s="707"/>
      <c r="U9" s="707"/>
      <c r="V9" s="260" t="s">
        <v>195</v>
      </c>
      <c r="W9" s="260" t="s">
        <v>195</v>
      </c>
    </row>
    <row r="10" spans="2:23">
      <c r="C10" s="17"/>
      <c r="D10" s="15">
        <v>6</v>
      </c>
      <c r="E10" s="708" t="s">
        <v>200</v>
      </c>
      <c r="F10" s="708"/>
      <c r="G10" s="708"/>
      <c r="H10" s="257">
        <v>300000</v>
      </c>
      <c r="I10" s="257">
        <v>400000</v>
      </c>
      <c r="J10" s="246"/>
      <c r="K10" s="258"/>
      <c r="L10" s="709" t="s">
        <v>200</v>
      </c>
      <c r="M10" s="709"/>
      <c r="N10" s="709"/>
      <c r="O10" s="259" t="s">
        <v>195</v>
      </c>
      <c r="P10" s="259" t="s">
        <v>195</v>
      </c>
      <c r="Q10" s="244"/>
      <c r="R10" s="258"/>
      <c r="S10" s="707" t="s">
        <v>200</v>
      </c>
      <c r="T10" s="707"/>
      <c r="U10" s="707"/>
      <c r="V10" s="260"/>
      <c r="W10" s="260"/>
    </row>
    <row r="11" spans="2:23">
      <c r="C11" s="17"/>
      <c r="D11" s="15">
        <v>7</v>
      </c>
      <c r="E11" s="708" t="s">
        <v>201</v>
      </c>
      <c r="F11" s="708"/>
      <c r="G11" s="708"/>
      <c r="H11" s="257">
        <v>685000</v>
      </c>
      <c r="I11" s="257">
        <v>750000</v>
      </c>
      <c r="J11" s="246"/>
      <c r="K11" s="258"/>
      <c r="L11" s="709" t="s">
        <v>201</v>
      </c>
      <c r="M11" s="709"/>
      <c r="N11" s="709"/>
      <c r="O11" s="259" t="s">
        <v>195</v>
      </c>
      <c r="P11" s="259" t="s">
        <v>195</v>
      </c>
      <c r="Q11" s="244"/>
      <c r="R11" s="258"/>
      <c r="S11" s="707" t="s">
        <v>201</v>
      </c>
      <c r="T11" s="707"/>
      <c r="U11" s="707"/>
      <c r="V11" s="260" t="s">
        <v>195</v>
      </c>
      <c r="W11" s="260" t="s">
        <v>195</v>
      </c>
    </row>
    <row r="12" spans="2:23">
      <c r="C12" s="17"/>
      <c r="D12" s="15">
        <v>8</v>
      </c>
      <c r="E12" s="708" t="s">
        <v>194</v>
      </c>
      <c r="F12" s="708"/>
      <c r="G12" s="708"/>
      <c r="H12" s="257">
        <v>115000</v>
      </c>
      <c r="I12" s="257">
        <v>210000</v>
      </c>
      <c r="J12" s="246"/>
      <c r="K12" s="258"/>
      <c r="L12" s="709" t="s">
        <v>202</v>
      </c>
      <c r="M12" s="709"/>
      <c r="N12" s="709"/>
      <c r="O12" s="259" t="s">
        <v>195</v>
      </c>
      <c r="P12" s="259" t="s">
        <v>195</v>
      </c>
      <c r="Q12" s="244"/>
      <c r="R12" s="258"/>
      <c r="S12" s="707" t="s">
        <v>202</v>
      </c>
      <c r="T12" s="707"/>
      <c r="U12" s="707"/>
      <c r="V12" s="260" t="s">
        <v>195</v>
      </c>
      <c r="W12" s="260" t="s">
        <v>195</v>
      </c>
    </row>
    <row r="13" spans="2:23">
      <c r="C13" s="17"/>
      <c r="D13" s="15">
        <v>9</v>
      </c>
      <c r="E13" s="708" t="s">
        <v>203</v>
      </c>
      <c r="F13" s="708"/>
      <c r="G13" s="708"/>
      <c r="H13" s="257">
        <v>540000</v>
      </c>
      <c r="I13" s="257">
        <v>600000</v>
      </c>
      <c r="J13" s="246"/>
      <c r="K13" s="258"/>
      <c r="L13" s="709" t="s">
        <v>203</v>
      </c>
      <c r="M13" s="709"/>
      <c r="N13" s="709"/>
      <c r="O13" s="259" t="s">
        <v>195</v>
      </c>
      <c r="P13" s="259" t="s">
        <v>195</v>
      </c>
      <c r="Q13" s="244"/>
      <c r="R13" s="258"/>
      <c r="S13" s="707" t="s">
        <v>203</v>
      </c>
      <c r="T13" s="707"/>
      <c r="U13" s="707"/>
      <c r="V13" s="260"/>
      <c r="W13" s="260"/>
    </row>
    <row r="14" spans="2:23">
      <c r="C14" s="245"/>
      <c r="D14" s="15">
        <v>10</v>
      </c>
      <c r="E14" s="708" t="s">
        <v>204</v>
      </c>
      <c r="F14" s="708"/>
      <c r="G14" s="708"/>
      <c r="H14" s="267">
        <v>890000</v>
      </c>
      <c r="I14" s="267">
        <v>960000</v>
      </c>
      <c r="J14" s="246"/>
      <c r="K14" s="258"/>
      <c r="L14" s="709" t="s">
        <v>204</v>
      </c>
      <c r="M14" s="709"/>
      <c r="N14" s="709"/>
      <c r="O14" s="259" t="s">
        <v>195</v>
      </c>
      <c r="P14" s="259" t="s">
        <v>195</v>
      </c>
      <c r="Q14" s="244"/>
      <c r="R14" s="258"/>
      <c r="S14" s="707" t="s">
        <v>204</v>
      </c>
      <c r="T14" s="707"/>
      <c r="U14" s="707"/>
      <c r="V14" s="260"/>
      <c r="W14" s="260"/>
    </row>
    <row r="15" spans="2:23" ht="17.25" customHeight="1">
      <c r="B15" s="244"/>
      <c r="C15" s="245"/>
      <c r="D15" s="15">
        <v>11</v>
      </c>
      <c r="E15" s="708" t="s">
        <v>205</v>
      </c>
      <c r="F15" s="708"/>
      <c r="G15" s="708"/>
      <c r="H15" s="267">
        <v>110000</v>
      </c>
      <c r="I15" s="267">
        <v>130000</v>
      </c>
      <c r="J15" s="246"/>
      <c r="K15" s="258"/>
      <c r="L15" s="709" t="s">
        <v>205</v>
      </c>
      <c r="M15" s="709"/>
      <c r="N15" s="709"/>
      <c r="O15" s="259" t="s">
        <v>195</v>
      </c>
      <c r="P15" s="259" t="s">
        <v>195</v>
      </c>
      <c r="Q15" s="244"/>
      <c r="R15" s="258"/>
      <c r="S15" s="707" t="s">
        <v>205</v>
      </c>
      <c r="T15" s="707"/>
      <c r="U15" s="707"/>
      <c r="V15" s="260"/>
      <c r="W15" s="260"/>
    </row>
    <row r="16" spans="2:23" ht="17.25" customHeight="1">
      <c r="B16" s="244"/>
      <c r="C16" s="245"/>
      <c r="D16" s="15">
        <v>12</v>
      </c>
      <c r="E16" s="708" t="s">
        <v>206</v>
      </c>
      <c r="F16" s="708"/>
      <c r="G16" s="708"/>
      <c r="H16" s="267">
        <v>450000</v>
      </c>
      <c r="I16" s="267">
        <v>80000</v>
      </c>
      <c r="J16" s="246"/>
      <c r="K16" s="258"/>
      <c r="L16" s="709" t="s">
        <v>206</v>
      </c>
      <c r="M16" s="709"/>
      <c r="N16" s="709"/>
      <c r="O16" s="259" t="s">
        <v>195</v>
      </c>
      <c r="P16" s="259" t="s">
        <v>195</v>
      </c>
      <c r="Q16" s="244"/>
      <c r="R16" s="258"/>
      <c r="S16" s="707" t="s">
        <v>206</v>
      </c>
      <c r="T16" s="707"/>
      <c r="U16" s="707"/>
      <c r="V16" s="260" t="s">
        <v>195</v>
      </c>
      <c r="W16" s="260" t="s">
        <v>195</v>
      </c>
    </row>
    <row r="17" spans="2:31">
      <c r="B17" s="244"/>
      <c r="E17" s="17"/>
      <c r="F17" s="17"/>
      <c r="G17" s="17"/>
      <c r="H17" s="268"/>
      <c r="I17" s="268"/>
      <c r="J17" s="246"/>
      <c r="K17" s="246"/>
      <c r="L17" s="246"/>
      <c r="M17" s="246"/>
      <c r="N17" s="269" t="s">
        <v>38</v>
      </c>
      <c r="O17" s="270">
        <f>SUM(H6:H16)-SUM(H6:H16)*10/100</f>
        <v>3717000</v>
      </c>
      <c r="P17" s="270">
        <f>SUM(I6:I16)-SUM(I6:I16)*10/100</f>
        <v>4041000</v>
      </c>
      <c r="Q17" s="244"/>
      <c r="R17" s="246"/>
      <c r="S17" s="246"/>
      <c r="T17" s="246"/>
      <c r="U17" s="269" t="s">
        <v>38</v>
      </c>
      <c r="V17" s="270">
        <f>SUM(H6,H9,H11:H12,H16)-SUM(H6,H9,H11:H12,H16)*5/100</f>
        <v>1700500</v>
      </c>
      <c r="W17" s="270">
        <f>SUM(I6,I9,I11:I12,I16)-SUM(I6,I9,I11:I12,I16)*10/100</f>
        <v>1548000</v>
      </c>
    </row>
    <row r="18" spans="2:31">
      <c r="B18" s="244"/>
      <c r="E18" s="17"/>
      <c r="F18" s="17"/>
      <c r="G18" s="17"/>
      <c r="H18" s="268"/>
      <c r="I18" s="268"/>
      <c r="J18" s="246"/>
      <c r="K18" s="246"/>
      <c r="L18" s="246"/>
      <c r="M18" s="246"/>
      <c r="N18" s="246"/>
      <c r="O18" s="246"/>
      <c r="P18" s="246"/>
      <c r="Q18" s="246"/>
      <c r="R18" s="246"/>
      <c r="S18" s="246"/>
      <c r="T18" s="246"/>
      <c r="U18" s="246"/>
      <c r="V18" s="246"/>
      <c r="W18" s="246"/>
      <c r="X18" s="246"/>
      <c r="Y18" s="246"/>
      <c r="Z18" s="246"/>
      <c r="AA18" s="246"/>
      <c r="AB18" s="246"/>
      <c r="AC18" s="246"/>
      <c r="AD18" s="246"/>
    </row>
    <row r="19" spans="2:31">
      <c r="B19" s="271"/>
      <c r="C19" s="271"/>
      <c r="D19" s="271"/>
      <c r="E19" s="17"/>
      <c r="F19" s="17"/>
      <c r="G19" s="17"/>
      <c r="H19" s="268"/>
      <c r="I19" s="268"/>
      <c r="J19" s="246"/>
      <c r="K19" s="272" t="s">
        <v>179</v>
      </c>
      <c r="L19" s="699" t="s">
        <v>699</v>
      </c>
      <c r="M19" s="699"/>
      <c r="N19" s="699"/>
      <c r="O19" s="700" t="s">
        <v>181</v>
      </c>
      <c r="P19" s="700"/>
      <c r="Q19" s="246"/>
      <c r="R19" s="273" t="s">
        <v>179</v>
      </c>
      <c r="S19" s="703" t="s">
        <v>698</v>
      </c>
      <c r="T19" s="703"/>
      <c r="U19" s="703"/>
      <c r="V19" s="696" t="s">
        <v>181</v>
      </c>
      <c r="W19" s="696"/>
      <c r="X19" s="246"/>
      <c r="Y19" s="246"/>
      <c r="Z19" s="246"/>
      <c r="AA19" s="246"/>
      <c r="AB19" s="246"/>
      <c r="AC19" s="246"/>
      <c r="AD19" s="246"/>
      <c r="AE19" s="246"/>
    </row>
    <row r="20" spans="2:31">
      <c r="B20" s="252"/>
      <c r="C20" s="252"/>
      <c r="D20" s="252"/>
      <c r="E20" s="17"/>
      <c r="F20" s="17"/>
      <c r="G20" s="17"/>
      <c r="H20" s="268"/>
      <c r="I20" s="268"/>
      <c r="J20" s="246"/>
      <c r="K20" s="701" t="s">
        <v>190</v>
      </c>
      <c r="L20" s="701"/>
      <c r="M20" s="701"/>
      <c r="N20" s="701"/>
      <c r="O20" s="274" t="s">
        <v>191</v>
      </c>
      <c r="P20" s="275" t="s">
        <v>189</v>
      </c>
      <c r="Q20" s="246"/>
      <c r="R20" s="697" t="s">
        <v>190</v>
      </c>
      <c r="S20" s="697"/>
      <c r="T20" s="697"/>
      <c r="U20" s="697"/>
      <c r="V20" s="276" t="s">
        <v>191</v>
      </c>
      <c r="W20" s="277" t="s">
        <v>189</v>
      </c>
      <c r="X20" s="246"/>
      <c r="Y20" s="246"/>
      <c r="Z20" s="246"/>
      <c r="AA20" s="246"/>
      <c r="AB20" s="246"/>
      <c r="AC20" s="246"/>
      <c r="AD20" s="246"/>
      <c r="AE20" s="246"/>
    </row>
    <row r="21" spans="2:31">
      <c r="B21" s="278"/>
      <c r="C21" s="278"/>
      <c r="D21" s="278"/>
      <c r="E21" s="278"/>
      <c r="F21" s="271"/>
      <c r="G21" s="271"/>
      <c r="H21" s="271"/>
      <c r="I21" s="271"/>
      <c r="J21" s="246"/>
      <c r="K21" s="258"/>
      <c r="L21" s="702" t="s">
        <v>194</v>
      </c>
      <c r="M21" s="702"/>
      <c r="N21" s="702"/>
      <c r="O21" s="279" t="s">
        <v>195</v>
      </c>
      <c r="P21" s="279" t="s">
        <v>195</v>
      </c>
      <c r="Q21" s="246"/>
      <c r="R21" s="258"/>
      <c r="S21" s="698" t="s">
        <v>194</v>
      </c>
      <c r="T21" s="698"/>
      <c r="U21" s="698"/>
      <c r="V21" s="280" t="s">
        <v>195</v>
      </c>
      <c r="W21" s="280" t="s">
        <v>195</v>
      </c>
      <c r="X21" s="246"/>
      <c r="Y21" s="246"/>
      <c r="Z21" s="246"/>
      <c r="AA21" s="246"/>
      <c r="AB21" s="246"/>
      <c r="AC21" s="246"/>
      <c r="AD21" s="246"/>
      <c r="AE21" s="246"/>
    </row>
    <row r="22" spans="2:31">
      <c r="B22" s="278"/>
      <c r="C22" s="278"/>
      <c r="D22" s="278"/>
      <c r="E22" s="271"/>
      <c r="F22" s="281"/>
      <c r="G22" s="44"/>
      <c r="H22" s="281"/>
      <c r="I22" s="44"/>
      <c r="J22" s="246"/>
      <c r="K22" s="258"/>
      <c r="L22" s="702" t="s">
        <v>196</v>
      </c>
      <c r="M22" s="702"/>
      <c r="N22" s="702"/>
      <c r="O22" s="279" t="s">
        <v>195</v>
      </c>
      <c r="P22" s="279" t="s">
        <v>195</v>
      </c>
      <c r="Q22" s="246"/>
      <c r="R22" s="258"/>
      <c r="S22" s="698" t="s">
        <v>196</v>
      </c>
      <c r="T22" s="698"/>
      <c r="U22" s="698"/>
      <c r="V22" s="280"/>
      <c r="W22" s="280"/>
      <c r="X22" s="246"/>
      <c r="Y22" s="246"/>
      <c r="Z22" s="246"/>
      <c r="AA22" s="246"/>
      <c r="AB22" s="246"/>
      <c r="AC22" s="246"/>
      <c r="AD22" s="246"/>
      <c r="AE22" s="246"/>
    </row>
    <row r="23" spans="2:31">
      <c r="B23" s="278"/>
      <c r="C23" s="278"/>
      <c r="D23" s="278"/>
      <c r="E23" s="271"/>
      <c r="F23" s="282"/>
      <c r="G23" s="282"/>
      <c r="H23" s="282"/>
      <c r="I23" s="282"/>
      <c r="J23" s="246"/>
      <c r="K23" s="258"/>
      <c r="L23" s="704" t="s">
        <v>197</v>
      </c>
      <c r="M23" s="705"/>
      <c r="N23" s="706"/>
      <c r="O23" s="279" t="s">
        <v>195</v>
      </c>
      <c r="P23" s="279" t="s">
        <v>195</v>
      </c>
      <c r="Q23" s="246"/>
      <c r="R23" s="258"/>
      <c r="S23" s="283" t="s">
        <v>197</v>
      </c>
      <c r="T23" s="283"/>
      <c r="U23" s="283"/>
      <c r="V23" s="280"/>
      <c r="W23" s="280"/>
      <c r="X23" s="246"/>
      <c r="Y23" s="246"/>
      <c r="Z23" s="246"/>
      <c r="AA23" s="246"/>
      <c r="AB23" s="246"/>
      <c r="AC23" s="246"/>
      <c r="AD23" s="246"/>
      <c r="AE23" s="246"/>
    </row>
    <row r="24" spans="2:31">
      <c r="B24" s="278"/>
      <c r="C24" s="278"/>
      <c r="D24" s="278"/>
      <c r="E24" s="271"/>
      <c r="F24" s="282"/>
      <c r="G24" s="282"/>
      <c r="H24" s="282"/>
      <c r="I24" s="282"/>
      <c r="J24" s="246"/>
      <c r="K24" s="258"/>
      <c r="L24" s="702" t="s">
        <v>199</v>
      </c>
      <c r="M24" s="702"/>
      <c r="N24" s="702"/>
      <c r="O24" s="279" t="s">
        <v>195</v>
      </c>
      <c r="P24" s="279" t="s">
        <v>195</v>
      </c>
      <c r="Q24" s="246"/>
      <c r="R24" s="258"/>
      <c r="S24" s="698" t="s">
        <v>199</v>
      </c>
      <c r="T24" s="698"/>
      <c r="U24" s="698"/>
      <c r="V24" s="280" t="s">
        <v>195</v>
      </c>
      <c r="W24" s="280" t="s">
        <v>195</v>
      </c>
      <c r="X24" s="246"/>
      <c r="Y24" s="246"/>
      <c r="Z24" s="246"/>
      <c r="AA24" s="246"/>
      <c r="AB24" s="246"/>
      <c r="AC24" s="246"/>
      <c r="AD24" s="246"/>
      <c r="AE24" s="246"/>
    </row>
    <row r="25" spans="2:31">
      <c r="B25" s="278"/>
      <c r="C25" s="278"/>
      <c r="D25" s="278"/>
      <c r="E25" s="271"/>
      <c r="F25" s="282"/>
      <c r="G25" s="282"/>
      <c r="H25" s="282"/>
      <c r="I25" s="282"/>
      <c r="J25" s="246"/>
      <c r="K25" s="258"/>
      <c r="L25" s="702" t="s">
        <v>200</v>
      </c>
      <c r="M25" s="702"/>
      <c r="N25" s="702"/>
      <c r="O25" s="279"/>
      <c r="P25" s="279"/>
      <c r="Q25" s="246"/>
      <c r="R25" s="258"/>
      <c r="S25" s="698" t="s">
        <v>200</v>
      </c>
      <c r="T25" s="698"/>
      <c r="U25" s="698"/>
      <c r="V25" s="280" t="s">
        <v>195</v>
      </c>
      <c r="W25" s="280" t="s">
        <v>195</v>
      </c>
      <c r="X25" s="246"/>
      <c r="Y25" s="246"/>
      <c r="Z25" s="246"/>
      <c r="AA25" s="246"/>
      <c r="AB25" s="246"/>
      <c r="AC25" s="246"/>
      <c r="AD25" s="246"/>
      <c r="AE25" s="246"/>
    </row>
    <row r="26" spans="2:31">
      <c r="B26" s="278"/>
      <c r="C26" s="278"/>
      <c r="D26" s="278"/>
      <c r="E26" s="271"/>
      <c r="F26" s="282"/>
      <c r="G26" s="282"/>
      <c r="H26" s="282"/>
      <c r="I26" s="282"/>
      <c r="J26" s="246"/>
      <c r="K26" s="258"/>
      <c r="L26" s="702" t="s">
        <v>201</v>
      </c>
      <c r="M26" s="702"/>
      <c r="N26" s="702"/>
      <c r="O26" s="279" t="s">
        <v>195</v>
      </c>
      <c r="P26" s="279" t="s">
        <v>195</v>
      </c>
      <c r="Q26" s="246"/>
      <c r="R26" s="258"/>
      <c r="S26" s="698" t="s">
        <v>201</v>
      </c>
      <c r="T26" s="698"/>
      <c r="U26" s="698"/>
      <c r="V26" s="280" t="s">
        <v>195</v>
      </c>
      <c r="W26" s="280" t="s">
        <v>195</v>
      </c>
      <c r="X26" s="246"/>
      <c r="Y26" s="246"/>
      <c r="Z26" s="246"/>
      <c r="AA26" s="246"/>
      <c r="AB26" s="246"/>
      <c r="AC26" s="246"/>
      <c r="AD26" s="246"/>
      <c r="AE26" s="246"/>
    </row>
    <row r="27" spans="2:31">
      <c r="B27" s="278"/>
      <c r="C27" s="278"/>
      <c r="D27" s="278"/>
      <c r="E27" s="271"/>
      <c r="F27" s="282"/>
      <c r="G27" s="282"/>
      <c r="H27" s="282"/>
      <c r="I27" s="282"/>
      <c r="J27" s="246"/>
      <c r="K27" s="258"/>
      <c r="L27" s="702" t="s">
        <v>202</v>
      </c>
      <c r="M27" s="702"/>
      <c r="N27" s="702"/>
      <c r="O27" s="279" t="s">
        <v>195</v>
      </c>
      <c r="P27" s="279" t="s">
        <v>195</v>
      </c>
      <c r="Q27" s="246"/>
      <c r="R27" s="258"/>
      <c r="S27" s="698" t="s">
        <v>202</v>
      </c>
      <c r="T27" s="698"/>
      <c r="U27" s="698"/>
      <c r="V27" s="280" t="s">
        <v>195</v>
      </c>
      <c r="W27" s="280" t="s">
        <v>195</v>
      </c>
      <c r="X27" s="246"/>
      <c r="Y27" s="246"/>
      <c r="Z27" s="246"/>
      <c r="AA27" s="246"/>
      <c r="AB27" s="246"/>
      <c r="AC27" s="246"/>
      <c r="AD27" s="246"/>
      <c r="AE27" s="246"/>
    </row>
    <row r="28" spans="2:31">
      <c r="B28" s="278"/>
      <c r="C28" s="278"/>
      <c r="D28" s="278"/>
      <c r="E28" s="271"/>
      <c r="F28" s="282"/>
      <c r="G28" s="282"/>
      <c r="H28" s="282"/>
      <c r="I28" s="282"/>
      <c r="J28" s="246"/>
      <c r="K28" s="258"/>
      <c r="L28" s="702" t="s">
        <v>203</v>
      </c>
      <c r="M28" s="702"/>
      <c r="N28" s="702"/>
      <c r="O28" s="279"/>
      <c r="P28" s="279"/>
      <c r="Q28" s="246"/>
      <c r="R28" s="258"/>
      <c r="S28" s="698" t="s">
        <v>203</v>
      </c>
      <c r="T28" s="698"/>
      <c r="U28" s="698"/>
      <c r="V28" s="280" t="s">
        <v>195</v>
      </c>
      <c r="W28" s="280" t="s">
        <v>195</v>
      </c>
      <c r="X28" s="246"/>
      <c r="Y28" s="246"/>
      <c r="Z28" s="246"/>
      <c r="AA28" s="246"/>
      <c r="AB28" s="246"/>
      <c r="AC28" s="246"/>
      <c r="AD28" s="246"/>
      <c r="AE28" s="246"/>
    </row>
    <row r="29" spans="2:31">
      <c r="B29" s="278"/>
      <c r="C29" s="278"/>
      <c r="D29" s="278"/>
      <c r="E29" s="271"/>
      <c r="F29" s="282"/>
      <c r="G29" s="282"/>
      <c r="H29" s="282"/>
      <c r="I29" s="282"/>
      <c r="J29" s="246"/>
      <c r="K29" s="258"/>
      <c r="L29" s="702" t="s">
        <v>204</v>
      </c>
      <c r="M29" s="702"/>
      <c r="N29" s="702"/>
      <c r="O29" s="279" t="s">
        <v>195</v>
      </c>
      <c r="P29" s="279" t="s">
        <v>195</v>
      </c>
      <c r="Q29" s="246"/>
      <c r="R29" s="258"/>
      <c r="S29" s="698" t="s">
        <v>204</v>
      </c>
      <c r="T29" s="698"/>
      <c r="U29" s="698"/>
      <c r="V29" s="280"/>
      <c r="W29" s="280"/>
      <c r="X29" s="246"/>
      <c r="Y29" s="246"/>
      <c r="Z29" s="246"/>
      <c r="AA29" s="246"/>
      <c r="AB29" s="246"/>
      <c r="AC29" s="246"/>
      <c r="AD29" s="246"/>
      <c r="AE29" s="246"/>
    </row>
    <row r="30" spans="2:31">
      <c r="B30" s="278"/>
      <c r="C30" s="278"/>
      <c r="D30" s="278"/>
      <c r="E30" s="271"/>
      <c r="F30" s="282"/>
      <c r="G30" s="282"/>
      <c r="H30" s="282"/>
      <c r="I30" s="282"/>
      <c r="J30" s="246"/>
      <c r="K30" s="258"/>
      <c r="L30" s="702" t="s">
        <v>205</v>
      </c>
      <c r="M30" s="702"/>
      <c r="N30" s="702"/>
      <c r="O30" s="279" t="s">
        <v>195</v>
      </c>
      <c r="P30" s="279" t="s">
        <v>195</v>
      </c>
      <c r="Q30" s="246"/>
      <c r="R30" s="258"/>
      <c r="S30" s="698" t="s">
        <v>205</v>
      </c>
      <c r="T30" s="698"/>
      <c r="U30" s="698"/>
      <c r="V30" s="280" t="s">
        <v>195</v>
      </c>
      <c r="W30" s="280" t="s">
        <v>195</v>
      </c>
      <c r="X30" s="246"/>
      <c r="Y30" s="246"/>
      <c r="Z30" s="246"/>
      <c r="AA30" s="246"/>
      <c r="AB30" s="246"/>
      <c r="AC30" s="246"/>
      <c r="AD30" s="246"/>
      <c r="AE30" s="246"/>
    </row>
    <row r="31" spans="2:31">
      <c r="B31" s="278"/>
      <c r="C31" s="278"/>
      <c r="D31" s="278"/>
      <c r="E31" s="271"/>
      <c r="F31" s="282"/>
      <c r="G31" s="282"/>
      <c r="H31" s="282"/>
      <c r="I31" s="282"/>
      <c r="J31" s="246"/>
      <c r="K31" s="258"/>
      <c r="L31" s="702" t="s">
        <v>206</v>
      </c>
      <c r="M31" s="702"/>
      <c r="N31" s="702"/>
      <c r="O31" s="279"/>
      <c r="P31" s="279"/>
      <c r="Q31" s="246"/>
      <c r="R31" s="258"/>
      <c r="S31" s="698" t="s">
        <v>206</v>
      </c>
      <c r="T31" s="698"/>
      <c r="U31" s="698"/>
      <c r="V31" s="280"/>
      <c r="W31" s="280"/>
      <c r="X31" s="246"/>
      <c r="Y31" s="246"/>
      <c r="Z31" s="246"/>
      <c r="AA31" s="246"/>
      <c r="AB31" s="246"/>
      <c r="AC31" s="246"/>
      <c r="AD31" s="246"/>
      <c r="AE31" s="246"/>
    </row>
    <row r="32" spans="2:31">
      <c r="B32" s="246"/>
      <c r="C32" s="271"/>
      <c r="D32" s="271"/>
      <c r="E32" s="271"/>
      <c r="F32" s="282"/>
      <c r="G32" s="282"/>
      <c r="H32" s="282"/>
      <c r="I32" s="282"/>
      <c r="J32" s="246"/>
      <c r="K32" s="246"/>
      <c r="L32" s="246"/>
      <c r="M32" s="246"/>
      <c r="N32" s="269" t="s">
        <v>38</v>
      </c>
      <c r="O32" s="270">
        <f>SUM(H6:H9,H11:H12,H14:H15)-SUM(H6:H9,H11:H12,H14:H15)*5/100</f>
        <v>2698000</v>
      </c>
      <c r="P32" s="270">
        <f>SUM(I6:I9,I11:I12,I14:I15)-SUM(I6:I9,I11:I12,I14:I15)*10/100</f>
        <v>3069000</v>
      </c>
      <c r="Q32" s="246"/>
      <c r="R32" s="246"/>
      <c r="S32" s="246"/>
      <c r="T32" s="246"/>
      <c r="U32" s="269" t="s">
        <v>38</v>
      </c>
      <c r="V32" s="270">
        <f>SUM(H6,H9:H13,H15)-SUM(H6,H9:H13,H15)*5/100</f>
        <v>2175500</v>
      </c>
      <c r="W32" s="270">
        <f>SUM(I6,I9:I13,I15)-SUM(I6,I9:I13,I15)*10/100</f>
        <v>2493000</v>
      </c>
      <c r="X32" s="246"/>
      <c r="Y32" s="246"/>
      <c r="Z32" s="246"/>
      <c r="AA32" s="246"/>
      <c r="AB32" s="246"/>
      <c r="AC32" s="246"/>
      <c r="AD32" s="246"/>
      <c r="AE32" s="246"/>
    </row>
    <row r="33" spans="2:31">
      <c r="B33" s="246"/>
      <c r="C33" s="271"/>
      <c r="D33" s="271"/>
      <c r="E33" s="271"/>
      <c r="F33" s="282"/>
      <c r="G33" s="282"/>
      <c r="H33" s="282"/>
      <c r="I33" s="282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</row>
    <row r="34" spans="2:31">
      <c r="B34" s="246"/>
      <c r="C34" s="246"/>
      <c r="D34" s="246"/>
      <c r="E34" s="246"/>
      <c r="F34" s="246"/>
      <c r="G34" s="246"/>
      <c r="H34" s="268"/>
      <c r="I34" s="268"/>
      <c r="J34" s="246"/>
      <c r="K34" s="246"/>
      <c r="L34" s="246"/>
      <c r="M34" s="246"/>
      <c r="N34" s="246"/>
      <c r="O34" s="246"/>
      <c r="P34" s="246"/>
      <c r="Q34" s="246"/>
      <c r="R34" s="246"/>
      <c r="S34" s="246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</row>
    <row r="35" spans="2:31">
      <c r="B35" s="244"/>
      <c r="E35" s="17"/>
      <c r="F35" s="17"/>
      <c r="G35" s="17"/>
      <c r="H35" s="246"/>
      <c r="I35" s="246"/>
      <c r="J35" s="246"/>
      <c r="K35" s="246"/>
      <c r="L35" s="246"/>
      <c r="M35" s="246"/>
      <c r="N35" s="246"/>
      <c r="O35" s="246"/>
      <c r="P35" s="246"/>
      <c r="Q35" s="246"/>
      <c r="R35" s="246"/>
      <c r="S35" s="246"/>
      <c r="T35" s="246"/>
      <c r="U35" s="246"/>
      <c r="V35" s="246"/>
      <c r="W35" s="246"/>
      <c r="X35" s="246"/>
      <c r="Y35" s="246"/>
      <c r="Z35" s="246"/>
      <c r="AA35" s="246"/>
      <c r="AB35" s="246"/>
      <c r="AC35" s="246"/>
      <c r="AD35" s="246"/>
      <c r="AE35" s="246"/>
    </row>
    <row r="36" spans="2:31">
      <c r="B36" s="244"/>
      <c r="E36" s="17"/>
      <c r="F36" s="17"/>
      <c r="G36" s="17"/>
      <c r="H36" s="246"/>
      <c r="I36" s="246"/>
      <c r="J36" s="246"/>
      <c r="K36" s="246"/>
      <c r="L36" s="246"/>
      <c r="M36" s="246"/>
      <c r="N36" s="246"/>
      <c r="O36" s="246"/>
      <c r="P36" s="244"/>
      <c r="Q36" s="244"/>
      <c r="R36" s="244"/>
      <c r="S36" s="244"/>
      <c r="T36" s="244"/>
      <c r="U36" s="244"/>
      <c r="V36" s="244"/>
      <c r="W36" s="244"/>
      <c r="X36" s="244"/>
      <c r="Y36" s="244"/>
      <c r="Z36" s="244"/>
      <c r="AA36" s="244"/>
      <c r="AB36" s="244"/>
      <c r="AC36" s="244"/>
      <c r="AD36" s="244"/>
    </row>
    <row r="37" spans="2:31" ht="17.25" thickBot="1">
      <c r="B37" s="244"/>
      <c r="E37" s="17"/>
      <c r="F37" s="17"/>
      <c r="G37" s="17"/>
      <c r="H37" s="246"/>
      <c r="I37" s="246"/>
      <c r="J37" s="246"/>
      <c r="K37" s="246"/>
      <c r="L37" s="246"/>
      <c r="M37" s="246"/>
      <c r="N37" s="246"/>
      <c r="O37" s="246"/>
      <c r="P37" s="244"/>
      <c r="Q37" s="244"/>
      <c r="R37" s="244"/>
      <c r="S37" s="244"/>
      <c r="T37" s="244"/>
      <c r="U37" s="244"/>
      <c r="V37" s="244"/>
      <c r="W37" s="244"/>
      <c r="X37" s="244"/>
      <c r="Y37" s="244"/>
      <c r="Z37" s="244"/>
      <c r="AA37" s="244"/>
      <c r="AB37" s="244"/>
      <c r="AC37" s="244"/>
      <c r="AD37" s="244"/>
    </row>
    <row r="38" spans="2:31" ht="17.25" thickBot="1">
      <c r="E38" s="720" t="s">
        <v>207</v>
      </c>
      <c r="F38" s="721"/>
      <c r="G38" s="721"/>
      <c r="H38" s="721"/>
      <c r="I38" s="721"/>
      <c r="J38" s="721"/>
      <c r="K38" s="721"/>
      <c r="L38" s="721"/>
      <c r="M38" s="721"/>
      <c r="N38" s="721"/>
      <c r="O38" s="721"/>
      <c r="P38" s="721"/>
      <c r="Q38" s="721"/>
      <c r="R38" s="721"/>
      <c r="S38" s="721"/>
      <c r="T38" s="722"/>
    </row>
    <row r="39" spans="2:31" ht="17.25" thickBot="1">
      <c r="D39" s="18"/>
    </row>
    <row r="40" spans="2:31" ht="20.25" customHeight="1" thickBot="1">
      <c r="D40" s="284"/>
      <c r="E40" s="725" t="s">
        <v>208</v>
      </c>
      <c r="F40" s="725"/>
      <c r="G40" s="726"/>
      <c r="H40" s="285" t="s">
        <v>209</v>
      </c>
      <c r="I40" s="285" t="s">
        <v>86</v>
      </c>
      <c r="J40" s="286" t="s">
        <v>87</v>
      </c>
      <c r="K40" s="285" t="s">
        <v>153</v>
      </c>
      <c r="L40" s="286" t="s">
        <v>154</v>
      </c>
      <c r="M40" s="287" t="s">
        <v>89</v>
      </c>
      <c r="N40" s="286" t="s">
        <v>90</v>
      </c>
      <c r="O40" s="285" t="s">
        <v>155</v>
      </c>
      <c r="P40" s="288" t="s">
        <v>91</v>
      </c>
      <c r="Q40" s="285" t="s">
        <v>156</v>
      </c>
      <c r="R40" s="286" t="s">
        <v>92</v>
      </c>
      <c r="S40" s="288" t="s">
        <v>93</v>
      </c>
      <c r="T40" s="289" t="s">
        <v>54</v>
      </c>
    </row>
    <row r="41" spans="2:31" ht="19.5" customHeight="1" thickBot="1">
      <c r="D41" s="290">
        <v>1</v>
      </c>
      <c r="E41" s="723" t="s">
        <v>194</v>
      </c>
      <c r="F41" s="723"/>
      <c r="G41" s="724"/>
      <c r="H41" s="291">
        <v>500</v>
      </c>
      <c r="I41" s="291">
        <v>400</v>
      </c>
      <c r="J41" s="291">
        <v>333</v>
      </c>
      <c r="K41" s="291">
        <v>450</v>
      </c>
      <c r="L41" s="291">
        <v>555</v>
      </c>
      <c r="M41" s="291">
        <v>1000</v>
      </c>
      <c r="N41" s="291">
        <v>200</v>
      </c>
      <c r="O41" s="291">
        <v>300</v>
      </c>
      <c r="P41" s="291">
        <v>343</v>
      </c>
      <c r="Q41" s="291">
        <v>100</v>
      </c>
      <c r="R41" s="291">
        <v>100</v>
      </c>
      <c r="S41" s="291">
        <v>222</v>
      </c>
      <c r="T41" s="292">
        <v>234</v>
      </c>
      <c r="V41" s="293">
        <v>43440</v>
      </c>
      <c r="W41" s="294">
        <v>43101</v>
      </c>
    </row>
    <row r="42" spans="2:31" ht="19.5" customHeight="1">
      <c r="D42" s="295">
        <v>2</v>
      </c>
      <c r="E42" s="719" t="s">
        <v>196</v>
      </c>
      <c r="F42" s="719"/>
      <c r="G42" s="678"/>
      <c r="H42" s="291">
        <v>40</v>
      </c>
      <c r="I42" s="291">
        <v>95</v>
      </c>
      <c r="J42" s="291">
        <v>595</v>
      </c>
      <c r="K42" s="291">
        <v>419</v>
      </c>
      <c r="L42" s="291">
        <v>256</v>
      </c>
      <c r="M42" s="291">
        <v>528</v>
      </c>
      <c r="N42" s="291">
        <v>274</v>
      </c>
      <c r="O42" s="291">
        <v>54</v>
      </c>
      <c r="P42" s="291">
        <v>46</v>
      </c>
      <c r="Q42" s="291">
        <v>331</v>
      </c>
      <c r="R42" s="291">
        <v>171</v>
      </c>
      <c r="S42" s="291">
        <v>161</v>
      </c>
      <c r="T42" s="292">
        <f t="shared" ref="T42:T49" ca="1" si="0">RANDBETWEEN(40,666)</f>
        <v>509</v>
      </c>
    </row>
    <row r="43" spans="2:31" ht="18.75" customHeight="1">
      <c r="D43" s="295">
        <v>3</v>
      </c>
      <c r="E43" s="718" t="s">
        <v>197</v>
      </c>
      <c r="F43" s="719"/>
      <c r="G43" s="678"/>
      <c r="H43" s="291">
        <v>30</v>
      </c>
      <c r="I43" s="291">
        <v>154</v>
      </c>
      <c r="J43" s="291">
        <v>269</v>
      </c>
      <c r="K43" s="291">
        <v>56</v>
      </c>
      <c r="L43" s="291">
        <v>202</v>
      </c>
      <c r="M43" s="291">
        <v>613</v>
      </c>
      <c r="N43" s="291">
        <v>500</v>
      </c>
      <c r="O43" s="291">
        <v>506</v>
      </c>
      <c r="P43" s="291">
        <v>416</v>
      </c>
      <c r="Q43" s="291">
        <v>634</v>
      </c>
      <c r="R43" s="291">
        <v>205</v>
      </c>
      <c r="S43" s="291">
        <v>642</v>
      </c>
      <c r="T43" s="292">
        <f t="shared" ca="1" si="0"/>
        <v>603</v>
      </c>
    </row>
    <row r="44" spans="2:31" ht="18.75" customHeight="1">
      <c r="B44" s="669" t="s">
        <v>18</v>
      </c>
      <c r="C44" s="669"/>
      <c r="D44" s="295">
        <v>4</v>
      </c>
      <c r="E44" s="718" t="s">
        <v>199</v>
      </c>
      <c r="F44" s="719"/>
      <c r="G44" s="678"/>
      <c r="H44" s="291">
        <v>12</v>
      </c>
      <c r="I44" s="291">
        <v>213</v>
      </c>
      <c r="J44" s="291">
        <v>477</v>
      </c>
      <c r="K44" s="291">
        <v>428</v>
      </c>
      <c r="L44" s="291">
        <v>493</v>
      </c>
      <c r="M44" s="291">
        <v>471</v>
      </c>
      <c r="N44" s="291">
        <v>406</v>
      </c>
      <c r="O44" s="291">
        <v>651</v>
      </c>
      <c r="P44" s="291">
        <v>561</v>
      </c>
      <c r="Q44" s="291">
        <v>540</v>
      </c>
      <c r="R44" s="291">
        <v>280</v>
      </c>
      <c r="S44" s="291">
        <v>47</v>
      </c>
      <c r="T44" s="292">
        <f t="shared" ca="1" si="0"/>
        <v>661</v>
      </c>
    </row>
    <row r="45" spans="2:31" ht="18" customHeight="1">
      <c r="B45" s="670" t="s">
        <v>17</v>
      </c>
      <c r="C45" s="670"/>
      <c r="D45" s="295">
        <v>5</v>
      </c>
      <c r="E45" s="678" t="s">
        <v>210</v>
      </c>
      <c r="F45" s="708"/>
      <c r="G45" s="708"/>
      <c r="H45" s="291">
        <v>13</v>
      </c>
      <c r="I45" s="291">
        <v>607</v>
      </c>
      <c r="J45" s="291">
        <v>538</v>
      </c>
      <c r="K45" s="291">
        <v>219</v>
      </c>
      <c r="L45" s="291">
        <v>214</v>
      </c>
      <c r="M45" s="291">
        <v>269</v>
      </c>
      <c r="N45" s="291">
        <v>388</v>
      </c>
      <c r="O45" s="291">
        <v>377</v>
      </c>
      <c r="P45" s="291">
        <v>621</v>
      </c>
      <c r="Q45" s="291">
        <v>187</v>
      </c>
      <c r="R45" s="291">
        <v>609</v>
      </c>
      <c r="S45" s="291">
        <v>386</v>
      </c>
      <c r="T45" s="292">
        <f t="shared" ca="1" si="0"/>
        <v>267</v>
      </c>
    </row>
    <row r="46" spans="2:31" ht="19.5" customHeight="1">
      <c r="B46" s="670" t="s">
        <v>1029</v>
      </c>
      <c r="C46" s="670"/>
      <c r="D46" s="295">
        <v>6</v>
      </c>
      <c r="E46" s="678" t="s">
        <v>211</v>
      </c>
      <c r="F46" s="708"/>
      <c r="G46" s="708"/>
      <c r="H46" s="291">
        <v>15</v>
      </c>
      <c r="I46" s="291">
        <v>493</v>
      </c>
      <c r="J46" s="291">
        <v>557</v>
      </c>
      <c r="K46" s="291">
        <v>464</v>
      </c>
      <c r="L46" s="291">
        <v>635</v>
      </c>
      <c r="M46" s="291">
        <v>412</v>
      </c>
      <c r="N46" s="291">
        <v>85</v>
      </c>
      <c r="O46" s="291">
        <v>459</v>
      </c>
      <c r="P46" s="291">
        <v>108</v>
      </c>
      <c r="Q46" s="291">
        <v>645</v>
      </c>
      <c r="R46" s="291">
        <v>137</v>
      </c>
      <c r="S46" s="291">
        <v>76</v>
      </c>
      <c r="T46" s="292">
        <f t="shared" ca="1" si="0"/>
        <v>50</v>
      </c>
    </row>
    <row r="47" spans="2:31" ht="18.75" customHeight="1">
      <c r="B47" s="670" t="s">
        <v>1030</v>
      </c>
      <c r="C47" s="670"/>
      <c r="D47" s="295">
        <v>7</v>
      </c>
      <c r="E47" s="678" t="s">
        <v>212</v>
      </c>
      <c r="F47" s="708"/>
      <c r="G47" s="708"/>
      <c r="H47" s="291">
        <v>50</v>
      </c>
      <c r="I47" s="291">
        <v>474</v>
      </c>
      <c r="J47" s="291">
        <v>374</v>
      </c>
      <c r="K47" s="291">
        <v>113</v>
      </c>
      <c r="L47" s="291">
        <v>446</v>
      </c>
      <c r="M47" s="291">
        <v>469</v>
      </c>
      <c r="N47" s="291">
        <v>80</v>
      </c>
      <c r="O47" s="291">
        <v>434</v>
      </c>
      <c r="P47" s="291">
        <v>118</v>
      </c>
      <c r="Q47" s="291">
        <v>179</v>
      </c>
      <c r="R47" s="291">
        <v>617</v>
      </c>
      <c r="S47" s="291">
        <v>258</v>
      </c>
      <c r="T47" s="292">
        <f t="shared" ca="1" si="0"/>
        <v>363</v>
      </c>
    </row>
    <row r="48" spans="2:31" ht="18" customHeight="1">
      <c r="D48" s="295">
        <v>8</v>
      </c>
      <c r="E48" s="678" t="s">
        <v>213</v>
      </c>
      <c r="F48" s="708"/>
      <c r="G48" s="708"/>
      <c r="H48" s="291">
        <v>30</v>
      </c>
      <c r="I48" s="291">
        <v>414</v>
      </c>
      <c r="J48" s="291">
        <v>308</v>
      </c>
      <c r="K48" s="291">
        <v>514</v>
      </c>
      <c r="L48" s="291">
        <v>184</v>
      </c>
      <c r="M48" s="291">
        <v>57</v>
      </c>
      <c r="N48" s="291">
        <v>182</v>
      </c>
      <c r="O48" s="291">
        <v>342</v>
      </c>
      <c r="P48" s="291">
        <v>587</v>
      </c>
      <c r="Q48" s="291">
        <v>310</v>
      </c>
      <c r="R48" s="291">
        <v>150</v>
      </c>
      <c r="S48" s="291">
        <v>416</v>
      </c>
      <c r="T48" s="292">
        <f t="shared" ca="1" si="0"/>
        <v>632</v>
      </c>
    </row>
    <row r="49" spans="2:20" ht="19.5" customHeight="1">
      <c r="D49" s="295">
        <v>9</v>
      </c>
      <c r="E49" s="678" t="s">
        <v>214</v>
      </c>
      <c r="F49" s="708"/>
      <c r="G49" s="708"/>
      <c r="H49" s="291">
        <v>15</v>
      </c>
      <c r="I49" s="291">
        <v>592</v>
      </c>
      <c r="J49" s="291">
        <v>411</v>
      </c>
      <c r="K49" s="291">
        <v>497</v>
      </c>
      <c r="L49" s="291">
        <v>623</v>
      </c>
      <c r="M49" s="291">
        <v>270</v>
      </c>
      <c r="N49" s="291">
        <v>284</v>
      </c>
      <c r="O49" s="291">
        <v>450</v>
      </c>
      <c r="P49" s="291">
        <v>345</v>
      </c>
      <c r="Q49" s="291">
        <v>439</v>
      </c>
      <c r="R49" s="291">
        <v>70</v>
      </c>
      <c r="S49" s="291">
        <v>49</v>
      </c>
      <c r="T49" s="292">
        <f t="shared" ca="1" si="0"/>
        <v>40</v>
      </c>
    </row>
    <row r="50" spans="2:20" ht="17.25" thickBot="1">
      <c r="D50" s="296">
        <v>10</v>
      </c>
      <c r="E50" s="731" t="s">
        <v>54</v>
      </c>
      <c r="F50" s="732"/>
      <c r="G50" s="732"/>
      <c r="H50" s="297">
        <f t="shared" ref="H50:T50" si="1">SUM(H41:H49)</f>
        <v>705</v>
      </c>
      <c r="I50" s="297">
        <f t="shared" si="1"/>
        <v>3442</v>
      </c>
      <c r="J50" s="297">
        <f t="shared" si="1"/>
        <v>3862</v>
      </c>
      <c r="K50" s="297">
        <f t="shared" si="1"/>
        <v>3160</v>
      </c>
      <c r="L50" s="297">
        <f t="shared" si="1"/>
        <v>3608</v>
      </c>
      <c r="M50" s="297">
        <f t="shared" si="1"/>
        <v>4089</v>
      </c>
      <c r="N50" s="297">
        <f t="shared" si="1"/>
        <v>2399</v>
      </c>
      <c r="O50" s="297">
        <f t="shared" si="1"/>
        <v>3573</v>
      </c>
      <c r="P50" s="297">
        <f t="shared" si="1"/>
        <v>3145</v>
      </c>
      <c r="Q50" s="297">
        <f t="shared" si="1"/>
        <v>3365</v>
      </c>
      <c r="R50" s="297">
        <f t="shared" si="1"/>
        <v>2339</v>
      </c>
      <c r="S50" s="297">
        <f t="shared" si="1"/>
        <v>2257</v>
      </c>
      <c r="T50" s="298">
        <f t="shared" ca="1" si="1"/>
        <v>3359</v>
      </c>
    </row>
    <row r="56" spans="2:20" ht="30" customHeight="1">
      <c r="B56" s="739" t="s">
        <v>809</v>
      </c>
      <c r="C56" s="727" t="s">
        <v>194</v>
      </c>
      <c r="D56" s="727" t="s">
        <v>196</v>
      </c>
      <c r="E56" s="727" t="s">
        <v>808</v>
      </c>
      <c r="F56" s="727" t="s">
        <v>807</v>
      </c>
      <c r="G56" s="727" t="s">
        <v>200</v>
      </c>
      <c r="H56" s="727" t="s">
        <v>201</v>
      </c>
      <c r="I56" s="727" t="s">
        <v>194</v>
      </c>
      <c r="J56" s="727" t="s">
        <v>203</v>
      </c>
      <c r="K56" s="727" t="s">
        <v>204</v>
      </c>
      <c r="L56" s="727" t="s">
        <v>205</v>
      </c>
      <c r="M56" s="727" t="s">
        <v>206</v>
      </c>
    </row>
    <row r="57" spans="2:20">
      <c r="B57" s="739"/>
      <c r="C57" s="727"/>
      <c r="D57" s="727"/>
      <c r="E57" s="727"/>
      <c r="F57" s="727"/>
      <c r="G57" s="727"/>
      <c r="H57" s="727"/>
      <c r="I57" s="727"/>
      <c r="J57" s="727"/>
      <c r="K57" s="727"/>
      <c r="L57" s="727"/>
      <c r="M57" s="727"/>
    </row>
    <row r="58" spans="2:20">
      <c r="B58" s="739"/>
      <c r="C58" s="727"/>
      <c r="D58" s="727"/>
      <c r="E58" s="727"/>
      <c r="F58" s="727"/>
      <c r="G58" s="727"/>
      <c r="H58" s="727"/>
      <c r="I58" s="727"/>
      <c r="J58" s="727"/>
      <c r="K58" s="727"/>
      <c r="L58" s="727"/>
      <c r="M58" s="727"/>
    </row>
    <row r="59" spans="2:20">
      <c r="B59" s="79" t="s">
        <v>806</v>
      </c>
      <c r="C59" s="299">
        <v>30000</v>
      </c>
      <c r="D59" s="299">
        <v>45000</v>
      </c>
      <c r="E59" s="300">
        <v>50000</v>
      </c>
      <c r="F59" s="299">
        <v>100000</v>
      </c>
      <c r="G59" s="299">
        <v>50000</v>
      </c>
      <c r="H59" s="301">
        <v>150000</v>
      </c>
      <c r="I59" s="301">
        <v>200000</v>
      </c>
      <c r="J59" s="301">
        <v>100000</v>
      </c>
      <c r="K59" s="301">
        <v>300000</v>
      </c>
      <c r="L59" s="301">
        <v>150000</v>
      </c>
      <c r="M59" s="301">
        <v>30000</v>
      </c>
    </row>
    <row r="60" spans="2:20">
      <c r="B60" s="79" t="s">
        <v>805</v>
      </c>
      <c r="C60" s="301">
        <v>158333</v>
      </c>
      <c r="D60" s="301">
        <v>429173</v>
      </c>
      <c r="E60" s="301">
        <v>369857</v>
      </c>
      <c r="F60" s="301">
        <v>402802</v>
      </c>
      <c r="G60" s="301">
        <v>435586</v>
      </c>
      <c r="H60" s="301">
        <v>337293</v>
      </c>
      <c r="I60" s="301">
        <v>330388</v>
      </c>
      <c r="J60" s="301">
        <v>165412</v>
      </c>
      <c r="K60" s="301">
        <v>193077</v>
      </c>
      <c r="L60" s="301">
        <v>156933</v>
      </c>
      <c r="M60" s="301">
        <v>350151</v>
      </c>
    </row>
    <row r="61" spans="2:20">
      <c r="B61" s="79" t="s">
        <v>804</v>
      </c>
      <c r="C61" s="301">
        <v>57292</v>
      </c>
      <c r="D61" s="301">
        <v>79046</v>
      </c>
      <c r="E61" s="301">
        <v>66156</v>
      </c>
      <c r="F61" s="301">
        <v>51389</v>
      </c>
      <c r="G61" s="301">
        <v>65960</v>
      </c>
      <c r="H61" s="301">
        <v>107682</v>
      </c>
      <c r="I61" s="301">
        <v>141368</v>
      </c>
      <c r="J61" s="301">
        <v>100011</v>
      </c>
      <c r="K61" s="301">
        <v>50612</v>
      </c>
      <c r="L61" s="301">
        <v>73331</v>
      </c>
      <c r="M61" s="301">
        <v>96396</v>
      </c>
    </row>
    <row r="62" spans="2:20">
      <c r="B62" s="79" t="s">
        <v>803</v>
      </c>
      <c r="C62" s="301">
        <v>31657</v>
      </c>
      <c r="D62" s="301">
        <v>42700</v>
      </c>
      <c r="E62" s="301">
        <v>41550</v>
      </c>
      <c r="F62" s="301">
        <v>17081</v>
      </c>
      <c r="G62" s="301">
        <v>20719</v>
      </c>
      <c r="H62" s="301">
        <v>28531</v>
      </c>
      <c r="I62" s="301">
        <v>16650</v>
      </c>
      <c r="J62" s="301">
        <v>25919</v>
      </c>
      <c r="K62" s="301">
        <v>25453</v>
      </c>
      <c r="L62" s="301">
        <v>11731</v>
      </c>
      <c r="M62" s="301">
        <v>18690</v>
      </c>
    </row>
    <row r="63" spans="2:20">
      <c r="B63" s="79" t="s">
        <v>802</v>
      </c>
      <c r="C63" s="301">
        <v>48010</v>
      </c>
      <c r="D63" s="301">
        <v>41985</v>
      </c>
      <c r="E63" s="301">
        <v>36554</v>
      </c>
      <c r="F63" s="301">
        <v>31431</v>
      </c>
      <c r="G63" s="301">
        <v>40280</v>
      </c>
      <c r="H63" s="301">
        <v>42538</v>
      </c>
      <c r="I63" s="301">
        <v>47154</v>
      </c>
      <c r="J63" s="301">
        <v>32361</v>
      </c>
      <c r="K63" s="301">
        <v>46531</v>
      </c>
      <c r="L63" s="301">
        <v>48625</v>
      </c>
      <c r="M63" s="301">
        <v>35378</v>
      </c>
    </row>
    <row r="64" spans="2:20">
      <c r="B64" s="79" t="s">
        <v>801</v>
      </c>
      <c r="C64" s="301">
        <v>67362</v>
      </c>
      <c r="D64" s="301">
        <v>75078</v>
      </c>
      <c r="E64" s="301">
        <v>64452</v>
      </c>
      <c r="F64" s="301">
        <v>68738</v>
      </c>
      <c r="G64" s="301">
        <v>96543</v>
      </c>
      <c r="H64" s="301">
        <v>81450</v>
      </c>
      <c r="I64" s="301">
        <v>66313</v>
      </c>
      <c r="J64" s="301">
        <v>89894</v>
      </c>
      <c r="K64" s="301">
        <v>66357</v>
      </c>
      <c r="L64" s="301">
        <v>92893</v>
      </c>
      <c r="M64" s="301">
        <v>71525</v>
      </c>
    </row>
    <row r="65" spans="2:13">
      <c r="B65" s="80" t="s">
        <v>800</v>
      </c>
      <c r="C65" s="302">
        <v>144352</v>
      </c>
      <c r="D65" s="302">
        <v>97635</v>
      </c>
      <c r="E65" s="302">
        <v>103981</v>
      </c>
      <c r="F65" s="302">
        <v>66711</v>
      </c>
      <c r="G65" s="302">
        <v>151080</v>
      </c>
      <c r="H65" s="302">
        <v>164034</v>
      </c>
      <c r="I65" s="302">
        <v>140277</v>
      </c>
      <c r="J65" s="302">
        <v>115423</v>
      </c>
      <c r="K65" s="302">
        <v>149598</v>
      </c>
      <c r="L65" s="302">
        <v>162630</v>
      </c>
      <c r="M65" s="302">
        <v>98895</v>
      </c>
    </row>
    <row r="66" spans="2:13">
      <c r="B66" s="79" t="s">
        <v>799</v>
      </c>
      <c r="C66" s="301">
        <v>377879</v>
      </c>
      <c r="D66" s="301">
        <v>303869</v>
      </c>
      <c r="E66" s="301">
        <v>371029</v>
      </c>
      <c r="F66" s="301">
        <v>512183</v>
      </c>
      <c r="G66" s="301">
        <v>339551</v>
      </c>
      <c r="H66" s="301">
        <v>361324</v>
      </c>
      <c r="I66" s="301">
        <v>353284</v>
      </c>
      <c r="J66" s="301">
        <v>312578</v>
      </c>
      <c r="K66" s="301">
        <v>495405</v>
      </c>
      <c r="L66" s="301">
        <v>359216</v>
      </c>
      <c r="M66" s="301">
        <v>377094</v>
      </c>
    </row>
    <row r="67" spans="2:13" ht="15" customHeight="1">
      <c r="B67" s="303" t="s">
        <v>798</v>
      </c>
      <c r="C67" s="304">
        <v>641428</v>
      </c>
      <c r="D67" s="304">
        <v>301232</v>
      </c>
      <c r="E67" s="304">
        <v>521216</v>
      </c>
      <c r="F67" s="304">
        <v>458111</v>
      </c>
      <c r="G67" s="304">
        <v>470656</v>
      </c>
      <c r="H67" s="304">
        <v>559255</v>
      </c>
      <c r="I67" s="304">
        <v>422879</v>
      </c>
      <c r="J67" s="304">
        <v>518363</v>
      </c>
      <c r="K67" s="304">
        <v>635256</v>
      </c>
      <c r="L67" s="304">
        <v>597770</v>
      </c>
      <c r="M67" s="304">
        <v>541931</v>
      </c>
    </row>
    <row r="68" spans="2:13">
      <c r="B68" s="303" t="s">
        <v>797</v>
      </c>
      <c r="C68" s="304">
        <v>431920</v>
      </c>
      <c r="D68" s="304">
        <v>689600</v>
      </c>
      <c r="E68" s="304">
        <v>528930</v>
      </c>
      <c r="F68" s="304">
        <v>589292</v>
      </c>
      <c r="G68" s="304">
        <v>455896</v>
      </c>
      <c r="H68" s="304">
        <v>746417</v>
      </c>
      <c r="I68" s="304">
        <v>348108</v>
      </c>
      <c r="J68" s="304">
        <v>457880</v>
      </c>
      <c r="K68" s="304">
        <v>483919</v>
      </c>
      <c r="L68" s="304">
        <v>509563</v>
      </c>
      <c r="M68" s="304">
        <v>739033</v>
      </c>
    </row>
    <row r="69" spans="2:13">
      <c r="B69" s="305" t="s">
        <v>796</v>
      </c>
      <c r="C69" s="306">
        <f t="shared" ref="C69:M69" si="2">SUM(C59:C68)</f>
        <v>1988233</v>
      </c>
      <c r="D69" s="306">
        <f t="shared" si="2"/>
        <v>2105318</v>
      </c>
      <c r="E69" s="306">
        <f t="shared" si="2"/>
        <v>2153725</v>
      </c>
      <c r="F69" s="306">
        <f t="shared" si="2"/>
        <v>2297738</v>
      </c>
      <c r="G69" s="306">
        <f t="shared" si="2"/>
        <v>2126271</v>
      </c>
      <c r="H69" s="306">
        <f t="shared" si="2"/>
        <v>2578524</v>
      </c>
      <c r="I69" s="306">
        <f t="shared" si="2"/>
        <v>2066421</v>
      </c>
      <c r="J69" s="306">
        <f t="shared" si="2"/>
        <v>1917841</v>
      </c>
      <c r="K69" s="306">
        <f t="shared" si="2"/>
        <v>2446208</v>
      </c>
      <c r="L69" s="306">
        <f t="shared" si="2"/>
        <v>2162692</v>
      </c>
      <c r="M69" s="306">
        <f t="shared" si="2"/>
        <v>2359093</v>
      </c>
    </row>
    <row r="70" spans="2:13">
      <c r="B70" s="271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</row>
    <row r="71" spans="2:13">
      <c r="B71" s="740" t="s">
        <v>795</v>
      </c>
      <c r="C71" s="737">
        <f>SUM(C69:M69)</f>
        <v>24202064</v>
      </c>
      <c r="D71" s="737"/>
      <c r="E71" s="737"/>
      <c r="G71" s="82"/>
      <c r="H71" s="82"/>
      <c r="I71" s="82"/>
      <c r="J71" s="82"/>
      <c r="K71" s="82"/>
      <c r="L71" s="82"/>
      <c r="M71" s="82"/>
    </row>
    <row r="72" spans="2:13">
      <c r="B72" s="740"/>
      <c r="C72" s="737"/>
      <c r="D72" s="737"/>
      <c r="E72" s="737"/>
      <c r="F72" s="82"/>
      <c r="G72" s="82"/>
      <c r="H72" s="82"/>
      <c r="I72" s="82"/>
      <c r="J72" s="82"/>
      <c r="K72" s="82"/>
      <c r="L72" s="82"/>
      <c r="M72" s="82"/>
    </row>
    <row r="73" spans="2:13">
      <c r="B73" s="307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</row>
    <row r="74" spans="2:13">
      <c r="B74" s="741" t="s">
        <v>794</v>
      </c>
      <c r="C74" s="737">
        <f>SUM(C69,F69,H69,I69,K69,M69)</f>
        <v>13736217</v>
      </c>
      <c r="D74" s="737"/>
      <c r="E74" s="737"/>
      <c r="F74" s="82"/>
      <c r="G74" s="82"/>
      <c r="H74" s="82"/>
      <c r="I74" s="82"/>
      <c r="J74" s="82"/>
      <c r="K74" s="82"/>
      <c r="L74" s="82"/>
      <c r="M74" s="82"/>
    </row>
    <row r="75" spans="2:13">
      <c r="B75" s="741"/>
      <c r="C75" s="737"/>
      <c r="D75" s="737"/>
      <c r="E75" s="737"/>
      <c r="F75" s="82"/>
      <c r="G75" s="82"/>
      <c r="H75" s="82"/>
      <c r="I75" s="82"/>
      <c r="J75" s="82"/>
      <c r="K75" s="82"/>
      <c r="L75" s="82"/>
      <c r="M75" s="82"/>
    </row>
    <row r="76" spans="2:13">
      <c r="B76" s="307"/>
    </row>
    <row r="77" spans="2:13">
      <c r="B77" s="735" t="s">
        <v>793</v>
      </c>
      <c r="C77" s="738">
        <f>SUM(C69,D69,E69,F69,H69,I69,K69,L69)</f>
        <v>17798859</v>
      </c>
      <c r="D77" s="738"/>
      <c r="E77" s="738"/>
    </row>
    <row r="78" spans="2:13">
      <c r="B78" s="735"/>
      <c r="C78" s="738"/>
      <c r="D78" s="738"/>
      <c r="E78" s="738"/>
    </row>
    <row r="79" spans="2:13">
      <c r="B79" s="307"/>
    </row>
    <row r="80" spans="2:13">
      <c r="B80" s="736" t="s">
        <v>792</v>
      </c>
      <c r="C80" s="738">
        <f>SUM(C69,F69,G69,H69,I69,J69,L69)</f>
        <v>15137720</v>
      </c>
      <c r="D80" s="738"/>
      <c r="E80" s="738"/>
    </row>
    <row r="81" spans="2:5">
      <c r="B81" s="736"/>
      <c r="C81" s="738"/>
      <c r="D81" s="738"/>
      <c r="E81" s="738"/>
    </row>
  </sheetData>
  <sheetProtection algorithmName="SHA-512" hashValue="ghpC0luesTT+eSXpDWTDZuutd1z2QePgN/QQ6CQw4P600kLHJ8JIBo5LYowAOboqNZ4Aj+R+ubhhvihNjSy6aA==" saltValue="km+PPnQYtSNmHnXAJxv3Sg==" spinCount="100000" sheet="1" formatCells="0" formatColumns="0" formatRows="0" insertColumns="0" insertRows="0" insertHyperlinks="0" deleteColumns="0" deleteRows="0" selectLockedCells="1" sort="0" autoFilter="0" pivotTables="0"/>
  <mergeCells count="105">
    <mergeCell ref="B46:C46"/>
    <mergeCell ref="B47:C47"/>
    <mergeCell ref="B77:B78"/>
    <mergeCell ref="B80:B81"/>
    <mergeCell ref="C71:E72"/>
    <mergeCell ref="C74:E75"/>
    <mergeCell ref="C77:E78"/>
    <mergeCell ref="C80:E81"/>
    <mergeCell ref="B56:B58"/>
    <mergeCell ref="B71:B72"/>
    <mergeCell ref="B74:B75"/>
    <mergeCell ref="K56:K58"/>
    <mergeCell ref="L56:L58"/>
    <mergeCell ref="M56:M58"/>
    <mergeCell ref="E56:E58"/>
    <mergeCell ref="J56:J58"/>
    <mergeCell ref="C56:C58"/>
    <mergeCell ref="D56:D58"/>
    <mergeCell ref="D5:G5"/>
    <mergeCell ref="H4:I4"/>
    <mergeCell ref="E4:G4"/>
    <mergeCell ref="E8:G8"/>
    <mergeCell ref="F56:F58"/>
    <mergeCell ref="G56:G58"/>
    <mergeCell ref="H56:H58"/>
    <mergeCell ref="I56:I58"/>
    <mergeCell ref="E49:G49"/>
    <mergeCell ref="E50:G50"/>
    <mergeCell ref="E48:G48"/>
    <mergeCell ref="E45:G45"/>
    <mergeCell ref="E46:G46"/>
    <mergeCell ref="E47:G47"/>
    <mergeCell ref="B4:C4"/>
    <mergeCell ref="B44:C44"/>
    <mergeCell ref="B45:C45"/>
    <mergeCell ref="F2:O2"/>
    <mergeCell ref="E9:G9"/>
    <mergeCell ref="E6:G6"/>
    <mergeCell ref="E7:G7"/>
    <mergeCell ref="E10:G10"/>
    <mergeCell ref="L6:N6"/>
    <mergeCell ref="L7:N7"/>
    <mergeCell ref="E43:G43"/>
    <mergeCell ref="E44:G44"/>
    <mergeCell ref="L24:N24"/>
    <mergeCell ref="L25:N25"/>
    <mergeCell ref="E15:G15"/>
    <mergeCell ref="E16:G16"/>
    <mergeCell ref="L22:N22"/>
    <mergeCell ref="L14:N14"/>
    <mergeCell ref="L15:N15"/>
    <mergeCell ref="E38:T38"/>
    <mergeCell ref="E42:G42"/>
    <mergeCell ref="E41:G41"/>
    <mergeCell ref="E40:G40"/>
    <mergeCell ref="S29:U29"/>
    <mergeCell ref="S30:U30"/>
    <mergeCell ref="S14:U14"/>
    <mergeCell ref="S15:U15"/>
    <mergeCell ref="V4:W4"/>
    <mergeCell ref="R5:U5"/>
    <mergeCell ref="S6:U6"/>
    <mergeCell ref="S13:U13"/>
    <mergeCell ref="K5:N5"/>
    <mergeCell ref="O4:P4"/>
    <mergeCell ref="L9:N9"/>
    <mergeCell ref="L10:N10"/>
    <mergeCell ref="L4:N4"/>
    <mergeCell ref="L12:N12"/>
    <mergeCell ref="L13:N13"/>
    <mergeCell ref="S12:U12"/>
    <mergeCell ref="S4:U4"/>
    <mergeCell ref="S16:U16"/>
    <mergeCell ref="S7:U7"/>
    <mergeCell ref="S9:U9"/>
    <mergeCell ref="S10:U10"/>
    <mergeCell ref="S11:U11"/>
    <mergeCell ref="E14:G14"/>
    <mergeCell ref="E12:G12"/>
    <mergeCell ref="E13:G13"/>
    <mergeCell ref="E11:G11"/>
    <mergeCell ref="L16:N16"/>
    <mergeCell ref="L11:N11"/>
    <mergeCell ref="S28:U28"/>
    <mergeCell ref="L23:N23"/>
    <mergeCell ref="S31:U31"/>
    <mergeCell ref="L26:N26"/>
    <mergeCell ref="L27:N27"/>
    <mergeCell ref="L28:N28"/>
    <mergeCell ref="L29:N29"/>
    <mergeCell ref="L30:N30"/>
    <mergeCell ref="L31:N31"/>
    <mergeCell ref="V19:W19"/>
    <mergeCell ref="R20:U20"/>
    <mergeCell ref="S21:U21"/>
    <mergeCell ref="S22:U22"/>
    <mergeCell ref="L19:N19"/>
    <mergeCell ref="O19:P19"/>
    <mergeCell ref="K20:N20"/>
    <mergeCell ref="L21:N21"/>
    <mergeCell ref="S27:U27"/>
    <mergeCell ref="S24:U24"/>
    <mergeCell ref="S25:U25"/>
    <mergeCell ref="S26:U26"/>
    <mergeCell ref="S19:U19"/>
  </mergeCells>
  <conditionalFormatting sqref="D6:I7 D9:I16 D8:E8 H8:I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S50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{FD2D3088-F067-41CC-83EF-71C873E11981}</x14:id>
        </ext>
      </extLst>
    </cfRule>
  </conditionalFormatting>
  <conditionalFormatting sqref="D41:D50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T40:T50">
    <cfRule type="colorScale" priority="2">
      <colorScale>
        <cfvo type="min"/>
        <cfvo type="max"/>
        <color rgb="FF63BE7B"/>
        <color rgb="FFFFEF9C"/>
      </colorScale>
    </cfRule>
  </conditionalFormatting>
  <conditionalFormatting sqref="C56:M56 D57:D58 F57:M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2D3088-F067-41CC-83EF-71C873E119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H41:S50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rgb="FF7030A0"/>
  </sheetPr>
  <dimension ref="B2:BG290"/>
  <sheetViews>
    <sheetView zoomScale="70" zoomScaleNormal="70" workbookViewId="0">
      <selection activeCell="A14" sqref="A14"/>
    </sheetView>
  </sheetViews>
  <sheetFormatPr baseColWidth="10" defaultRowHeight="15"/>
  <cols>
    <col min="1" max="2" width="11" style="224"/>
    <col min="3" max="3" width="8.375" style="224" customWidth="1"/>
    <col min="4" max="4" width="11" style="224"/>
    <col min="5" max="5" width="17.75" style="224" customWidth="1"/>
    <col min="6" max="6" width="17" style="338" customWidth="1"/>
    <col min="7" max="7" width="13.625" style="339" customWidth="1"/>
    <col min="8" max="8" width="14.125" style="339" customWidth="1"/>
    <col min="9" max="9" width="13.625" style="339" customWidth="1"/>
    <col min="10" max="10" width="13.375" style="339" customWidth="1"/>
    <col min="11" max="11" width="15.125" style="340" customWidth="1"/>
    <col min="12" max="12" width="13.5" style="340" customWidth="1"/>
    <col min="13" max="13" width="11.125" style="340" bestFit="1" customWidth="1"/>
    <col min="14" max="18" width="11.125" style="340" customWidth="1"/>
    <col min="19" max="19" width="12.625" style="340" bestFit="1" customWidth="1"/>
    <col min="20" max="20" width="11.125" style="340" customWidth="1"/>
    <col min="21" max="21" width="11.625" style="340" bestFit="1" customWidth="1"/>
    <col min="22" max="22" width="11.125" style="340" customWidth="1"/>
    <col min="23" max="23" width="15" style="340" customWidth="1"/>
    <col min="24" max="24" width="12.125" style="340" customWidth="1"/>
    <col min="25" max="25" width="12.375" style="340" customWidth="1"/>
    <col min="26" max="26" width="12.25" style="224" bestFit="1" customWidth="1"/>
    <col min="27" max="27" width="10.125" style="224" bestFit="1" customWidth="1"/>
    <col min="28" max="28" width="11.125" style="224" bestFit="1" customWidth="1"/>
    <col min="29" max="51" width="11" style="224"/>
    <col min="52" max="52" width="13.25" style="224" customWidth="1"/>
    <col min="53" max="54" width="11" style="224"/>
    <col min="55" max="55" width="12.375" style="224" customWidth="1"/>
    <col min="56" max="56" width="10.375" style="224" customWidth="1"/>
    <col min="57" max="57" width="10.75" style="224" customWidth="1"/>
    <col min="58" max="58" width="10.625" style="224" customWidth="1"/>
    <col min="59" max="59" width="10.5" style="224" customWidth="1"/>
    <col min="60" max="16384" width="11" style="224"/>
  </cols>
  <sheetData>
    <row r="2" spans="2:59" ht="17.25" thickBot="1">
      <c r="L2" s="669" t="s">
        <v>18</v>
      </c>
      <c r="M2" s="669"/>
    </row>
    <row r="3" spans="2:59" ht="16.5" customHeight="1">
      <c r="C3" s="786" t="s">
        <v>704</v>
      </c>
      <c r="D3" s="787"/>
      <c r="E3" s="787"/>
      <c r="F3" s="787"/>
      <c r="G3" s="787"/>
      <c r="H3" s="787"/>
      <c r="I3" s="787"/>
      <c r="J3" s="788"/>
      <c r="L3" s="670" t="s">
        <v>17</v>
      </c>
      <c r="M3" s="670"/>
    </row>
    <row r="4" spans="2:59" ht="15.75" thickBot="1">
      <c r="C4" s="789"/>
      <c r="D4" s="790"/>
      <c r="E4" s="790"/>
      <c r="F4" s="790"/>
      <c r="G4" s="790"/>
      <c r="H4" s="790"/>
      <c r="I4" s="790"/>
      <c r="J4" s="791"/>
      <c r="L4" s="670" t="s">
        <v>1029</v>
      </c>
      <c r="M4" s="670"/>
    </row>
    <row r="5" spans="2:59" ht="15" customHeight="1" thickBot="1">
      <c r="C5" s="341"/>
      <c r="D5" s="341"/>
      <c r="E5" s="341"/>
      <c r="F5" s="342"/>
      <c r="G5" s="341"/>
      <c r="H5" s="341"/>
      <c r="I5" s="341"/>
      <c r="J5" s="341"/>
      <c r="L5" s="670" t="s">
        <v>1030</v>
      </c>
      <c r="M5" s="670"/>
    </row>
    <row r="6" spans="2:59" s="343" customFormat="1" ht="21" customHeight="1" thickBot="1">
      <c r="C6" s="344"/>
      <c r="D6" s="344"/>
      <c r="E6" s="344"/>
      <c r="F6" s="345"/>
      <c r="G6" s="754" t="s">
        <v>209</v>
      </c>
      <c r="H6" s="755"/>
      <c r="I6" s="755"/>
      <c r="J6" s="756"/>
      <c r="K6" s="792" t="s">
        <v>86</v>
      </c>
      <c r="L6" s="793"/>
      <c r="M6" s="793"/>
      <c r="N6" s="794"/>
      <c r="O6" s="745" t="s">
        <v>87</v>
      </c>
      <c r="P6" s="746"/>
      <c r="Q6" s="746"/>
      <c r="R6" s="747"/>
      <c r="S6" s="780" t="s">
        <v>153</v>
      </c>
      <c r="T6" s="781"/>
      <c r="U6" s="781"/>
      <c r="V6" s="782"/>
      <c r="W6" s="783" t="s">
        <v>154</v>
      </c>
      <c r="X6" s="784"/>
      <c r="Y6" s="784"/>
      <c r="Z6" s="785"/>
      <c r="AA6" s="763" t="s">
        <v>89</v>
      </c>
      <c r="AB6" s="764"/>
      <c r="AC6" s="764"/>
      <c r="AD6" s="765"/>
      <c r="AE6" s="766" t="s">
        <v>90</v>
      </c>
      <c r="AF6" s="767"/>
      <c r="AG6" s="767"/>
      <c r="AH6" s="768"/>
      <c r="AI6" s="751" t="s">
        <v>155</v>
      </c>
      <c r="AJ6" s="752"/>
      <c r="AK6" s="752"/>
      <c r="AL6" s="753"/>
      <c r="AM6" s="745" t="s">
        <v>91</v>
      </c>
      <c r="AN6" s="746"/>
      <c r="AO6" s="746"/>
      <c r="AP6" s="747"/>
      <c r="AQ6" s="757" t="s">
        <v>156</v>
      </c>
      <c r="AR6" s="758"/>
      <c r="AS6" s="758"/>
      <c r="AT6" s="759"/>
      <c r="AU6" s="760" t="s">
        <v>92</v>
      </c>
      <c r="AV6" s="761"/>
      <c r="AW6" s="761"/>
      <c r="AX6" s="762"/>
      <c r="AY6" s="775" t="s">
        <v>93</v>
      </c>
      <c r="AZ6" s="776"/>
      <c r="BA6" s="776"/>
      <c r="BB6" s="777"/>
      <c r="BD6" s="769" t="s">
        <v>889</v>
      </c>
      <c r="BE6" s="770"/>
      <c r="BF6" s="770"/>
      <c r="BG6" s="771"/>
    </row>
    <row r="7" spans="2:59" s="343" customFormat="1" ht="24" customHeight="1" thickBot="1">
      <c r="F7" s="346"/>
      <c r="G7" s="748" t="s">
        <v>703</v>
      </c>
      <c r="H7" s="749"/>
      <c r="I7" s="749"/>
      <c r="J7" s="750"/>
      <c r="K7" s="748" t="s">
        <v>703</v>
      </c>
      <c r="L7" s="749"/>
      <c r="M7" s="749"/>
      <c r="N7" s="750"/>
      <c r="O7" s="748" t="s">
        <v>703</v>
      </c>
      <c r="P7" s="749"/>
      <c r="Q7" s="749"/>
      <c r="R7" s="750"/>
      <c r="S7" s="748" t="s">
        <v>703</v>
      </c>
      <c r="T7" s="749"/>
      <c r="U7" s="749"/>
      <c r="V7" s="750"/>
      <c r="W7" s="748" t="s">
        <v>703</v>
      </c>
      <c r="X7" s="749"/>
      <c r="Y7" s="749"/>
      <c r="Z7" s="750"/>
      <c r="AA7" s="748" t="s">
        <v>703</v>
      </c>
      <c r="AB7" s="749"/>
      <c r="AC7" s="749"/>
      <c r="AD7" s="750"/>
      <c r="AE7" s="748" t="s">
        <v>703</v>
      </c>
      <c r="AF7" s="749"/>
      <c r="AG7" s="749"/>
      <c r="AH7" s="750"/>
      <c r="AI7" s="748" t="s">
        <v>703</v>
      </c>
      <c r="AJ7" s="749"/>
      <c r="AK7" s="749"/>
      <c r="AL7" s="750"/>
      <c r="AM7" s="748" t="s">
        <v>703</v>
      </c>
      <c r="AN7" s="749"/>
      <c r="AO7" s="749"/>
      <c r="AP7" s="750"/>
      <c r="AQ7" s="748" t="s">
        <v>703</v>
      </c>
      <c r="AR7" s="749"/>
      <c r="AS7" s="749"/>
      <c r="AT7" s="750"/>
      <c r="AU7" s="748" t="s">
        <v>703</v>
      </c>
      <c r="AV7" s="749"/>
      <c r="AW7" s="749"/>
      <c r="AX7" s="750"/>
      <c r="AY7" s="748" t="s">
        <v>703</v>
      </c>
      <c r="AZ7" s="749"/>
      <c r="BA7" s="749"/>
      <c r="BB7" s="750"/>
      <c r="BD7" s="772"/>
      <c r="BE7" s="773"/>
      <c r="BF7" s="773"/>
      <c r="BG7" s="774"/>
    </row>
    <row r="8" spans="2:59" ht="15.75" thickBot="1">
      <c r="B8" s="347" t="s">
        <v>159</v>
      </c>
      <c r="C8" s="797" t="s">
        <v>702</v>
      </c>
      <c r="D8" s="798"/>
      <c r="E8" s="798"/>
      <c r="F8" s="348" t="s">
        <v>31</v>
      </c>
      <c r="G8" s="349" t="s">
        <v>701</v>
      </c>
      <c r="H8" s="349" t="s">
        <v>700</v>
      </c>
      <c r="I8" s="349" t="s">
        <v>699</v>
      </c>
      <c r="J8" s="349" t="s">
        <v>698</v>
      </c>
      <c r="K8" s="349" t="s">
        <v>701</v>
      </c>
      <c r="L8" s="349" t="s">
        <v>700</v>
      </c>
      <c r="M8" s="349" t="s">
        <v>699</v>
      </c>
      <c r="N8" s="349" t="s">
        <v>698</v>
      </c>
      <c r="O8" s="349" t="s">
        <v>701</v>
      </c>
      <c r="P8" s="349" t="s">
        <v>700</v>
      </c>
      <c r="Q8" s="349" t="s">
        <v>699</v>
      </c>
      <c r="R8" s="349" t="s">
        <v>698</v>
      </c>
      <c r="S8" s="349" t="s">
        <v>701</v>
      </c>
      <c r="T8" s="349" t="s">
        <v>700</v>
      </c>
      <c r="U8" s="349" t="s">
        <v>699</v>
      </c>
      <c r="V8" s="349" t="s">
        <v>698</v>
      </c>
      <c r="W8" s="349" t="s">
        <v>701</v>
      </c>
      <c r="X8" s="349" t="s">
        <v>700</v>
      </c>
      <c r="Y8" s="349" t="s">
        <v>699</v>
      </c>
      <c r="Z8" s="349" t="s">
        <v>698</v>
      </c>
      <c r="AA8" s="349" t="s">
        <v>701</v>
      </c>
      <c r="AB8" s="349" t="s">
        <v>700</v>
      </c>
      <c r="AC8" s="349" t="s">
        <v>699</v>
      </c>
      <c r="AD8" s="349" t="s">
        <v>698</v>
      </c>
      <c r="AE8" s="349" t="s">
        <v>701</v>
      </c>
      <c r="AF8" s="349" t="s">
        <v>700</v>
      </c>
      <c r="AG8" s="349" t="s">
        <v>699</v>
      </c>
      <c r="AH8" s="349" t="s">
        <v>698</v>
      </c>
      <c r="AI8" s="349" t="s">
        <v>701</v>
      </c>
      <c r="AJ8" s="349" t="s">
        <v>700</v>
      </c>
      <c r="AK8" s="349" t="s">
        <v>699</v>
      </c>
      <c r="AL8" s="349" t="s">
        <v>698</v>
      </c>
      <c r="AM8" s="349" t="s">
        <v>701</v>
      </c>
      <c r="AN8" s="349" t="s">
        <v>700</v>
      </c>
      <c r="AO8" s="349" t="s">
        <v>699</v>
      </c>
      <c r="AP8" s="349" t="s">
        <v>698</v>
      </c>
      <c r="AQ8" s="349" t="s">
        <v>701</v>
      </c>
      <c r="AR8" s="349" t="s">
        <v>700</v>
      </c>
      <c r="AS8" s="349" t="s">
        <v>699</v>
      </c>
      <c r="AT8" s="349" t="s">
        <v>698</v>
      </c>
      <c r="AU8" s="349" t="s">
        <v>701</v>
      </c>
      <c r="AV8" s="349" t="s">
        <v>700</v>
      </c>
      <c r="AW8" s="349" t="s">
        <v>699</v>
      </c>
      <c r="AX8" s="349" t="s">
        <v>698</v>
      </c>
      <c r="AY8" s="349" t="s">
        <v>701</v>
      </c>
      <c r="AZ8" s="349" t="s">
        <v>700</v>
      </c>
      <c r="BA8" s="349" t="s">
        <v>699</v>
      </c>
      <c r="BB8" s="349" t="s">
        <v>698</v>
      </c>
      <c r="BD8" s="349" t="s">
        <v>701</v>
      </c>
      <c r="BE8" s="349" t="s">
        <v>700</v>
      </c>
      <c r="BF8" s="349" t="s">
        <v>699</v>
      </c>
      <c r="BG8" s="349" t="s">
        <v>698</v>
      </c>
    </row>
    <row r="9" spans="2:59">
      <c r="B9" s="350">
        <v>1</v>
      </c>
      <c r="C9" s="795" t="s">
        <v>633</v>
      </c>
      <c r="D9" s="796" t="s">
        <v>633</v>
      </c>
      <c r="E9" s="796" t="s">
        <v>633</v>
      </c>
      <c r="F9" s="351">
        <v>28152158</v>
      </c>
      <c r="G9" s="352">
        <v>11</v>
      </c>
      <c r="H9" s="352">
        <v>14</v>
      </c>
      <c r="I9" s="352">
        <v>14</v>
      </c>
      <c r="J9" s="352">
        <v>6</v>
      </c>
      <c r="K9" s="352">
        <v>2</v>
      </c>
      <c r="L9" s="352">
        <v>5</v>
      </c>
      <c r="M9" s="352">
        <v>8</v>
      </c>
      <c r="N9" s="352">
        <v>0</v>
      </c>
      <c r="O9" s="352">
        <v>2</v>
      </c>
      <c r="P9" s="352">
        <v>9</v>
      </c>
      <c r="Q9" s="352">
        <v>7</v>
      </c>
      <c r="R9" s="352">
        <v>9</v>
      </c>
      <c r="S9" s="352">
        <v>14</v>
      </c>
      <c r="T9" s="352">
        <v>7</v>
      </c>
      <c r="U9" s="352">
        <v>0</v>
      </c>
      <c r="V9" s="352">
        <v>8</v>
      </c>
      <c r="W9" s="352">
        <v>15</v>
      </c>
      <c r="X9" s="352">
        <v>1</v>
      </c>
      <c r="Y9" s="352">
        <v>1</v>
      </c>
      <c r="Z9" s="352">
        <v>1</v>
      </c>
      <c r="AA9" s="352">
        <v>11</v>
      </c>
      <c r="AB9" s="352">
        <v>7</v>
      </c>
      <c r="AC9" s="352">
        <v>2</v>
      </c>
      <c r="AD9" s="352">
        <v>9</v>
      </c>
      <c r="AE9" s="352">
        <v>6</v>
      </c>
      <c r="AF9" s="352">
        <v>9</v>
      </c>
      <c r="AG9" s="352">
        <v>6</v>
      </c>
      <c r="AH9" s="352">
        <v>14</v>
      </c>
      <c r="AI9" s="352">
        <v>7</v>
      </c>
      <c r="AJ9" s="352">
        <v>1</v>
      </c>
      <c r="AK9" s="352">
        <v>2</v>
      </c>
      <c r="AL9" s="352">
        <v>11</v>
      </c>
      <c r="AM9" s="352">
        <v>11</v>
      </c>
      <c r="AN9" s="352">
        <v>2</v>
      </c>
      <c r="AO9" s="352">
        <v>10</v>
      </c>
      <c r="AP9" s="352">
        <v>13</v>
      </c>
      <c r="AQ9" s="352">
        <v>6</v>
      </c>
      <c r="AR9" s="352">
        <v>9</v>
      </c>
      <c r="AS9" s="352">
        <v>4</v>
      </c>
      <c r="AT9" s="352">
        <v>8</v>
      </c>
      <c r="AU9" s="352">
        <v>1</v>
      </c>
      <c r="AV9" s="352">
        <v>3</v>
      </c>
      <c r="AW9" s="352">
        <v>9</v>
      </c>
      <c r="AX9" s="352">
        <v>15</v>
      </c>
      <c r="AY9" s="352">
        <v>3</v>
      </c>
      <c r="AZ9" s="352">
        <v>11</v>
      </c>
      <c r="BA9" s="352">
        <v>8</v>
      </c>
      <c r="BB9" s="352">
        <v>1</v>
      </c>
      <c r="BD9" s="353">
        <f t="shared" ref="BD9:BD72" si="0">SUMIF($G$8:$BB$8,"PREMIUM",E9:AZ9)</f>
        <v>63</v>
      </c>
      <c r="BE9" s="353">
        <f t="shared" ref="BE9:BE72" si="1">SUMIF($G$8:$BB$8,"SILVER",F9:BA9)</f>
        <v>89</v>
      </c>
      <c r="BF9" s="353">
        <f t="shared" ref="BF9:BF72" si="2">SUMIF($G$8:$BB$8,"GOLD",G9:BB9)</f>
        <v>71</v>
      </c>
      <c r="BG9" s="353">
        <f t="shared" ref="BG9:BG72" si="3">SUMIF($G$8:$BB$8,"DELUXE",H9:BC9)</f>
        <v>78</v>
      </c>
    </row>
    <row r="10" spans="2:59">
      <c r="B10" s="354">
        <v>2</v>
      </c>
      <c r="C10" s="743" t="s">
        <v>632</v>
      </c>
      <c r="D10" s="744" t="s">
        <v>632</v>
      </c>
      <c r="E10" s="744" t="s">
        <v>632</v>
      </c>
      <c r="F10" s="355">
        <v>1007421458</v>
      </c>
      <c r="G10" s="356">
        <v>13</v>
      </c>
      <c r="H10" s="356">
        <v>11</v>
      </c>
      <c r="I10" s="356">
        <v>6</v>
      </c>
      <c r="J10" s="356">
        <v>12</v>
      </c>
      <c r="K10" s="356">
        <v>6</v>
      </c>
      <c r="L10" s="356">
        <v>12</v>
      </c>
      <c r="M10" s="356">
        <v>14</v>
      </c>
      <c r="N10" s="356">
        <v>0</v>
      </c>
      <c r="O10" s="356">
        <v>9</v>
      </c>
      <c r="P10" s="356">
        <v>0</v>
      </c>
      <c r="Q10" s="356">
        <v>15</v>
      </c>
      <c r="R10" s="356">
        <v>3</v>
      </c>
      <c r="S10" s="356">
        <v>7</v>
      </c>
      <c r="T10" s="356">
        <v>4</v>
      </c>
      <c r="U10" s="356">
        <v>14</v>
      </c>
      <c r="V10" s="356">
        <v>14</v>
      </c>
      <c r="W10" s="356">
        <v>1</v>
      </c>
      <c r="X10" s="356">
        <v>3</v>
      </c>
      <c r="Y10" s="356">
        <v>9</v>
      </c>
      <c r="Z10" s="356">
        <v>14</v>
      </c>
      <c r="AA10" s="356">
        <v>7</v>
      </c>
      <c r="AB10" s="356">
        <v>8</v>
      </c>
      <c r="AC10" s="356">
        <v>8</v>
      </c>
      <c r="AD10" s="356">
        <v>6</v>
      </c>
      <c r="AE10" s="356">
        <v>13</v>
      </c>
      <c r="AF10" s="356">
        <v>10</v>
      </c>
      <c r="AG10" s="356">
        <v>3</v>
      </c>
      <c r="AH10" s="356">
        <v>14</v>
      </c>
      <c r="AI10" s="356">
        <v>6</v>
      </c>
      <c r="AJ10" s="356">
        <v>10</v>
      </c>
      <c r="AK10" s="356">
        <v>5</v>
      </c>
      <c r="AL10" s="356">
        <v>14</v>
      </c>
      <c r="AM10" s="356">
        <v>8</v>
      </c>
      <c r="AN10" s="356">
        <v>4</v>
      </c>
      <c r="AO10" s="356">
        <v>15</v>
      </c>
      <c r="AP10" s="356">
        <v>8</v>
      </c>
      <c r="AQ10" s="356">
        <v>13</v>
      </c>
      <c r="AR10" s="356">
        <v>11</v>
      </c>
      <c r="AS10" s="356">
        <v>6</v>
      </c>
      <c r="AT10" s="356">
        <v>2</v>
      </c>
      <c r="AU10" s="356">
        <v>12</v>
      </c>
      <c r="AV10" s="356">
        <v>12</v>
      </c>
      <c r="AW10" s="356">
        <v>5</v>
      </c>
      <c r="AX10" s="356">
        <v>7</v>
      </c>
      <c r="AY10" s="356">
        <v>4</v>
      </c>
      <c r="AZ10" s="356">
        <v>12</v>
      </c>
      <c r="BA10" s="356">
        <v>11</v>
      </c>
      <c r="BB10" s="356">
        <v>11</v>
      </c>
      <c r="BD10" s="353">
        <f t="shared" si="0"/>
        <v>100</v>
      </c>
      <c r="BE10" s="353">
        <f t="shared" si="1"/>
        <v>99</v>
      </c>
      <c r="BF10" s="353">
        <f t="shared" si="2"/>
        <v>111</v>
      </c>
      <c r="BG10" s="353">
        <f t="shared" si="3"/>
        <v>86</v>
      </c>
    </row>
    <row r="11" spans="2:59">
      <c r="B11" s="354">
        <v>3</v>
      </c>
      <c r="C11" s="743" t="s">
        <v>692</v>
      </c>
      <c r="D11" s="744" t="s">
        <v>692</v>
      </c>
      <c r="E11" s="744" t="s">
        <v>692</v>
      </c>
      <c r="F11" s="355">
        <v>1099370437</v>
      </c>
      <c r="G11" s="356">
        <v>3</v>
      </c>
      <c r="H11" s="356">
        <v>15</v>
      </c>
      <c r="I11" s="356">
        <v>0</v>
      </c>
      <c r="J11" s="356">
        <v>2</v>
      </c>
      <c r="K11" s="356">
        <v>7</v>
      </c>
      <c r="L11" s="356">
        <v>8</v>
      </c>
      <c r="M11" s="356">
        <v>12</v>
      </c>
      <c r="N11" s="356">
        <v>12</v>
      </c>
      <c r="O11" s="356">
        <v>3</v>
      </c>
      <c r="P11" s="356">
        <v>11</v>
      </c>
      <c r="Q11" s="356">
        <v>6</v>
      </c>
      <c r="R11" s="356">
        <v>4</v>
      </c>
      <c r="S11" s="356">
        <v>4</v>
      </c>
      <c r="T11" s="356">
        <v>5</v>
      </c>
      <c r="U11" s="356">
        <v>10</v>
      </c>
      <c r="V11" s="356">
        <v>13</v>
      </c>
      <c r="W11" s="356">
        <v>5</v>
      </c>
      <c r="X11" s="356">
        <v>5</v>
      </c>
      <c r="Y11" s="356">
        <v>14</v>
      </c>
      <c r="Z11" s="356">
        <v>12</v>
      </c>
      <c r="AA11" s="356">
        <v>1</v>
      </c>
      <c r="AB11" s="356">
        <v>12</v>
      </c>
      <c r="AC11" s="356">
        <v>8</v>
      </c>
      <c r="AD11" s="356">
        <v>13</v>
      </c>
      <c r="AE11" s="356">
        <v>14</v>
      </c>
      <c r="AF11" s="356">
        <v>10</v>
      </c>
      <c r="AG11" s="356">
        <v>2</v>
      </c>
      <c r="AH11" s="356">
        <v>11</v>
      </c>
      <c r="AI11" s="356">
        <v>12</v>
      </c>
      <c r="AJ11" s="356">
        <v>14</v>
      </c>
      <c r="AK11" s="356">
        <v>8</v>
      </c>
      <c r="AL11" s="356">
        <v>6</v>
      </c>
      <c r="AM11" s="356">
        <v>2</v>
      </c>
      <c r="AN11" s="356">
        <v>8</v>
      </c>
      <c r="AO11" s="356">
        <v>0</v>
      </c>
      <c r="AP11" s="356">
        <v>6</v>
      </c>
      <c r="AQ11" s="356">
        <v>5</v>
      </c>
      <c r="AR11" s="356">
        <v>9</v>
      </c>
      <c r="AS11" s="356">
        <v>15</v>
      </c>
      <c r="AT11" s="356">
        <v>1</v>
      </c>
      <c r="AU11" s="356">
        <v>9</v>
      </c>
      <c r="AV11" s="356">
        <v>2</v>
      </c>
      <c r="AW11" s="356">
        <v>4</v>
      </c>
      <c r="AX11" s="356">
        <v>0</v>
      </c>
      <c r="AY11" s="356">
        <v>13</v>
      </c>
      <c r="AZ11" s="356">
        <v>2</v>
      </c>
      <c r="BA11" s="356">
        <v>2</v>
      </c>
      <c r="BB11" s="356">
        <v>3</v>
      </c>
      <c r="BD11" s="353">
        <f t="shared" si="0"/>
        <v>79</v>
      </c>
      <c r="BE11" s="353">
        <f t="shared" si="1"/>
        <v>78</v>
      </c>
      <c r="BF11" s="353">
        <f t="shared" si="2"/>
        <v>81</v>
      </c>
      <c r="BG11" s="353">
        <f t="shared" si="3"/>
        <v>75</v>
      </c>
    </row>
    <row r="12" spans="2:59">
      <c r="B12" s="354">
        <v>4</v>
      </c>
      <c r="C12" s="743" t="s">
        <v>691</v>
      </c>
      <c r="D12" s="744" t="s">
        <v>691</v>
      </c>
      <c r="E12" s="744" t="s">
        <v>691</v>
      </c>
      <c r="F12" s="355">
        <v>1099374182</v>
      </c>
      <c r="G12" s="356">
        <v>0</v>
      </c>
      <c r="H12" s="356">
        <v>2</v>
      </c>
      <c r="I12" s="356">
        <v>0</v>
      </c>
      <c r="J12" s="356">
        <v>7</v>
      </c>
      <c r="K12" s="356">
        <v>2</v>
      </c>
      <c r="L12" s="356">
        <v>6</v>
      </c>
      <c r="M12" s="356">
        <v>6</v>
      </c>
      <c r="N12" s="356">
        <v>10</v>
      </c>
      <c r="O12" s="356">
        <v>10</v>
      </c>
      <c r="P12" s="356">
        <v>5</v>
      </c>
      <c r="Q12" s="356">
        <v>7</v>
      </c>
      <c r="R12" s="356">
        <v>11</v>
      </c>
      <c r="S12" s="356">
        <v>1</v>
      </c>
      <c r="T12" s="356">
        <v>4</v>
      </c>
      <c r="U12" s="356">
        <v>11</v>
      </c>
      <c r="V12" s="356">
        <v>6</v>
      </c>
      <c r="W12" s="356">
        <v>12</v>
      </c>
      <c r="X12" s="356">
        <v>5</v>
      </c>
      <c r="Y12" s="356">
        <v>8</v>
      </c>
      <c r="Z12" s="356">
        <v>6</v>
      </c>
      <c r="AA12" s="356">
        <v>1</v>
      </c>
      <c r="AB12" s="356">
        <v>2</v>
      </c>
      <c r="AC12" s="356">
        <v>5</v>
      </c>
      <c r="AD12" s="356">
        <v>15</v>
      </c>
      <c r="AE12" s="356">
        <v>15</v>
      </c>
      <c r="AF12" s="356">
        <v>15</v>
      </c>
      <c r="AG12" s="356">
        <v>5</v>
      </c>
      <c r="AH12" s="356">
        <v>5</v>
      </c>
      <c r="AI12" s="356">
        <v>3</v>
      </c>
      <c r="AJ12" s="356">
        <v>12</v>
      </c>
      <c r="AK12" s="356">
        <v>11</v>
      </c>
      <c r="AL12" s="356">
        <v>0</v>
      </c>
      <c r="AM12" s="356">
        <v>1</v>
      </c>
      <c r="AN12" s="356">
        <v>0</v>
      </c>
      <c r="AO12" s="356">
        <v>3</v>
      </c>
      <c r="AP12" s="356">
        <v>2</v>
      </c>
      <c r="AQ12" s="356">
        <v>10</v>
      </c>
      <c r="AR12" s="356">
        <v>13</v>
      </c>
      <c r="AS12" s="356">
        <v>3</v>
      </c>
      <c r="AT12" s="356">
        <v>3</v>
      </c>
      <c r="AU12" s="356">
        <v>11</v>
      </c>
      <c r="AV12" s="356">
        <v>2</v>
      </c>
      <c r="AW12" s="356">
        <v>11</v>
      </c>
      <c r="AX12" s="356">
        <v>12</v>
      </c>
      <c r="AY12" s="356">
        <v>0</v>
      </c>
      <c r="AZ12" s="356">
        <v>13</v>
      </c>
      <c r="BA12" s="356">
        <v>3</v>
      </c>
      <c r="BB12" s="356">
        <v>1</v>
      </c>
      <c r="BD12" s="353">
        <f t="shared" si="0"/>
        <v>70</v>
      </c>
      <c r="BE12" s="353">
        <f t="shared" si="1"/>
        <v>66</v>
      </c>
      <c r="BF12" s="353">
        <f t="shared" si="2"/>
        <v>73</v>
      </c>
      <c r="BG12" s="353">
        <f t="shared" si="3"/>
        <v>66</v>
      </c>
    </row>
    <row r="13" spans="2:59">
      <c r="B13" s="354">
        <v>5</v>
      </c>
      <c r="C13" s="743" t="s">
        <v>690</v>
      </c>
      <c r="D13" s="744" t="s">
        <v>690</v>
      </c>
      <c r="E13" s="744" t="s">
        <v>690</v>
      </c>
      <c r="F13" s="355">
        <v>91232005</v>
      </c>
      <c r="G13" s="356">
        <v>14</v>
      </c>
      <c r="H13" s="356">
        <v>5</v>
      </c>
      <c r="I13" s="356">
        <v>13</v>
      </c>
      <c r="J13" s="356">
        <v>6</v>
      </c>
      <c r="K13" s="356">
        <v>3</v>
      </c>
      <c r="L13" s="356">
        <v>14</v>
      </c>
      <c r="M13" s="356">
        <v>11</v>
      </c>
      <c r="N13" s="356">
        <v>6</v>
      </c>
      <c r="O13" s="356">
        <v>10</v>
      </c>
      <c r="P13" s="356">
        <v>15</v>
      </c>
      <c r="Q13" s="356">
        <v>2</v>
      </c>
      <c r="R13" s="356">
        <v>14</v>
      </c>
      <c r="S13" s="356">
        <v>4</v>
      </c>
      <c r="T13" s="356">
        <v>8</v>
      </c>
      <c r="U13" s="356">
        <v>3</v>
      </c>
      <c r="V13" s="356">
        <v>8</v>
      </c>
      <c r="W13" s="356">
        <v>11</v>
      </c>
      <c r="X13" s="356">
        <v>10</v>
      </c>
      <c r="Y13" s="356">
        <v>8</v>
      </c>
      <c r="Z13" s="356">
        <v>2</v>
      </c>
      <c r="AA13" s="356">
        <v>14</v>
      </c>
      <c r="AB13" s="356">
        <v>12</v>
      </c>
      <c r="AC13" s="356">
        <v>2</v>
      </c>
      <c r="AD13" s="356">
        <v>9</v>
      </c>
      <c r="AE13" s="356">
        <v>2</v>
      </c>
      <c r="AF13" s="356">
        <v>6</v>
      </c>
      <c r="AG13" s="356">
        <v>13</v>
      </c>
      <c r="AH13" s="356">
        <v>6</v>
      </c>
      <c r="AI13" s="356">
        <v>11</v>
      </c>
      <c r="AJ13" s="356">
        <v>4</v>
      </c>
      <c r="AK13" s="356">
        <v>6</v>
      </c>
      <c r="AL13" s="356">
        <v>0</v>
      </c>
      <c r="AM13" s="356">
        <v>3</v>
      </c>
      <c r="AN13" s="356">
        <v>12</v>
      </c>
      <c r="AO13" s="356">
        <v>14</v>
      </c>
      <c r="AP13" s="356">
        <v>13</v>
      </c>
      <c r="AQ13" s="356">
        <v>14</v>
      </c>
      <c r="AR13" s="356">
        <v>3</v>
      </c>
      <c r="AS13" s="356">
        <v>14</v>
      </c>
      <c r="AT13" s="356">
        <v>1</v>
      </c>
      <c r="AU13" s="356">
        <v>10</v>
      </c>
      <c r="AV13" s="356">
        <v>10</v>
      </c>
      <c r="AW13" s="356">
        <v>2</v>
      </c>
      <c r="AX13" s="356">
        <v>0</v>
      </c>
      <c r="AY13" s="356">
        <v>5</v>
      </c>
      <c r="AZ13" s="356">
        <v>0</v>
      </c>
      <c r="BA13" s="356">
        <v>3</v>
      </c>
      <c r="BB13" s="356">
        <v>8</v>
      </c>
      <c r="BD13" s="353">
        <f t="shared" si="0"/>
        <v>88</v>
      </c>
      <c r="BE13" s="353">
        <f t="shared" si="1"/>
        <v>101</v>
      </c>
      <c r="BF13" s="353">
        <f t="shared" si="2"/>
        <v>91</v>
      </c>
      <c r="BG13" s="353">
        <f t="shared" si="3"/>
        <v>87</v>
      </c>
    </row>
    <row r="14" spans="2:59">
      <c r="B14" s="354">
        <v>6</v>
      </c>
      <c r="C14" s="743" t="s">
        <v>689</v>
      </c>
      <c r="D14" s="744" t="s">
        <v>689</v>
      </c>
      <c r="E14" s="744" t="s">
        <v>689</v>
      </c>
      <c r="F14" s="355">
        <v>1099370967</v>
      </c>
      <c r="G14" s="356">
        <v>15</v>
      </c>
      <c r="H14" s="356">
        <v>14</v>
      </c>
      <c r="I14" s="356">
        <v>10</v>
      </c>
      <c r="J14" s="356">
        <v>14</v>
      </c>
      <c r="K14" s="356">
        <v>2</v>
      </c>
      <c r="L14" s="356">
        <v>11</v>
      </c>
      <c r="M14" s="356">
        <v>15</v>
      </c>
      <c r="N14" s="356">
        <v>0</v>
      </c>
      <c r="O14" s="356">
        <v>8</v>
      </c>
      <c r="P14" s="356">
        <v>7</v>
      </c>
      <c r="Q14" s="356">
        <v>4</v>
      </c>
      <c r="R14" s="356">
        <v>10</v>
      </c>
      <c r="S14" s="356">
        <v>3</v>
      </c>
      <c r="T14" s="356">
        <v>0</v>
      </c>
      <c r="U14" s="356">
        <v>6</v>
      </c>
      <c r="V14" s="356">
        <v>7</v>
      </c>
      <c r="W14" s="356">
        <v>8</v>
      </c>
      <c r="X14" s="356">
        <v>4</v>
      </c>
      <c r="Y14" s="356">
        <v>11</v>
      </c>
      <c r="Z14" s="356">
        <v>1</v>
      </c>
      <c r="AA14" s="356">
        <v>13</v>
      </c>
      <c r="AB14" s="356">
        <v>4</v>
      </c>
      <c r="AC14" s="356">
        <v>8</v>
      </c>
      <c r="AD14" s="356">
        <v>15</v>
      </c>
      <c r="AE14" s="356">
        <v>14</v>
      </c>
      <c r="AF14" s="356">
        <v>10</v>
      </c>
      <c r="AG14" s="356">
        <v>8</v>
      </c>
      <c r="AH14" s="356">
        <v>15</v>
      </c>
      <c r="AI14" s="356">
        <v>4</v>
      </c>
      <c r="AJ14" s="356">
        <v>5</v>
      </c>
      <c r="AK14" s="356">
        <v>15</v>
      </c>
      <c r="AL14" s="356">
        <v>10</v>
      </c>
      <c r="AM14" s="356">
        <v>9</v>
      </c>
      <c r="AN14" s="356">
        <v>6</v>
      </c>
      <c r="AO14" s="356">
        <v>1</v>
      </c>
      <c r="AP14" s="356">
        <v>4</v>
      </c>
      <c r="AQ14" s="356">
        <v>8</v>
      </c>
      <c r="AR14" s="356">
        <v>11</v>
      </c>
      <c r="AS14" s="356">
        <v>14</v>
      </c>
      <c r="AT14" s="356">
        <v>9</v>
      </c>
      <c r="AU14" s="356">
        <v>15</v>
      </c>
      <c r="AV14" s="356">
        <v>12</v>
      </c>
      <c r="AW14" s="356">
        <v>7</v>
      </c>
      <c r="AX14" s="356">
        <v>13</v>
      </c>
      <c r="AY14" s="356">
        <v>7</v>
      </c>
      <c r="AZ14" s="356">
        <v>12</v>
      </c>
      <c r="BA14" s="356">
        <v>7</v>
      </c>
      <c r="BB14" s="356">
        <v>1</v>
      </c>
      <c r="BD14" s="353">
        <f t="shared" si="0"/>
        <v>99</v>
      </c>
      <c r="BE14" s="353">
        <f t="shared" si="1"/>
        <v>106</v>
      </c>
      <c r="BF14" s="353">
        <f t="shared" si="2"/>
        <v>106</v>
      </c>
      <c r="BG14" s="353">
        <f t="shared" si="3"/>
        <v>91</v>
      </c>
    </row>
    <row r="15" spans="2:59">
      <c r="B15" s="354">
        <v>7</v>
      </c>
      <c r="C15" s="743" t="s">
        <v>697</v>
      </c>
      <c r="D15" s="744" t="s">
        <v>697</v>
      </c>
      <c r="E15" s="744" t="s">
        <v>697</v>
      </c>
      <c r="F15" s="355">
        <v>1042453825</v>
      </c>
      <c r="G15" s="356">
        <v>2</v>
      </c>
      <c r="H15" s="356">
        <v>12</v>
      </c>
      <c r="I15" s="356">
        <v>7</v>
      </c>
      <c r="J15" s="356">
        <v>15</v>
      </c>
      <c r="K15" s="356">
        <v>4</v>
      </c>
      <c r="L15" s="356">
        <v>9</v>
      </c>
      <c r="M15" s="356">
        <v>4</v>
      </c>
      <c r="N15" s="356">
        <v>15</v>
      </c>
      <c r="O15" s="356">
        <v>6</v>
      </c>
      <c r="P15" s="356">
        <v>3</v>
      </c>
      <c r="Q15" s="356">
        <v>10</v>
      </c>
      <c r="R15" s="356">
        <v>8</v>
      </c>
      <c r="S15" s="356">
        <v>0</v>
      </c>
      <c r="T15" s="356">
        <v>2</v>
      </c>
      <c r="U15" s="356">
        <v>3</v>
      </c>
      <c r="V15" s="356">
        <v>8</v>
      </c>
      <c r="W15" s="356">
        <v>5</v>
      </c>
      <c r="X15" s="356">
        <v>3</v>
      </c>
      <c r="Y15" s="356">
        <v>14</v>
      </c>
      <c r="Z15" s="356">
        <v>11</v>
      </c>
      <c r="AA15" s="356">
        <v>7</v>
      </c>
      <c r="AB15" s="356">
        <v>4</v>
      </c>
      <c r="AC15" s="356">
        <v>10</v>
      </c>
      <c r="AD15" s="356">
        <v>13</v>
      </c>
      <c r="AE15" s="356">
        <v>4</v>
      </c>
      <c r="AF15" s="356">
        <v>4</v>
      </c>
      <c r="AG15" s="356">
        <v>5</v>
      </c>
      <c r="AH15" s="356">
        <v>4</v>
      </c>
      <c r="AI15" s="356">
        <v>3</v>
      </c>
      <c r="AJ15" s="356">
        <v>0</v>
      </c>
      <c r="AK15" s="356">
        <v>0</v>
      </c>
      <c r="AL15" s="356">
        <v>12</v>
      </c>
      <c r="AM15" s="356">
        <v>6</v>
      </c>
      <c r="AN15" s="356">
        <v>7</v>
      </c>
      <c r="AO15" s="356">
        <v>8</v>
      </c>
      <c r="AP15" s="356">
        <v>3</v>
      </c>
      <c r="AQ15" s="356">
        <v>12</v>
      </c>
      <c r="AR15" s="356">
        <v>9</v>
      </c>
      <c r="AS15" s="356">
        <v>0</v>
      </c>
      <c r="AT15" s="356">
        <v>3</v>
      </c>
      <c r="AU15" s="356">
        <v>2</v>
      </c>
      <c r="AV15" s="356">
        <v>14</v>
      </c>
      <c r="AW15" s="356">
        <v>6</v>
      </c>
      <c r="AX15" s="356">
        <v>9</v>
      </c>
      <c r="AY15" s="356">
        <v>12</v>
      </c>
      <c r="AZ15" s="356">
        <v>12</v>
      </c>
      <c r="BA15" s="356">
        <v>1</v>
      </c>
      <c r="BB15" s="356">
        <v>9</v>
      </c>
      <c r="BD15" s="353">
        <f t="shared" si="0"/>
        <v>67</v>
      </c>
      <c r="BE15" s="353">
        <f t="shared" si="1"/>
        <v>63</v>
      </c>
      <c r="BF15" s="353">
        <f t="shared" si="2"/>
        <v>68</v>
      </c>
      <c r="BG15" s="353">
        <f t="shared" si="3"/>
        <v>61</v>
      </c>
    </row>
    <row r="16" spans="2:59">
      <c r="B16" s="354">
        <v>8</v>
      </c>
      <c r="C16" s="743" t="s">
        <v>696</v>
      </c>
      <c r="D16" s="744" t="s">
        <v>696</v>
      </c>
      <c r="E16" s="744" t="s">
        <v>696</v>
      </c>
      <c r="F16" s="355">
        <v>98112108408</v>
      </c>
      <c r="G16" s="356">
        <v>6</v>
      </c>
      <c r="H16" s="356">
        <v>9</v>
      </c>
      <c r="I16" s="356">
        <v>8</v>
      </c>
      <c r="J16" s="356">
        <v>2</v>
      </c>
      <c r="K16" s="356">
        <v>3</v>
      </c>
      <c r="L16" s="356">
        <v>0</v>
      </c>
      <c r="M16" s="356">
        <v>10</v>
      </c>
      <c r="N16" s="356">
        <v>4</v>
      </c>
      <c r="O16" s="356">
        <v>7</v>
      </c>
      <c r="P16" s="356">
        <v>12</v>
      </c>
      <c r="Q16" s="356">
        <v>11</v>
      </c>
      <c r="R16" s="356">
        <v>3</v>
      </c>
      <c r="S16" s="356">
        <v>2</v>
      </c>
      <c r="T16" s="356">
        <v>5</v>
      </c>
      <c r="U16" s="356">
        <v>4</v>
      </c>
      <c r="V16" s="356">
        <v>9</v>
      </c>
      <c r="W16" s="356">
        <v>14</v>
      </c>
      <c r="X16" s="356">
        <v>12</v>
      </c>
      <c r="Y16" s="356">
        <v>1</v>
      </c>
      <c r="Z16" s="356">
        <v>11</v>
      </c>
      <c r="AA16" s="356">
        <v>15</v>
      </c>
      <c r="AB16" s="356">
        <v>11</v>
      </c>
      <c r="AC16" s="356">
        <v>2</v>
      </c>
      <c r="AD16" s="356">
        <v>4</v>
      </c>
      <c r="AE16" s="356">
        <v>11</v>
      </c>
      <c r="AF16" s="356">
        <v>6</v>
      </c>
      <c r="AG16" s="356">
        <v>11</v>
      </c>
      <c r="AH16" s="356">
        <v>1</v>
      </c>
      <c r="AI16" s="356">
        <v>10</v>
      </c>
      <c r="AJ16" s="356">
        <v>8</v>
      </c>
      <c r="AK16" s="356">
        <v>11</v>
      </c>
      <c r="AL16" s="356">
        <v>2</v>
      </c>
      <c r="AM16" s="356">
        <v>4</v>
      </c>
      <c r="AN16" s="356">
        <v>6</v>
      </c>
      <c r="AO16" s="356">
        <v>2</v>
      </c>
      <c r="AP16" s="356">
        <v>3</v>
      </c>
      <c r="AQ16" s="356">
        <v>4</v>
      </c>
      <c r="AR16" s="356">
        <v>12</v>
      </c>
      <c r="AS16" s="356">
        <v>3</v>
      </c>
      <c r="AT16" s="356">
        <v>4</v>
      </c>
      <c r="AU16" s="356">
        <v>7</v>
      </c>
      <c r="AV16" s="356">
        <v>15</v>
      </c>
      <c r="AW16" s="356">
        <v>13</v>
      </c>
      <c r="AX16" s="356">
        <v>9</v>
      </c>
      <c r="AY16" s="356">
        <v>12</v>
      </c>
      <c r="AZ16" s="356">
        <v>8</v>
      </c>
      <c r="BA16" s="356">
        <v>5</v>
      </c>
      <c r="BB16" s="356">
        <v>11</v>
      </c>
      <c r="BD16" s="353">
        <f t="shared" si="0"/>
        <v>76</v>
      </c>
      <c r="BE16" s="353">
        <f t="shared" si="1"/>
        <v>95</v>
      </c>
      <c r="BF16" s="353">
        <f t="shared" si="2"/>
        <v>81</v>
      </c>
      <c r="BG16" s="353">
        <f t="shared" si="3"/>
        <v>89</v>
      </c>
    </row>
    <row r="17" spans="2:59">
      <c r="B17" s="354">
        <v>9</v>
      </c>
      <c r="C17" s="743" t="s">
        <v>695</v>
      </c>
      <c r="D17" s="744" t="s">
        <v>695</v>
      </c>
      <c r="E17" s="744" t="s">
        <v>695</v>
      </c>
      <c r="F17" s="355">
        <v>1099362847</v>
      </c>
      <c r="G17" s="356">
        <v>14</v>
      </c>
      <c r="H17" s="356">
        <v>8</v>
      </c>
      <c r="I17" s="356">
        <v>12</v>
      </c>
      <c r="J17" s="356">
        <v>15</v>
      </c>
      <c r="K17" s="356">
        <v>2</v>
      </c>
      <c r="L17" s="356">
        <v>7</v>
      </c>
      <c r="M17" s="356">
        <v>7</v>
      </c>
      <c r="N17" s="356">
        <v>14</v>
      </c>
      <c r="O17" s="356">
        <v>13</v>
      </c>
      <c r="P17" s="356">
        <v>15</v>
      </c>
      <c r="Q17" s="356">
        <v>14</v>
      </c>
      <c r="R17" s="356">
        <v>3</v>
      </c>
      <c r="S17" s="356">
        <v>7</v>
      </c>
      <c r="T17" s="356">
        <v>10</v>
      </c>
      <c r="U17" s="356">
        <v>4</v>
      </c>
      <c r="V17" s="356">
        <v>6</v>
      </c>
      <c r="W17" s="356">
        <v>6</v>
      </c>
      <c r="X17" s="356">
        <v>12</v>
      </c>
      <c r="Y17" s="356">
        <v>12</v>
      </c>
      <c r="Z17" s="356">
        <v>11</v>
      </c>
      <c r="AA17" s="356">
        <v>14</v>
      </c>
      <c r="AB17" s="356">
        <v>6</v>
      </c>
      <c r="AC17" s="356">
        <v>12</v>
      </c>
      <c r="AD17" s="356">
        <v>3</v>
      </c>
      <c r="AE17" s="356">
        <v>12</v>
      </c>
      <c r="AF17" s="356">
        <v>13</v>
      </c>
      <c r="AG17" s="356">
        <v>2</v>
      </c>
      <c r="AH17" s="356">
        <v>11</v>
      </c>
      <c r="AI17" s="356">
        <v>0</v>
      </c>
      <c r="AJ17" s="356">
        <v>15</v>
      </c>
      <c r="AK17" s="356">
        <v>3</v>
      </c>
      <c r="AL17" s="356">
        <v>1</v>
      </c>
      <c r="AM17" s="356">
        <v>6</v>
      </c>
      <c r="AN17" s="356">
        <v>1</v>
      </c>
      <c r="AO17" s="356">
        <v>14</v>
      </c>
      <c r="AP17" s="356">
        <v>1</v>
      </c>
      <c r="AQ17" s="356">
        <v>14</v>
      </c>
      <c r="AR17" s="356">
        <v>4</v>
      </c>
      <c r="AS17" s="356">
        <v>3</v>
      </c>
      <c r="AT17" s="356">
        <v>10</v>
      </c>
      <c r="AU17" s="356">
        <v>14</v>
      </c>
      <c r="AV17" s="356">
        <v>1</v>
      </c>
      <c r="AW17" s="356">
        <v>13</v>
      </c>
      <c r="AX17" s="356">
        <v>2</v>
      </c>
      <c r="AY17" s="356">
        <v>5</v>
      </c>
      <c r="AZ17" s="356">
        <v>15</v>
      </c>
      <c r="BA17" s="356">
        <v>8</v>
      </c>
      <c r="BB17" s="356">
        <v>2</v>
      </c>
      <c r="BD17" s="353">
        <f t="shared" si="0"/>
        <v>96</v>
      </c>
      <c r="BE17" s="353">
        <f t="shared" si="1"/>
        <v>107</v>
      </c>
      <c r="BF17" s="353">
        <f t="shared" si="2"/>
        <v>104</v>
      </c>
      <c r="BG17" s="353">
        <f t="shared" si="3"/>
        <v>93</v>
      </c>
    </row>
    <row r="18" spans="2:59">
      <c r="B18" s="354">
        <v>10</v>
      </c>
      <c r="C18" s="743" t="s">
        <v>694</v>
      </c>
      <c r="D18" s="744" t="s">
        <v>694</v>
      </c>
      <c r="E18" s="744" t="s">
        <v>694</v>
      </c>
      <c r="F18" s="355">
        <v>1099364709</v>
      </c>
      <c r="G18" s="356">
        <v>3</v>
      </c>
      <c r="H18" s="356">
        <v>12</v>
      </c>
      <c r="I18" s="356">
        <v>15</v>
      </c>
      <c r="J18" s="356">
        <v>15</v>
      </c>
      <c r="K18" s="356">
        <v>14</v>
      </c>
      <c r="L18" s="356">
        <v>7</v>
      </c>
      <c r="M18" s="356">
        <v>9</v>
      </c>
      <c r="N18" s="356">
        <v>2</v>
      </c>
      <c r="O18" s="356">
        <v>14</v>
      </c>
      <c r="P18" s="356">
        <v>5</v>
      </c>
      <c r="Q18" s="356">
        <v>0</v>
      </c>
      <c r="R18" s="356">
        <v>14</v>
      </c>
      <c r="S18" s="356">
        <v>14</v>
      </c>
      <c r="T18" s="356">
        <v>0</v>
      </c>
      <c r="U18" s="356">
        <v>1</v>
      </c>
      <c r="V18" s="356">
        <v>2</v>
      </c>
      <c r="W18" s="356">
        <v>0</v>
      </c>
      <c r="X18" s="356">
        <v>4</v>
      </c>
      <c r="Y18" s="356">
        <v>14</v>
      </c>
      <c r="Z18" s="356">
        <v>11</v>
      </c>
      <c r="AA18" s="356">
        <v>0</v>
      </c>
      <c r="AB18" s="356">
        <v>1</v>
      </c>
      <c r="AC18" s="356">
        <v>7</v>
      </c>
      <c r="AD18" s="356">
        <v>6</v>
      </c>
      <c r="AE18" s="356">
        <v>0</v>
      </c>
      <c r="AF18" s="356">
        <v>3</v>
      </c>
      <c r="AG18" s="356">
        <v>4</v>
      </c>
      <c r="AH18" s="356">
        <v>5</v>
      </c>
      <c r="AI18" s="356">
        <v>0</v>
      </c>
      <c r="AJ18" s="356">
        <v>2</v>
      </c>
      <c r="AK18" s="356">
        <v>8</v>
      </c>
      <c r="AL18" s="356">
        <v>9</v>
      </c>
      <c r="AM18" s="356">
        <v>6</v>
      </c>
      <c r="AN18" s="356">
        <v>15</v>
      </c>
      <c r="AO18" s="356">
        <v>15</v>
      </c>
      <c r="AP18" s="356">
        <v>4</v>
      </c>
      <c r="AQ18" s="356">
        <v>4</v>
      </c>
      <c r="AR18" s="356">
        <v>11</v>
      </c>
      <c r="AS18" s="356">
        <v>7</v>
      </c>
      <c r="AT18" s="356">
        <v>4</v>
      </c>
      <c r="AU18" s="356">
        <v>13</v>
      </c>
      <c r="AV18" s="356">
        <v>11</v>
      </c>
      <c r="AW18" s="356">
        <v>11</v>
      </c>
      <c r="AX18" s="356">
        <v>6</v>
      </c>
      <c r="AY18" s="356">
        <v>13</v>
      </c>
      <c r="AZ18" s="356">
        <v>13</v>
      </c>
      <c r="BA18" s="356">
        <v>7</v>
      </c>
      <c r="BB18" s="356">
        <v>3</v>
      </c>
      <c r="BD18" s="353">
        <f t="shared" si="0"/>
        <v>91</v>
      </c>
      <c r="BE18" s="353">
        <f t="shared" si="1"/>
        <v>81</v>
      </c>
      <c r="BF18" s="353">
        <f t="shared" si="2"/>
        <v>98</v>
      </c>
      <c r="BG18" s="353">
        <f t="shared" si="3"/>
        <v>78</v>
      </c>
    </row>
    <row r="19" spans="2:59">
      <c r="B19" s="354">
        <v>11</v>
      </c>
      <c r="C19" s="743" t="s">
        <v>693</v>
      </c>
      <c r="D19" s="744" t="s">
        <v>693</v>
      </c>
      <c r="E19" s="744" t="s">
        <v>693</v>
      </c>
      <c r="F19" s="355">
        <v>1099371872</v>
      </c>
      <c r="G19" s="356">
        <v>15</v>
      </c>
      <c r="H19" s="356">
        <v>15</v>
      </c>
      <c r="I19" s="356">
        <v>3</v>
      </c>
      <c r="J19" s="356">
        <v>12</v>
      </c>
      <c r="K19" s="356">
        <v>6</v>
      </c>
      <c r="L19" s="356">
        <v>3</v>
      </c>
      <c r="M19" s="356">
        <v>10</v>
      </c>
      <c r="N19" s="356">
        <v>12</v>
      </c>
      <c r="O19" s="356">
        <v>4</v>
      </c>
      <c r="P19" s="356">
        <v>5</v>
      </c>
      <c r="Q19" s="356">
        <v>15</v>
      </c>
      <c r="R19" s="356">
        <v>4</v>
      </c>
      <c r="S19" s="356">
        <v>12</v>
      </c>
      <c r="T19" s="356">
        <v>11</v>
      </c>
      <c r="U19" s="356">
        <v>4</v>
      </c>
      <c r="V19" s="356">
        <v>14</v>
      </c>
      <c r="W19" s="356">
        <v>2</v>
      </c>
      <c r="X19" s="356">
        <v>15</v>
      </c>
      <c r="Y19" s="356">
        <v>2</v>
      </c>
      <c r="Z19" s="356">
        <v>12</v>
      </c>
      <c r="AA19" s="356">
        <v>7</v>
      </c>
      <c r="AB19" s="356">
        <v>5</v>
      </c>
      <c r="AC19" s="356">
        <v>3</v>
      </c>
      <c r="AD19" s="356">
        <v>0</v>
      </c>
      <c r="AE19" s="356">
        <v>1</v>
      </c>
      <c r="AF19" s="356">
        <v>0</v>
      </c>
      <c r="AG19" s="356">
        <v>5</v>
      </c>
      <c r="AH19" s="356">
        <v>7</v>
      </c>
      <c r="AI19" s="356">
        <v>2</v>
      </c>
      <c r="AJ19" s="356">
        <v>1</v>
      </c>
      <c r="AK19" s="356">
        <v>8</v>
      </c>
      <c r="AL19" s="356">
        <v>10</v>
      </c>
      <c r="AM19" s="356">
        <v>3</v>
      </c>
      <c r="AN19" s="356">
        <v>12</v>
      </c>
      <c r="AO19" s="356">
        <v>15</v>
      </c>
      <c r="AP19" s="356">
        <v>10</v>
      </c>
      <c r="AQ19" s="356">
        <v>3</v>
      </c>
      <c r="AR19" s="356">
        <v>13</v>
      </c>
      <c r="AS19" s="356">
        <v>3</v>
      </c>
      <c r="AT19" s="356">
        <v>9</v>
      </c>
      <c r="AU19" s="356">
        <v>10</v>
      </c>
      <c r="AV19" s="356">
        <v>2</v>
      </c>
      <c r="AW19" s="356">
        <v>5</v>
      </c>
      <c r="AX19" s="356">
        <v>4</v>
      </c>
      <c r="AY19" s="356">
        <v>9</v>
      </c>
      <c r="AZ19" s="356">
        <v>7</v>
      </c>
      <c r="BA19" s="356">
        <v>3</v>
      </c>
      <c r="BB19" s="356">
        <v>4</v>
      </c>
      <c r="BD19" s="353">
        <f t="shared" si="0"/>
        <v>73</v>
      </c>
      <c r="BE19" s="353">
        <f t="shared" si="1"/>
        <v>74</v>
      </c>
      <c r="BF19" s="353">
        <f t="shared" si="2"/>
        <v>76</v>
      </c>
      <c r="BG19" s="353">
        <f t="shared" si="3"/>
        <v>59</v>
      </c>
    </row>
    <row r="20" spans="2:59">
      <c r="B20" s="354">
        <v>12</v>
      </c>
      <c r="C20" s="743" t="s">
        <v>692</v>
      </c>
      <c r="D20" s="744" t="s">
        <v>692</v>
      </c>
      <c r="E20" s="744" t="s">
        <v>692</v>
      </c>
      <c r="F20" s="355">
        <v>1099370753</v>
      </c>
      <c r="G20" s="356">
        <v>3</v>
      </c>
      <c r="H20" s="356">
        <v>0</v>
      </c>
      <c r="I20" s="356">
        <v>7</v>
      </c>
      <c r="J20" s="356">
        <v>13</v>
      </c>
      <c r="K20" s="356">
        <v>5</v>
      </c>
      <c r="L20" s="356">
        <v>5</v>
      </c>
      <c r="M20" s="356">
        <v>4</v>
      </c>
      <c r="N20" s="356">
        <v>0</v>
      </c>
      <c r="O20" s="356">
        <v>11</v>
      </c>
      <c r="P20" s="356">
        <v>6</v>
      </c>
      <c r="Q20" s="356">
        <v>3</v>
      </c>
      <c r="R20" s="356">
        <v>4</v>
      </c>
      <c r="S20" s="356">
        <v>5</v>
      </c>
      <c r="T20" s="356">
        <v>15</v>
      </c>
      <c r="U20" s="356">
        <v>11</v>
      </c>
      <c r="V20" s="356">
        <v>5</v>
      </c>
      <c r="W20" s="356">
        <v>8</v>
      </c>
      <c r="X20" s="356">
        <v>5</v>
      </c>
      <c r="Y20" s="356">
        <v>0</v>
      </c>
      <c r="Z20" s="356">
        <v>5</v>
      </c>
      <c r="AA20" s="356">
        <v>8</v>
      </c>
      <c r="AB20" s="356">
        <v>6</v>
      </c>
      <c r="AC20" s="356">
        <v>12</v>
      </c>
      <c r="AD20" s="356">
        <v>2</v>
      </c>
      <c r="AE20" s="356">
        <v>3</v>
      </c>
      <c r="AF20" s="356">
        <v>10</v>
      </c>
      <c r="AG20" s="356">
        <v>3</v>
      </c>
      <c r="AH20" s="356">
        <v>5</v>
      </c>
      <c r="AI20" s="356">
        <v>2</v>
      </c>
      <c r="AJ20" s="356">
        <v>13</v>
      </c>
      <c r="AK20" s="356">
        <v>10</v>
      </c>
      <c r="AL20" s="356">
        <v>13</v>
      </c>
      <c r="AM20" s="356">
        <v>0</v>
      </c>
      <c r="AN20" s="356">
        <v>8</v>
      </c>
      <c r="AO20" s="356">
        <v>2</v>
      </c>
      <c r="AP20" s="356">
        <v>8</v>
      </c>
      <c r="AQ20" s="356">
        <v>3</v>
      </c>
      <c r="AR20" s="356">
        <v>5</v>
      </c>
      <c r="AS20" s="356">
        <v>0</v>
      </c>
      <c r="AT20" s="356">
        <v>5</v>
      </c>
      <c r="AU20" s="356">
        <v>10</v>
      </c>
      <c r="AV20" s="356">
        <v>8</v>
      </c>
      <c r="AW20" s="356">
        <v>1</v>
      </c>
      <c r="AX20" s="356">
        <v>15</v>
      </c>
      <c r="AY20" s="356">
        <v>0</v>
      </c>
      <c r="AZ20" s="356">
        <v>9</v>
      </c>
      <c r="BA20" s="356">
        <v>13</v>
      </c>
      <c r="BB20" s="356">
        <v>4</v>
      </c>
      <c r="BD20" s="353">
        <f t="shared" si="0"/>
        <v>53</v>
      </c>
      <c r="BE20" s="353">
        <f t="shared" si="1"/>
        <v>58</v>
      </c>
      <c r="BF20" s="353">
        <f t="shared" si="2"/>
        <v>66</v>
      </c>
      <c r="BG20" s="353">
        <f t="shared" si="3"/>
        <v>55</v>
      </c>
    </row>
    <row r="21" spans="2:59">
      <c r="B21" s="354">
        <v>13</v>
      </c>
      <c r="C21" s="743" t="s">
        <v>691</v>
      </c>
      <c r="D21" s="744" t="s">
        <v>691</v>
      </c>
      <c r="E21" s="744" t="s">
        <v>691</v>
      </c>
      <c r="F21" s="355">
        <v>1099371023</v>
      </c>
      <c r="G21" s="356">
        <v>7</v>
      </c>
      <c r="H21" s="356">
        <v>13</v>
      </c>
      <c r="I21" s="356">
        <v>4</v>
      </c>
      <c r="J21" s="356">
        <v>10</v>
      </c>
      <c r="K21" s="356">
        <v>10</v>
      </c>
      <c r="L21" s="356">
        <v>12</v>
      </c>
      <c r="M21" s="356">
        <v>5</v>
      </c>
      <c r="N21" s="356">
        <v>2</v>
      </c>
      <c r="O21" s="356">
        <v>1</v>
      </c>
      <c r="P21" s="356">
        <v>10</v>
      </c>
      <c r="Q21" s="356">
        <v>9</v>
      </c>
      <c r="R21" s="356">
        <v>15</v>
      </c>
      <c r="S21" s="356">
        <v>4</v>
      </c>
      <c r="T21" s="356">
        <v>2</v>
      </c>
      <c r="U21" s="356">
        <v>4</v>
      </c>
      <c r="V21" s="356">
        <v>4</v>
      </c>
      <c r="W21" s="356">
        <v>2</v>
      </c>
      <c r="X21" s="356">
        <v>11</v>
      </c>
      <c r="Y21" s="356">
        <v>5</v>
      </c>
      <c r="Z21" s="356">
        <v>15</v>
      </c>
      <c r="AA21" s="356">
        <v>8</v>
      </c>
      <c r="AB21" s="356">
        <v>5</v>
      </c>
      <c r="AC21" s="356">
        <v>9</v>
      </c>
      <c r="AD21" s="356">
        <v>2</v>
      </c>
      <c r="AE21" s="356">
        <v>13</v>
      </c>
      <c r="AF21" s="356">
        <v>14</v>
      </c>
      <c r="AG21" s="356">
        <v>7</v>
      </c>
      <c r="AH21" s="356">
        <v>2</v>
      </c>
      <c r="AI21" s="356">
        <v>0</v>
      </c>
      <c r="AJ21" s="356">
        <v>3</v>
      </c>
      <c r="AK21" s="356">
        <v>1</v>
      </c>
      <c r="AL21" s="356">
        <v>0</v>
      </c>
      <c r="AM21" s="356">
        <v>10</v>
      </c>
      <c r="AN21" s="356">
        <v>15</v>
      </c>
      <c r="AO21" s="356">
        <v>1</v>
      </c>
      <c r="AP21" s="356">
        <v>6</v>
      </c>
      <c r="AQ21" s="356">
        <v>2</v>
      </c>
      <c r="AR21" s="356">
        <v>0</v>
      </c>
      <c r="AS21" s="356">
        <v>7</v>
      </c>
      <c r="AT21" s="356">
        <v>11</v>
      </c>
      <c r="AU21" s="356">
        <v>0</v>
      </c>
      <c r="AV21" s="356">
        <v>6</v>
      </c>
      <c r="AW21" s="356">
        <v>15</v>
      </c>
      <c r="AX21" s="356">
        <v>12</v>
      </c>
      <c r="AY21" s="356">
        <v>10</v>
      </c>
      <c r="AZ21" s="356">
        <v>15</v>
      </c>
      <c r="BA21" s="356">
        <v>12</v>
      </c>
      <c r="BB21" s="356">
        <v>2</v>
      </c>
      <c r="BD21" s="353">
        <f t="shared" si="0"/>
        <v>67</v>
      </c>
      <c r="BE21" s="353">
        <f t="shared" si="1"/>
        <v>67</v>
      </c>
      <c r="BF21" s="353">
        <f t="shared" si="2"/>
        <v>79</v>
      </c>
      <c r="BG21" s="353">
        <f t="shared" si="3"/>
        <v>60</v>
      </c>
    </row>
    <row r="22" spans="2:59">
      <c r="B22" s="354">
        <v>14</v>
      </c>
      <c r="C22" s="743" t="s">
        <v>690</v>
      </c>
      <c r="D22" s="744" t="s">
        <v>690</v>
      </c>
      <c r="E22" s="744" t="s">
        <v>690</v>
      </c>
      <c r="F22" s="355">
        <v>1099375714</v>
      </c>
      <c r="G22" s="356">
        <v>12</v>
      </c>
      <c r="H22" s="356">
        <v>0</v>
      </c>
      <c r="I22" s="356">
        <v>11</v>
      </c>
      <c r="J22" s="356">
        <v>3</v>
      </c>
      <c r="K22" s="356">
        <v>9</v>
      </c>
      <c r="L22" s="356">
        <v>13</v>
      </c>
      <c r="M22" s="356">
        <v>15</v>
      </c>
      <c r="N22" s="356">
        <v>0</v>
      </c>
      <c r="O22" s="356">
        <v>10</v>
      </c>
      <c r="P22" s="356">
        <v>3</v>
      </c>
      <c r="Q22" s="356">
        <v>9</v>
      </c>
      <c r="R22" s="356">
        <v>12</v>
      </c>
      <c r="S22" s="356">
        <v>2</v>
      </c>
      <c r="T22" s="356">
        <v>13</v>
      </c>
      <c r="U22" s="356">
        <v>2</v>
      </c>
      <c r="V22" s="356">
        <v>8</v>
      </c>
      <c r="W22" s="356">
        <v>4</v>
      </c>
      <c r="X22" s="356">
        <v>5</v>
      </c>
      <c r="Y22" s="356">
        <v>10</v>
      </c>
      <c r="Z22" s="356">
        <v>4</v>
      </c>
      <c r="AA22" s="356">
        <v>11</v>
      </c>
      <c r="AB22" s="356">
        <v>6</v>
      </c>
      <c r="AC22" s="356">
        <v>15</v>
      </c>
      <c r="AD22" s="356">
        <v>7</v>
      </c>
      <c r="AE22" s="356">
        <v>3</v>
      </c>
      <c r="AF22" s="356">
        <v>1</v>
      </c>
      <c r="AG22" s="356">
        <v>4</v>
      </c>
      <c r="AH22" s="356">
        <v>13</v>
      </c>
      <c r="AI22" s="356">
        <v>3</v>
      </c>
      <c r="AJ22" s="356">
        <v>3</v>
      </c>
      <c r="AK22" s="356">
        <v>4</v>
      </c>
      <c r="AL22" s="356">
        <v>8</v>
      </c>
      <c r="AM22" s="356">
        <v>10</v>
      </c>
      <c r="AN22" s="356">
        <v>5</v>
      </c>
      <c r="AO22" s="356">
        <v>11</v>
      </c>
      <c r="AP22" s="356">
        <v>1</v>
      </c>
      <c r="AQ22" s="356">
        <v>9</v>
      </c>
      <c r="AR22" s="356">
        <v>7</v>
      </c>
      <c r="AS22" s="356">
        <v>9</v>
      </c>
      <c r="AT22" s="356">
        <v>10</v>
      </c>
      <c r="AU22" s="356">
        <v>11</v>
      </c>
      <c r="AV22" s="356">
        <v>11</v>
      </c>
      <c r="AW22" s="356">
        <v>11</v>
      </c>
      <c r="AX22" s="356">
        <v>15</v>
      </c>
      <c r="AY22" s="356">
        <v>12</v>
      </c>
      <c r="AZ22" s="356">
        <v>4</v>
      </c>
      <c r="BA22" s="356">
        <v>7</v>
      </c>
      <c r="BB22" s="356">
        <v>8</v>
      </c>
      <c r="BD22" s="353">
        <f t="shared" si="0"/>
        <v>101</v>
      </c>
      <c r="BE22" s="353">
        <f t="shared" si="1"/>
        <v>96</v>
      </c>
      <c r="BF22" s="353">
        <f t="shared" si="2"/>
        <v>108</v>
      </c>
      <c r="BG22" s="353">
        <f t="shared" si="3"/>
        <v>84</v>
      </c>
    </row>
    <row r="23" spans="2:59">
      <c r="B23" s="354">
        <v>15</v>
      </c>
      <c r="C23" s="743" t="s">
        <v>689</v>
      </c>
      <c r="D23" s="744" t="s">
        <v>689</v>
      </c>
      <c r="E23" s="744" t="s">
        <v>689</v>
      </c>
      <c r="F23" s="355">
        <v>28218518</v>
      </c>
      <c r="G23" s="356">
        <v>0</v>
      </c>
      <c r="H23" s="356">
        <v>0</v>
      </c>
      <c r="I23" s="356">
        <v>4</v>
      </c>
      <c r="J23" s="356">
        <v>3</v>
      </c>
      <c r="K23" s="356">
        <v>9</v>
      </c>
      <c r="L23" s="356">
        <v>7</v>
      </c>
      <c r="M23" s="356">
        <v>15</v>
      </c>
      <c r="N23" s="356">
        <v>12</v>
      </c>
      <c r="O23" s="356">
        <v>2</v>
      </c>
      <c r="P23" s="356">
        <v>13</v>
      </c>
      <c r="Q23" s="356">
        <v>11</v>
      </c>
      <c r="R23" s="356">
        <v>9</v>
      </c>
      <c r="S23" s="356">
        <v>12</v>
      </c>
      <c r="T23" s="356">
        <v>13</v>
      </c>
      <c r="U23" s="356">
        <v>11</v>
      </c>
      <c r="V23" s="356">
        <v>11</v>
      </c>
      <c r="W23" s="356">
        <v>0</v>
      </c>
      <c r="X23" s="356">
        <v>2</v>
      </c>
      <c r="Y23" s="356">
        <v>7</v>
      </c>
      <c r="Z23" s="356">
        <v>15</v>
      </c>
      <c r="AA23" s="356">
        <v>10</v>
      </c>
      <c r="AB23" s="356">
        <v>14</v>
      </c>
      <c r="AC23" s="356">
        <v>15</v>
      </c>
      <c r="AD23" s="356">
        <v>7</v>
      </c>
      <c r="AE23" s="356">
        <v>6</v>
      </c>
      <c r="AF23" s="356">
        <v>7</v>
      </c>
      <c r="AG23" s="356">
        <v>5</v>
      </c>
      <c r="AH23" s="356">
        <v>7</v>
      </c>
      <c r="AI23" s="356">
        <v>2</v>
      </c>
      <c r="AJ23" s="356">
        <v>14</v>
      </c>
      <c r="AK23" s="356">
        <v>2</v>
      </c>
      <c r="AL23" s="356">
        <v>3</v>
      </c>
      <c r="AM23" s="356">
        <v>14</v>
      </c>
      <c r="AN23" s="356">
        <v>4</v>
      </c>
      <c r="AO23" s="356">
        <v>12</v>
      </c>
      <c r="AP23" s="356">
        <v>7</v>
      </c>
      <c r="AQ23" s="356">
        <v>12</v>
      </c>
      <c r="AR23" s="356">
        <v>3</v>
      </c>
      <c r="AS23" s="356">
        <v>15</v>
      </c>
      <c r="AT23" s="356">
        <v>14</v>
      </c>
      <c r="AU23" s="356">
        <v>9</v>
      </c>
      <c r="AV23" s="356">
        <v>1</v>
      </c>
      <c r="AW23" s="356">
        <v>8</v>
      </c>
      <c r="AX23" s="356">
        <v>3</v>
      </c>
      <c r="AY23" s="356">
        <v>14</v>
      </c>
      <c r="AZ23" s="356">
        <v>15</v>
      </c>
      <c r="BA23" s="356">
        <v>10</v>
      </c>
      <c r="BB23" s="356">
        <v>1</v>
      </c>
      <c r="BD23" s="353">
        <f t="shared" si="0"/>
        <v>105</v>
      </c>
      <c r="BE23" s="353">
        <f t="shared" si="1"/>
        <v>90</v>
      </c>
      <c r="BF23" s="353">
        <f t="shared" si="2"/>
        <v>115</v>
      </c>
      <c r="BG23" s="353">
        <f t="shared" si="3"/>
        <v>90</v>
      </c>
    </row>
    <row r="24" spans="2:59">
      <c r="B24" s="354">
        <v>16</v>
      </c>
      <c r="C24" s="743" t="s">
        <v>688</v>
      </c>
      <c r="D24" s="744" t="s">
        <v>688</v>
      </c>
      <c r="E24" s="744" t="s">
        <v>688</v>
      </c>
      <c r="F24" s="355">
        <v>13539147</v>
      </c>
      <c r="G24" s="356">
        <v>0</v>
      </c>
      <c r="H24" s="356">
        <v>5</v>
      </c>
      <c r="I24" s="356">
        <v>11</v>
      </c>
      <c r="J24" s="356">
        <v>13</v>
      </c>
      <c r="K24" s="356">
        <v>8</v>
      </c>
      <c r="L24" s="356">
        <v>15</v>
      </c>
      <c r="M24" s="356">
        <v>9</v>
      </c>
      <c r="N24" s="356">
        <v>5</v>
      </c>
      <c r="O24" s="356">
        <v>11</v>
      </c>
      <c r="P24" s="356">
        <v>2</v>
      </c>
      <c r="Q24" s="356">
        <v>10</v>
      </c>
      <c r="R24" s="356">
        <v>7</v>
      </c>
      <c r="S24" s="356">
        <v>14</v>
      </c>
      <c r="T24" s="356">
        <v>14</v>
      </c>
      <c r="U24" s="356">
        <v>7</v>
      </c>
      <c r="V24" s="356">
        <v>4</v>
      </c>
      <c r="W24" s="356">
        <v>0</v>
      </c>
      <c r="X24" s="356">
        <v>5</v>
      </c>
      <c r="Y24" s="356">
        <v>6</v>
      </c>
      <c r="Z24" s="356">
        <v>1</v>
      </c>
      <c r="AA24" s="356">
        <v>3</v>
      </c>
      <c r="AB24" s="356">
        <v>15</v>
      </c>
      <c r="AC24" s="356">
        <v>14</v>
      </c>
      <c r="AD24" s="356">
        <v>3</v>
      </c>
      <c r="AE24" s="356">
        <v>14</v>
      </c>
      <c r="AF24" s="356">
        <v>11</v>
      </c>
      <c r="AG24" s="356">
        <v>1</v>
      </c>
      <c r="AH24" s="356">
        <v>1</v>
      </c>
      <c r="AI24" s="356">
        <v>12</v>
      </c>
      <c r="AJ24" s="356">
        <v>6</v>
      </c>
      <c r="AK24" s="356">
        <v>1</v>
      </c>
      <c r="AL24" s="356">
        <v>7</v>
      </c>
      <c r="AM24" s="356">
        <v>2</v>
      </c>
      <c r="AN24" s="356">
        <v>12</v>
      </c>
      <c r="AO24" s="356">
        <v>5</v>
      </c>
      <c r="AP24" s="356">
        <v>0</v>
      </c>
      <c r="AQ24" s="356">
        <v>12</v>
      </c>
      <c r="AR24" s="356">
        <v>11</v>
      </c>
      <c r="AS24" s="356">
        <v>2</v>
      </c>
      <c r="AT24" s="356">
        <v>2</v>
      </c>
      <c r="AU24" s="356">
        <v>2</v>
      </c>
      <c r="AV24" s="356">
        <v>6</v>
      </c>
      <c r="AW24" s="356">
        <v>4</v>
      </c>
      <c r="AX24" s="356">
        <v>5</v>
      </c>
      <c r="AY24" s="356">
        <v>4</v>
      </c>
      <c r="AZ24" s="356">
        <v>15</v>
      </c>
      <c r="BA24" s="356">
        <v>13</v>
      </c>
      <c r="BB24" s="356">
        <v>0</v>
      </c>
      <c r="BD24" s="353">
        <f t="shared" si="0"/>
        <v>70</v>
      </c>
      <c r="BE24" s="353">
        <f t="shared" si="1"/>
        <v>82</v>
      </c>
      <c r="BF24" s="353">
        <f t="shared" si="2"/>
        <v>83</v>
      </c>
      <c r="BG24" s="353">
        <f t="shared" si="3"/>
        <v>82</v>
      </c>
    </row>
    <row r="25" spans="2:59">
      <c r="B25" s="354">
        <v>17</v>
      </c>
      <c r="C25" s="743" t="s">
        <v>687</v>
      </c>
      <c r="D25" s="744" t="s">
        <v>687</v>
      </c>
      <c r="E25" s="744" t="s">
        <v>687</v>
      </c>
      <c r="F25" s="355">
        <v>37842031</v>
      </c>
      <c r="G25" s="356">
        <v>5</v>
      </c>
      <c r="H25" s="356">
        <v>11</v>
      </c>
      <c r="I25" s="356">
        <v>10</v>
      </c>
      <c r="J25" s="356">
        <v>12</v>
      </c>
      <c r="K25" s="356">
        <v>1</v>
      </c>
      <c r="L25" s="356">
        <v>8</v>
      </c>
      <c r="M25" s="356">
        <v>14</v>
      </c>
      <c r="N25" s="356">
        <v>1</v>
      </c>
      <c r="O25" s="356">
        <v>4</v>
      </c>
      <c r="P25" s="356">
        <v>13</v>
      </c>
      <c r="Q25" s="356">
        <v>13</v>
      </c>
      <c r="R25" s="356">
        <v>4</v>
      </c>
      <c r="S25" s="356">
        <v>10</v>
      </c>
      <c r="T25" s="356">
        <v>8</v>
      </c>
      <c r="U25" s="356">
        <v>3</v>
      </c>
      <c r="V25" s="356">
        <v>12</v>
      </c>
      <c r="W25" s="356">
        <v>1</v>
      </c>
      <c r="X25" s="356">
        <v>7</v>
      </c>
      <c r="Y25" s="356">
        <v>5</v>
      </c>
      <c r="Z25" s="356">
        <v>15</v>
      </c>
      <c r="AA25" s="356">
        <v>0</v>
      </c>
      <c r="AB25" s="356">
        <v>3</v>
      </c>
      <c r="AC25" s="356">
        <v>8</v>
      </c>
      <c r="AD25" s="356">
        <v>0</v>
      </c>
      <c r="AE25" s="356">
        <v>11</v>
      </c>
      <c r="AF25" s="356">
        <v>6</v>
      </c>
      <c r="AG25" s="356">
        <v>0</v>
      </c>
      <c r="AH25" s="356">
        <v>14</v>
      </c>
      <c r="AI25" s="356">
        <v>9</v>
      </c>
      <c r="AJ25" s="356">
        <v>9</v>
      </c>
      <c r="AK25" s="356">
        <v>4</v>
      </c>
      <c r="AL25" s="356">
        <v>7</v>
      </c>
      <c r="AM25" s="356">
        <v>15</v>
      </c>
      <c r="AN25" s="356">
        <v>15</v>
      </c>
      <c r="AO25" s="356">
        <v>0</v>
      </c>
      <c r="AP25" s="356">
        <v>9</v>
      </c>
      <c r="AQ25" s="356">
        <v>1</v>
      </c>
      <c r="AR25" s="356">
        <v>6</v>
      </c>
      <c r="AS25" s="356">
        <v>8</v>
      </c>
      <c r="AT25" s="356">
        <v>6</v>
      </c>
      <c r="AU25" s="356">
        <v>4</v>
      </c>
      <c r="AV25" s="356">
        <v>10</v>
      </c>
      <c r="AW25" s="356">
        <v>9</v>
      </c>
      <c r="AX25" s="356">
        <v>7</v>
      </c>
      <c r="AY25" s="356">
        <v>12</v>
      </c>
      <c r="AZ25" s="356">
        <v>9</v>
      </c>
      <c r="BA25" s="356">
        <v>7</v>
      </c>
      <c r="BB25" s="356">
        <v>11</v>
      </c>
      <c r="BD25" s="353">
        <f t="shared" si="0"/>
        <v>74</v>
      </c>
      <c r="BE25" s="353">
        <f t="shared" si="1"/>
        <v>73</v>
      </c>
      <c r="BF25" s="353">
        <f t="shared" si="2"/>
        <v>81</v>
      </c>
      <c r="BG25" s="353">
        <f t="shared" si="3"/>
        <v>68</v>
      </c>
    </row>
    <row r="26" spans="2:59">
      <c r="B26" s="354">
        <v>18</v>
      </c>
      <c r="C26" s="743" t="s">
        <v>686</v>
      </c>
      <c r="D26" s="744" t="s">
        <v>686</v>
      </c>
      <c r="E26" s="744" t="s">
        <v>686</v>
      </c>
      <c r="F26" s="355">
        <v>1099372937</v>
      </c>
      <c r="G26" s="356">
        <v>15</v>
      </c>
      <c r="H26" s="356">
        <v>9</v>
      </c>
      <c r="I26" s="356">
        <v>4</v>
      </c>
      <c r="J26" s="356">
        <v>9</v>
      </c>
      <c r="K26" s="356">
        <v>12</v>
      </c>
      <c r="L26" s="356">
        <v>14</v>
      </c>
      <c r="M26" s="356">
        <v>14</v>
      </c>
      <c r="N26" s="356">
        <v>5</v>
      </c>
      <c r="O26" s="356">
        <v>10</v>
      </c>
      <c r="P26" s="356">
        <v>13</v>
      </c>
      <c r="Q26" s="356">
        <v>10</v>
      </c>
      <c r="R26" s="356">
        <v>6</v>
      </c>
      <c r="S26" s="356">
        <v>5</v>
      </c>
      <c r="T26" s="356">
        <v>13</v>
      </c>
      <c r="U26" s="356">
        <v>1</v>
      </c>
      <c r="V26" s="356">
        <v>12</v>
      </c>
      <c r="W26" s="356">
        <v>7</v>
      </c>
      <c r="X26" s="356">
        <v>5</v>
      </c>
      <c r="Y26" s="356">
        <v>13</v>
      </c>
      <c r="Z26" s="356">
        <v>2</v>
      </c>
      <c r="AA26" s="356">
        <v>3</v>
      </c>
      <c r="AB26" s="356">
        <v>13</v>
      </c>
      <c r="AC26" s="356">
        <v>3</v>
      </c>
      <c r="AD26" s="356">
        <v>1</v>
      </c>
      <c r="AE26" s="356">
        <v>2</v>
      </c>
      <c r="AF26" s="356">
        <v>2</v>
      </c>
      <c r="AG26" s="356">
        <v>7</v>
      </c>
      <c r="AH26" s="356">
        <v>9</v>
      </c>
      <c r="AI26" s="356">
        <v>6</v>
      </c>
      <c r="AJ26" s="356">
        <v>8</v>
      </c>
      <c r="AK26" s="356">
        <v>13</v>
      </c>
      <c r="AL26" s="356">
        <v>14</v>
      </c>
      <c r="AM26" s="356">
        <v>1</v>
      </c>
      <c r="AN26" s="356">
        <v>3</v>
      </c>
      <c r="AO26" s="356">
        <v>6</v>
      </c>
      <c r="AP26" s="356">
        <v>15</v>
      </c>
      <c r="AQ26" s="356">
        <v>11</v>
      </c>
      <c r="AR26" s="356">
        <v>15</v>
      </c>
      <c r="AS26" s="356">
        <v>3</v>
      </c>
      <c r="AT26" s="356">
        <v>0</v>
      </c>
      <c r="AU26" s="356">
        <v>0</v>
      </c>
      <c r="AV26" s="356">
        <v>15</v>
      </c>
      <c r="AW26" s="356">
        <v>8</v>
      </c>
      <c r="AX26" s="356">
        <v>13</v>
      </c>
      <c r="AY26" s="356">
        <v>12</v>
      </c>
      <c r="AZ26" s="356">
        <v>11</v>
      </c>
      <c r="BA26" s="356">
        <v>7</v>
      </c>
      <c r="BB26" s="356">
        <v>4</v>
      </c>
      <c r="BD26" s="353">
        <f t="shared" si="0"/>
        <v>82</v>
      </c>
      <c r="BE26" s="353">
        <f t="shared" si="1"/>
        <v>84</v>
      </c>
      <c r="BF26" s="353">
        <f t="shared" si="2"/>
        <v>89</v>
      </c>
      <c r="BG26" s="353">
        <f t="shared" si="3"/>
        <v>69</v>
      </c>
    </row>
    <row r="27" spans="2:59">
      <c r="B27" s="354">
        <v>19</v>
      </c>
      <c r="C27" s="743" t="s">
        <v>685</v>
      </c>
      <c r="D27" s="744" t="s">
        <v>685</v>
      </c>
      <c r="E27" s="744" t="s">
        <v>685</v>
      </c>
      <c r="F27" s="355">
        <v>1099374995</v>
      </c>
      <c r="G27" s="356">
        <v>7</v>
      </c>
      <c r="H27" s="356">
        <v>8</v>
      </c>
      <c r="I27" s="356">
        <v>11</v>
      </c>
      <c r="J27" s="356">
        <v>3</v>
      </c>
      <c r="K27" s="356">
        <v>5</v>
      </c>
      <c r="L27" s="356">
        <v>0</v>
      </c>
      <c r="M27" s="356">
        <v>9</v>
      </c>
      <c r="N27" s="356">
        <v>1</v>
      </c>
      <c r="O27" s="356">
        <v>14</v>
      </c>
      <c r="P27" s="356">
        <v>15</v>
      </c>
      <c r="Q27" s="356">
        <v>0</v>
      </c>
      <c r="R27" s="356">
        <v>11</v>
      </c>
      <c r="S27" s="356">
        <v>4</v>
      </c>
      <c r="T27" s="356">
        <v>2</v>
      </c>
      <c r="U27" s="356">
        <v>11</v>
      </c>
      <c r="V27" s="356">
        <v>15</v>
      </c>
      <c r="W27" s="356">
        <v>7</v>
      </c>
      <c r="X27" s="356">
        <v>5</v>
      </c>
      <c r="Y27" s="356">
        <v>8</v>
      </c>
      <c r="Z27" s="356">
        <v>13</v>
      </c>
      <c r="AA27" s="356">
        <v>8</v>
      </c>
      <c r="AB27" s="356">
        <v>0</v>
      </c>
      <c r="AC27" s="356">
        <v>3</v>
      </c>
      <c r="AD27" s="356">
        <v>15</v>
      </c>
      <c r="AE27" s="356">
        <v>1</v>
      </c>
      <c r="AF27" s="356">
        <v>5</v>
      </c>
      <c r="AG27" s="356">
        <v>9</v>
      </c>
      <c r="AH27" s="356">
        <v>5</v>
      </c>
      <c r="AI27" s="356">
        <v>2</v>
      </c>
      <c r="AJ27" s="356">
        <v>8</v>
      </c>
      <c r="AK27" s="356">
        <v>15</v>
      </c>
      <c r="AL27" s="356">
        <v>1</v>
      </c>
      <c r="AM27" s="356">
        <v>13</v>
      </c>
      <c r="AN27" s="356">
        <v>4</v>
      </c>
      <c r="AO27" s="356">
        <v>1</v>
      </c>
      <c r="AP27" s="356">
        <v>9</v>
      </c>
      <c r="AQ27" s="356">
        <v>0</v>
      </c>
      <c r="AR27" s="356">
        <v>0</v>
      </c>
      <c r="AS27" s="356">
        <v>4</v>
      </c>
      <c r="AT27" s="356">
        <v>12</v>
      </c>
      <c r="AU27" s="356">
        <v>0</v>
      </c>
      <c r="AV27" s="356">
        <v>9</v>
      </c>
      <c r="AW27" s="356">
        <v>14</v>
      </c>
      <c r="AX27" s="356">
        <v>11</v>
      </c>
      <c r="AY27" s="356">
        <v>12</v>
      </c>
      <c r="AZ27" s="356">
        <v>5</v>
      </c>
      <c r="BA27" s="356">
        <v>12</v>
      </c>
      <c r="BB27" s="356">
        <v>8</v>
      </c>
      <c r="BD27" s="353">
        <f t="shared" si="0"/>
        <v>85</v>
      </c>
      <c r="BE27" s="353">
        <f t="shared" si="1"/>
        <v>73</v>
      </c>
      <c r="BF27" s="353">
        <f t="shared" si="2"/>
        <v>97</v>
      </c>
      <c r="BG27" s="353">
        <f t="shared" si="3"/>
        <v>66</v>
      </c>
    </row>
    <row r="28" spans="2:59">
      <c r="B28" s="354">
        <v>20</v>
      </c>
      <c r="C28" s="743" t="s">
        <v>684</v>
      </c>
      <c r="D28" s="744" t="s">
        <v>684</v>
      </c>
      <c r="E28" s="744" t="s">
        <v>684</v>
      </c>
      <c r="F28" s="355">
        <v>1099363194</v>
      </c>
      <c r="G28" s="356">
        <v>2</v>
      </c>
      <c r="H28" s="356">
        <v>0</v>
      </c>
      <c r="I28" s="356">
        <v>15</v>
      </c>
      <c r="J28" s="356">
        <v>8</v>
      </c>
      <c r="K28" s="356">
        <v>6</v>
      </c>
      <c r="L28" s="356">
        <v>13</v>
      </c>
      <c r="M28" s="356">
        <v>10</v>
      </c>
      <c r="N28" s="356">
        <v>7</v>
      </c>
      <c r="O28" s="356">
        <v>12</v>
      </c>
      <c r="P28" s="356">
        <v>9</v>
      </c>
      <c r="Q28" s="356">
        <v>3</v>
      </c>
      <c r="R28" s="356">
        <v>10</v>
      </c>
      <c r="S28" s="356">
        <v>5</v>
      </c>
      <c r="T28" s="356">
        <v>2</v>
      </c>
      <c r="U28" s="356">
        <v>10</v>
      </c>
      <c r="V28" s="356">
        <v>15</v>
      </c>
      <c r="W28" s="356">
        <v>5</v>
      </c>
      <c r="X28" s="356">
        <v>1</v>
      </c>
      <c r="Y28" s="356">
        <v>8</v>
      </c>
      <c r="Z28" s="356">
        <v>9</v>
      </c>
      <c r="AA28" s="356">
        <v>12</v>
      </c>
      <c r="AB28" s="356">
        <v>2</v>
      </c>
      <c r="AC28" s="356">
        <v>1</v>
      </c>
      <c r="AD28" s="356">
        <v>6</v>
      </c>
      <c r="AE28" s="356">
        <v>3</v>
      </c>
      <c r="AF28" s="356">
        <v>10</v>
      </c>
      <c r="AG28" s="356">
        <v>11</v>
      </c>
      <c r="AH28" s="356">
        <v>15</v>
      </c>
      <c r="AI28" s="356">
        <v>2</v>
      </c>
      <c r="AJ28" s="356">
        <v>1</v>
      </c>
      <c r="AK28" s="356">
        <v>14</v>
      </c>
      <c r="AL28" s="356">
        <v>2</v>
      </c>
      <c r="AM28" s="356">
        <v>13</v>
      </c>
      <c r="AN28" s="356">
        <v>10</v>
      </c>
      <c r="AO28" s="356">
        <v>4</v>
      </c>
      <c r="AP28" s="356">
        <v>11</v>
      </c>
      <c r="AQ28" s="356">
        <v>3</v>
      </c>
      <c r="AR28" s="356">
        <v>15</v>
      </c>
      <c r="AS28" s="356">
        <v>4</v>
      </c>
      <c r="AT28" s="356">
        <v>4</v>
      </c>
      <c r="AU28" s="356">
        <v>12</v>
      </c>
      <c r="AV28" s="356">
        <v>5</v>
      </c>
      <c r="AW28" s="356">
        <v>3</v>
      </c>
      <c r="AX28" s="356">
        <v>11</v>
      </c>
      <c r="AY28" s="356">
        <v>2</v>
      </c>
      <c r="AZ28" s="356">
        <v>1</v>
      </c>
      <c r="BA28" s="356">
        <v>5</v>
      </c>
      <c r="BB28" s="356">
        <v>3</v>
      </c>
      <c r="BD28" s="353">
        <f t="shared" si="0"/>
        <v>83</v>
      </c>
      <c r="BE28" s="353">
        <f t="shared" si="1"/>
        <v>77</v>
      </c>
      <c r="BF28" s="353">
        <f t="shared" si="2"/>
        <v>88</v>
      </c>
      <c r="BG28" s="353">
        <f t="shared" si="3"/>
        <v>75</v>
      </c>
    </row>
    <row r="29" spans="2:59">
      <c r="B29" s="354">
        <v>21</v>
      </c>
      <c r="C29" s="743" t="s">
        <v>683</v>
      </c>
      <c r="D29" s="744" t="s">
        <v>683</v>
      </c>
      <c r="E29" s="744" t="s">
        <v>683</v>
      </c>
      <c r="F29" s="355">
        <v>1099362203</v>
      </c>
      <c r="G29" s="356">
        <v>11</v>
      </c>
      <c r="H29" s="356">
        <v>15</v>
      </c>
      <c r="I29" s="356">
        <v>3</v>
      </c>
      <c r="J29" s="356">
        <v>15</v>
      </c>
      <c r="K29" s="356">
        <v>1</v>
      </c>
      <c r="L29" s="356">
        <v>9</v>
      </c>
      <c r="M29" s="356">
        <v>9</v>
      </c>
      <c r="N29" s="356">
        <v>0</v>
      </c>
      <c r="O29" s="356">
        <v>9</v>
      </c>
      <c r="P29" s="356">
        <v>9</v>
      </c>
      <c r="Q29" s="356">
        <v>1</v>
      </c>
      <c r="R29" s="356">
        <v>0</v>
      </c>
      <c r="S29" s="356">
        <v>14</v>
      </c>
      <c r="T29" s="356">
        <v>11</v>
      </c>
      <c r="U29" s="356">
        <v>8</v>
      </c>
      <c r="V29" s="356">
        <v>3</v>
      </c>
      <c r="W29" s="356">
        <v>0</v>
      </c>
      <c r="X29" s="356">
        <v>8</v>
      </c>
      <c r="Y29" s="356">
        <v>4</v>
      </c>
      <c r="Z29" s="356">
        <v>9</v>
      </c>
      <c r="AA29" s="356">
        <v>8</v>
      </c>
      <c r="AB29" s="356">
        <v>0</v>
      </c>
      <c r="AC29" s="356">
        <v>14</v>
      </c>
      <c r="AD29" s="356">
        <v>9</v>
      </c>
      <c r="AE29" s="356">
        <v>0</v>
      </c>
      <c r="AF29" s="356">
        <v>11</v>
      </c>
      <c r="AG29" s="356">
        <v>12</v>
      </c>
      <c r="AH29" s="356">
        <v>10</v>
      </c>
      <c r="AI29" s="356">
        <v>8</v>
      </c>
      <c r="AJ29" s="356">
        <v>8</v>
      </c>
      <c r="AK29" s="356">
        <v>13</v>
      </c>
      <c r="AL29" s="356">
        <v>10</v>
      </c>
      <c r="AM29" s="356">
        <v>0</v>
      </c>
      <c r="AN29" s="356">
        <v>10</v>
      </c>
      <c r="AO29" s="356">
        <v>8</v>
      </c>
      <c r="AP29" s="356">
        <v>1</v>
      </c>
      <c r="AQ29" s="356">
        <v>10</v>
      </c>
      <c r="AR29" s="356">
        <v>8</v>
      </c>
      <c r="AS29" s="356">
        <v>6</v>
      </c>
      <c r="AT29" s="356">
        <v>6</v>
      </c>
      <c r="AU29" s="356">
        <v>0</v>
      </c>
      <c r="AV29" s="356">
        <v>3</v>
      </c>
      <c r="AW29" s="356">
        <v>6</v>
      </c>
      <c r="AX29" s="356">
        <v>1</v>
      </c>
      <c r="AY29" s="356">
        <v>14</v>
      </c>
      <c r="AZ29" s="356">
        <v>5</v>
      </c>
      <c r="BA29" s="356">
        <v>5</v>
      </c>
      <c r="BB29" s="356">
        <v>7</v>
      </c>
      <c r="BD29" s="353">
        <f t="shared" si="0"/>
        <v>84</v>
      </c>
      <c r="BE29" s="353">
        <f t="shared" si="1"/>
        <v>75</v>
      </c>
      <c r="BF29" s="353">
        <f t="shared" si="2"/>
        <v>89</v>
      </c>
      <c r="BG29" s="353">
        <f t="shared" si="3"/>
        <v>64</v>
      </c>
    </row>
    <row r="30" spans="2:59">
      <c r="B30" s="354">
        <v>22</v>
      </c>
      <c r="C30" s="743" t="s">
        <v>682</v>
      </c>
      <c r="D30" s="744" t="s">
        <v>682</v>
      </c>
      <c r="E30" s="744" t="s">
        <v>682</v>
      </c>
      <c r="F30" s="355">
        <v>1099372886</v>
      </c>
      <c r="G30" s="356">
        <v>3</v>
      </c>
      <c r="H30" s="356">
        <v>10</v>
      </c>
      <c r="I30" s="356">
        <v>0</v>
      </c>
      <c r="J30" s="356">
        <v>10</v>
      </c>
      <c r="K30" s="356">
        <v>12</v>
      </c>
      <c r="L30" s="356">
        <v>5</v>
      </c>
      <c r="M30" s="356">
        <v>10</v>
      </c>
      <c r="N30" s="356">
        <v>5</v>
      </c>
      <c r="O30" s="356">
        <v>5</v>
      </c>
      <c r="P30" s="356">
        <v>14</v>
      </c>
      <c r="Q30" s="356">
        <v>6</v>
      </c>
      <c r="R30" s="356">
        <v>6</v>
      </c>
      <c r="S30" s="356">
        <v>13</v>
      </c>
      <c r="T30" s="356">
        <v>10</v>
      </c>
      <c r="U30" s="356">
        <v>1</v>
      </c>
      <c r="V30" s="356">
        <v>1</v>
      </c>
      <c r="W30" s="356">
        <v>5</v>
      </c>
      <c r="X30" s="356">
        <v>6</v>
      </c>
      <c r="Y30" s="356">
        <v>5</v>
      </c>
      <c r="Z30" s="356">
        <v>5</v>
      </c>
      <c r="AA30" s="356">
        <v>10</v>
      </c>
      <c r="AB30" s="356">
        <v>4</v>
      </c>
      <c r="AC30" s="356">
        <v>0</v>
      </c>
      <c r="AD30" s="356">
        <v>2</v>
      </c>
      <c r="AE30" s="356">
        <v>2</v>
      </c>
      <c r="AF30" s="356">
        <v>9</v>
      </c>
      <c r="AG30" s="356">
        <v>10</v>
      </c>
      <c r="AH30" s="356">
        <v>11</v>
      </c>
      <c r="AI30" s="356">
        <v>12</v>
      </c>
      <c r="AJ30" s="356">
        <v>0</v>
      </c>
      <c r="AK30" s="356">
        <v>5</v>
      </c>
      <c r="AL30" s="356">
        <v>11</v>
      </c>
      <c r="AM30" s="356">
        <v>11</v>
      </c>
      <c r="AN30" s="356">
        <v>11</v>
      </c>
      <c r="AO30" s="356">
        <v>14</v>
      </c>
      <c r="AP30" s="356">
        <v>6</v>
      </c>
      <c r="AQ30" s="356">
        <v>10</v>
      </c>
      <c r="AR30" s="356">
        <v>3</v>
      </c>
      <c r="AS30" s="356">
        <v>15</v>
      </c>
      <c r="AT30" s="356">
        <v>12</v>
      </c>
      <c r="AU30" s="356">
        <v>7</v>
      </c>
      <c r="AV30" s="356">
        <v>4</v>
      </c>
      <c r="AW30" s="356">
        <v>10</v>
      </c>
      <c r="AX30" s="356">
        <v>3</v>
      </c>
      <c r="AY30" s="356">
        <v>14</v>
      </c>
      <c r="AZ30" s="356">
        <v>14</v>
      </c>
      <c r="BA30" s="356">
        <v>7</v>
      </c>
      <c r="BB30" s="356">
        <v>2</v>
      </c>
      <c r="BD30" s="353">
        <f t="shared" si="0"/>
        <v>76</v>
      </c>
      <c r="BE30" s="353">
        <f t="shared" si="1"/>
        <v>104</v>
      </c>
      <c r="BF30" s="353">
        <f t="shared" si="2"/>
        <v>83</v>
      </c>
      <c r="BG30" s="353">
        <f t="shared" si="3"/>
        <v>101</v>
      </c>
    </row>
    <row r="31" spans="2:59">
      <c r="B31" s="354">
        <v>23</v>
      </c>
      <c r="C31" s="743" t="s">
        <v>681</v>
      </c>
      <c r="D31" s="744" t="s">
        <v>681</v>
      </c>
      <c r="E31" s="744" t="s">
        <v>681</v>
      </c>
      <c r="F31" s="355">
        <v>79447279</v>
      </c>
      <c r="G31" s="356">
        <v>11</v>
      </c>
      <c r="H31" s="356">
        <v>6</v>
      </c>
      <c r="I31" s="356">
        <v>2</v>
      </c>
      <c r="J31" s="356">
        <v>1</v>
      </c>
      <c r="K31" s="356">
        <v>15</v>
      </c>
      <c r="L31" s="356">
        <v>7</v>
      </c>
      <c r="M31" s="356">
        <v>10</v>
      </c>
      <c r="N31" s="356">
        <v>12</v>
      </c>
      <c r="O31" s="356">
        <v>7</v>
      </c>
      <c r="P31" s="356">
        <v>15</v>
      </c>
      <c r="Q31" s="356">
        <v>6</v>
      </c>
      <c r="R31" s="356">
        <v>5</v>
      </c>
      <c r="S31" s="356">
        <v>12</v>
      </c>
      <c r="T31" s="356">
        <v>10</v>
      </c>
      <c r="U31" s="356">
        <v>7</v>
      </c>
      <c r="V31" s="356">
        <v>8</v>
      </c>
      <c r="W31" s="356">
        <v>2</v>
      </c>
      <c r="X31" s="356">
        <v>7</v>
      </c>
      <c r="Y31" s="356">
        <v>10</v>
      </c>
      <c r="Z31" s="356">
        <v>8</v>
      </c>
      <c r="AA31" s="356">
        <v>15</v>
      </c>
      <c r="AB31" s="356">
        <v>4</v>
      </c>
      <c r="AC31" s="356">
        <v>7</v>
      </c>
      <c r="AD31" s="356">
        <v>13</v>
      </c>
      <c r="AE31" s="356">
        <v>6</v>
      </c>
      <c r="AF31" s="356">
        <v>9</v>
      </c>
      <c r="AG31" s="356">
        <v>5</v>
      </c>
      <c r="AH31" s="356">
        <v>5</v>
      </c>
      <c r="AI31" s="356">
        <v>1</v>
      </c>
      <c r="AJ31" s="356">
        <v>3</v>
      </c>
      <c r="AK31" s="356">
        <v>1</v>
      </c>
      <c r="AL31" s="356">
        <v>0</v>
      </c>
      <c r="AM31" s="356">
        <v>5</v>
      </c>
      <c r="AN31" s="356">
        <v>9</v>
      </c>
      <c r="AO31" s="356">
        <v>6</v>
      </c>
      <c r="AP31" s="356">
        <v>12</v>
      </c>
      <c r="AQ31" s="356">
        <v>9</v>
      </c>
      <c r="AR31" s="356">
        <v>0</v>
      </c>
      <c r="AS31" s="356">
        <v>10</v>
      </c>
      <c r="AT31" s="356">
        <v>8</v>
      </c>
      <c r="AU31" s="356">
        <v>15</v>
      </c>
      <c r="AV31" s="356">
        <v>5</v>
      </c>
      <c r="AW31" s="356">
        <v>15</v>
      </c>
      <c r="AX31" s="356">
        <v>8</v>
      </c>
      <c r="AY31" s="356">
        <v>15</v>
      </c>
      <c r="AZ31" s="356">
        <v>5</v>
      </c>
      <c r="BA31" s="356">
        <v>3</v>
      </c>
      <c r="BB31" s="356">
        <v>5</v>
      </c>
      <c r="BD31" s="353">
        <f t="shared" si="0"/>
        <v>79</v>
      </c>
      <c r="BE31" s="353">
        <f t="shared" si="1"/>
        <v>113</v>
      </c>
      <c r="BF31" s="353">
        <f t="shared" si="2"/>
        <v>82</v>
      </c>
      <c r="BG31" s="353">
        <f t="shared" si="3"/>
        <v>102</v>
      </c>
    </row>
    <row r="32" spans="2:59">
      <c r="B32" s="354">
        <v>24</v>
      </c>
      <c r="C32" s="743" t="s">
        <v>680</v>
      </c>
      <c r="D32" s="744" t="s">
        <v>680</v>
      </c>
      <c r="E32" s="744" t="s">
        <v>680</v>
      </c>
      <c r="F32" s="355">
        <v>99081607199</v>
      </c>
      <c r="G32" s="356">
        <v>7</v>
      </c>
      <c r="H32" s="356">
        <v>2</v>
      </c>
      <c r="I32" s="356">
        <v>2</v>
      </c>
      <c r="J32" s="356">
        <v>0</v>
      </c>
      <c r="K32" s="356">
        <v>15</v>
      </c>
      <c r="L32" s="356">
        <v>10</v>
      </c>
      <c r="M32" s="356">
        <v>6</v>
      </c>
      <c r="N32" s="356">
        <v>14</v>
      </c>
      <c r="O32" s="356">
        <v>4</v>
      </c>
      <c r="P32" s="356">
        <v>9</v>
      </c>
      <c r="Q32" s="356">
        <v>5</v>
      </c>
      <c r="R32" s="356">
        <v>0</v>
      </c>
      <c r="S32" s="356">
        <v>8</v>
      </c>
      <c r="T32" s="356">
        <v>5</v>
      </c>
      <c r="U32" s="356">
        <v>12</v>
      </c>
      <c r="V32" s="356">
        <v>12</v>
      </c>
      <c r="W32" s="356">
        <v>8</v>
      </c>
      <c r="X32" s="356">
        <v>12</v>
      </c>
      <c r="Y32" s="356">
        <v>15</v>
      </c>
      <c r="Z32" s="356">
        <v>1</v>
      </c>
      <c r="AA32" s="356">
        <v>5</v>
      </c>
      <c r="AB32" s="356">
        <v>10</v>
      </c>
      <c r="AC32" s="356">
        <v>14</v>
      </c>
      <c r="AD32" s="356">
        <v>11</v>
      </c>
      <c r="AE32" s="356">
        <v>12</v>
      </c>
      <c r="AF32" s="356">
        <v>11</v>
      </c>
      <c r="AG32" s="356">
        <v>5</v>
      </c>
      <c r="AH32" s="356">
        <v>3</v>
      </c>
      <c r="AI32" s="356">
        <v>0</v>
      </c>
      <c r="AJ32" s="356">
        <v>6</v>
      </c>
      <c r="AK32" s="356">
        <v>6</v>
      </c>
      <c r="AL32" s="356">
        <v>5</v>
      </c>
      <c r="AM32" s="356">
        <v>8</v>
      </c>
      <c r="AN32" s="356">
        <v>2</v>
      </c>
      <c r="AO32" s="356">
        <v>4</v>
      </c>
      <c r="AP32" s="356">
        <v>15</v>
      </c>
      <c r="AQ32" s="356">
        <v>7</v>
      </c>
      <c r="AR32" s="356">
        <v>15</v>
      </c>
      <c r="AS32" s="356">
        <v>10</v>
      </c>
      <c r="AT32" s="356">
        <v>5</v>
      </c>
      <c r="AU32" s="356">
        <v>10</v>
      </c>
      <c r="AV32" s="356">
        <v>2</v>
      </c>
      <c r="AW32" s="356">
        <v>6</v>
      </c>
      <c r="AX32" s="356">
        <v>8</v>
      </c>
      <c r="AY32" s="356">
        <v>2</v>
      </c>
      <c r="AZ32" s="356">
        <v>8</v>
      </c>
      <c r="BA32" s="356">
        <v>13</v>
      </c>
      <c r="BB32" s="356">
        <v>11</v>
      </c>
      <c r="BD32" s="353">
        <f t="shared" si="0"/>
        <v>85</v>
      </c>
      <c r="BE32" s="353">
        <f t="shared" si="1"/>
        <v>86</v>
      </c>
      <c r="BF32" s="353">
        <f t="shared" si="2"/>
        <v>98</v>
      </c>
      <c r="BG32" s="353">
        <f t="shared" si="3"/>
        <v>79</v>
      </c>
    </row>
    <row r="33" spans="2:59">
      <c r="B33" s="354">
        <v>25</v>
      </c>
      <c r="C33" s="743" t="s">
        <v>679</v>
      </c>
      <c r="D33" s="744" t="s">
        <v>679</v>
      </c>
      <c r="E33" s="744" t="s">
        <v>679</v>
      </c>
      <c r="F33" s="355">
        <v>1005325262</v>
      </c>
      <c r="G33" s="356">
        <v>8</v>
      </c>
      <c r="H33" s="356">
        <v>1</v>
      </c>
      <c r="I33" s="356">
        <v>13</v>
      </c>
      <c r="J33" s="356">
        <v>0</v>
      </c>
      <c r="K33" s="356">
        <v>2</v>
      </c>
      <c r="L33" s="356">
        <v>4</v>
      </c>
      <c r="M33" s="356">
        <v>14</v>
      </c>
      <c r="N33" s="356">
        <v>8</v>
      </c>
      <c r="O33" s="356">
        <v>10</v>
      </c>
      <c r="P33" s="356">
        <v>11</v>
      </c>
      <c r="Q33" s="356">
        <v>8</v>
      </c>
      <c r="R33" s="356">
        <v>9</v>
      </c>
      <c r="S33" s="356">
        <v>13</v>
      </c>
      <c r="T33" s="356">
        <v>8</v>
      </c>
      <c r="U33" s="356">
        <v>0</v>
      </c>
      <c r="V33" s="356">
        <v>6</v>
      </c>
      <c r="W33" s="356">
        <v>6</v>
      </c>
      <c r="X33" s="356">
        <v>8</v>
      </c>
      <c r="Y33" s="356">
        <v>4</v>
      </c>
      <c r="Z33" s="356">
        <v>12</v>
      </c>
      <c r="AA33" s="356">
        <v>3</v>
      </c>
      <c r="AB33" s="356">
        <v>8</v>
      </c>
      <c r="AC33" s="356">
        <v>13</v>
      </c>
      <c r="AD33" s="356">
        <v>7</v>
      </c>
      <c r="AE33" s="356">
        <v>4</v>
      </c>
      <c r="AF33" s="356">
        <v>2</v>
      </c>
      <c r="AG33" s="356">
        <v>10</v>
      </c>
      <c r="AH33" s="356">
        <v>7</v>
      </c>
      <c r="AI33" s="356">
        <v>7</v>
      </c>
      <c r="AJ33" s="356">
        <v>5</v>
      </c>
      <c r="AK33" s="356">
        <v>3</v>
      </c>
      <c r="AL33" s="356">
        <v>0</v>
      </c>
      <c r="AM33" s="356">
        <v>10</v>
      </c>
      <c r="AN33" s="356">
        <v>5</v>
      </c>
      <c r="AO33" s="356">
        <v>8</v>
      </c>
      <c r="AP33" s="356">
        <v>14</v>
      </c>
      <c r="AQ33" s="356">
        <v>4</v>
      </c>
      <c r="AR33" s="356">
        <v>12</v>
      </c>
      <c r="AS33" s="356">
        <v>10</v>
      </c>
      <c r="AT33" s="356">
        <v>12</v>
      </c>
      <c r="AU33" s="356">
        <v>12</v>
      </c>
      <c r="AV33" s="356">
        <v>15</v>
      </c>
      <c r="AW33" s="356">
        <v>11</v>
      </c>
      <c r="AX33" s="356">
        <v>9</v>
      </c>
      <c r="AY33" s="356">
        <v>3</v>
      </c>
      <c r="AZ33" s="356">
        <v>6</v>
      </c>
      <c r="BA33" s="356">
        <v>11</v>
      </c>
      <c r="BB33" s="356">
        <v>4</v>
      </c>
      <c r="BD33" s="353">
        <f t="shared" si="0"/>
        <v>94</v>
      </c>
      <c r="BE33" s="353">
        <f t="shared" si="1"/>
        <v>82</v>
      </c>
      <c r="BF33" s="353">
        <f t="shared" si="2"/>
        <v>105</v>
      </c>
      <c r="BG33" s="353">
        <f t="shared" si="3"/>
        <v>74</v>
      </c>
    </row>
    <row r="34" spans="2:59">
      <c r="B34" s="354">
        <v>26</v>
      </c>
      <c r="C34" s="743" t="s">
        <v>678</v>
      </c>
      <c r="D34" s="744" t="s">
        <v>678</v>
      </c>
      <c r="E34" s="744" t="s">
        <v>678</v>
      </c>
      <c r="F34" s="355">
        <v>1005331063</v>
      </c>
      <c r="G34" s="356">
        <v>2</v>
      </c>
      <c r="H34" s="356">
        <v>1</v>
      </c>
      <c r="I34" s="356">
        <v>7</v>
      </c>
      <c r="J34" s="356">
        <v>7</v>
      </c>
      <c r="K34" s="356">
        <v>14</v>
      </c>
      <c r="L34" s="356">
        <v>5</v>
      </c>
      <c r="M34" s="356">
        <v>9</v>
      </c>
      <c r="N34" s="356">
        <v>5</v>
      </c>
      <c r="O34" s="356">
        <v>7</v>
      </c>
      <c r="P34" s="356">
        <v>9</v>
      </c>
      <c r="Q34" s="356">
        <v>3</v>
      </c>
      <c r="R34" s="356">
        <v>14</v>
      </c>
      <c r="S34" s="356">
        <v>4</v>
      </c>
      <c r="T34" s="356">
        <v>6</v>
      </c>
      <c r="U34" s="356">
        <v>12</v>
      </c>
      <c r="V34" s="356">
        <v>2</v>
      </c>
      <c r="W34" s="356">
        <v>10</v>
      </c>
      <c r="X34" s="356">
        <v>13</v>
      </c>
      <c r="Y34" s="356">
        <v>8</v>
      </c>
      <c r="Z34" s="356">
        <v>1</v>
      </c>
      <c r="AA34" s="356">
        <v>2</v>
      </c>
      <c r="AB34" s="356">
        <v>6</v>
      </c>
      <c r="AC34" s="356">
        <v>11</v>
      </c>
      <c r="AD34" s="356">
        <v>2</v>
      </c>
      <c r="AE34" s="356">
        <v>8</v>
      </c>
      <c r="AF34" s="356">
        <v>14</v>
      </c>
      <c r="AG34" s="356">
        <v>1</v>
      </c>
      <c r="AH34" s="356">
        <v>0</v>
      </c>
      <c r="AI34" s="356">
        <v>9</v>
      </c>
      <c r="AJ34" s="356">
        <v>1</v>
      </c>
      <c r="AK34" s="356">
        <v>1</v>
      </c>
      <c r="AL34" s="356">
        <v>6</v>
      </c>
      <c r="AM34" s="356">
        <v>13</v>
      </c>
      <c r="AN34" s="356">
        <v>7</v>
      </c>
      <c r="AO34" s="356">
        <v>3</v>
      </c>
      <c r="AP34" s="356">
        <v>15</v>
      </c>
      <c r="AQ34" s="356">
        <v>6</v>
      </c>
      <c r="AR34" s="356">
        <v>1</v>
      </c>
      <c r="AS34" s="356">
        <v>9</v>
      </c>
      <c r="AT34" s="356">
        <v>7</v>
      </c>
      <c r="AU34" s="356">
        <v>2</v>
      </c>
      <c r="AV34" s="356">
        <v>15</v>
      </c>
      <c r="AW34" s="356">
        <v>12</v>
      </c>
      <c r="AX34" s="356">
        <v>1</v>
      </c>
      <c r="AY34" s="356">
        <v>11</v>
      </c>
      <c r="AZ34" s="356">
        <v>1</v>
      </c>
      <c r="BA34" s="356">
        <v>11</v>
      </c>
      <c r="BB34" s="356">
        <v>0</v>
      </c>
      <c r="BD34" s="353">
        <f t="shared" si="0"/>
        <v>76</v>
      </c>
      <c r="BE34" s="353">
        <f t="shared" si="1"/>
        <v>88</v>
      </c>
      <c r="BF34" s="353">
        <f t="shared" si="2"/>
        <v>87</v>
      </c>
      <c r="BG34" s="353">
        <f t="shared" si="3"/>
        <v>86</v>
      </c>
    </row>
    <row r="35" spans="2:59">
      <c r="B35" s="354">
        <v>27</v>
      </c>
      <c r="C35" s="743" t="s">
        <v>677</v>
      </c>
      <c r="D35" s="744" t="s">
        <v>677</v>
      </c>
      <c r="E35" s="744" t="s">
        <v>677</v>
      </c>
      <c r="F35" s="355">
        <v>1095306596</v>
      </c>
      <c r="G35" s="356">
        <v>7</v>
      </c>
      <c r="H35" s="356">
        <v>9</v>
      </c>
      <c r="I35" s="356">
        <v>6</v>
      </c>
      <c r="J35" s="356">
        <v>14</v>
      </c>
      <c r="K35" s="356">
        <v>5</v>
      </c>
      <c r="L35" s="356">
        <v>14</v>
      </c>
      <c r="M35" s="356">
        <v>3</v>
      </c>
      <c r="N35" s="356">
        <v>8</v>
      </c>
      <c r="O35" s="356">
        <v>10</v>
      </c>
      <c r="P35" s="356">
        <v>0</v>
      </c>
      <c r="Q35" s="356">
        <v>6</v>
      </c>
      <c r="R35" s="356">
        <v>14</v>
      </c>
      <c r="S35" s="356">
        <v>13</v>
      </c>
      <c r="T35" s="356">
        <v>7</v>
      </c>
      <c r="U35" s="356">
        <v>1</v>
      </c>
      <c r="V35" s="356">
        <v>10</v>
      </c>
      <c r="W35" s="356">
        <v>14</v>
      </c>
      <c r="X35" s="356">
        <v>5</v>
      </c>
      <c r="Y35" s="356">
        <v>4</v>
      </c>
      <c r="Z35" s="356">
        <v>8</v>
      </c>
      <c r="AA35" s="356">
        <v>9</v>
      </c>
      <c r="AB35" s="356">
        <v>0</v>
      </c>
      <c r="AC35" s="356">
        <v>1</v>
      </c>
      <c r="AD35" s="356">
        <v>2</v>
      </c>
      <c r="AE35" s="356">
        <v>8</v>
      </c>
      <c r="AF35" s="356">
        <v>5</v>
      </c>
      <c r="AG35" s="356">
        <v>12</v>
      </c>
      <c r="AH35" s="356">
        <v>15</v>
      </c>
      <c r="AI35" s="356">
        <v>7</v>
      </c>
      <c r="AJ35" s="356">
        <v>4</v>
      </c>
      <c r="AK35" s="356">
        <v>11</v>
      </c>
      <c r="AL35" s="356">
        <v>14</v>
      </c>
      <c r="AM35" s="356">
        <v>9</v>
      </c>
      <c r="AN35" s="356">
        <v>15</v>
      </c>
      <c r="AO35" s="356">
        <v>7</v>
      </c>
      <c r="AP35" s="356">
        <v>15</v>
      </c>
      <c r="AQ35" s="356">
        <v>1</v>
      </c>
      <c r="AR35" s="356">
        <v>6</v>
      </c>
      <c r="AS35" s="356">
        <v>3</v>
      </c>
      <c r="AT35" s="356">
        <v>3</v>
      </c>
      <c r="AU35" s="356">
        <v>3</v>
      </c>
      <c r="AV35" s="356">
        <v>12</v>
      </c>
      <c r="AW35" s="356">
        <v>14</v>
      </c>
      <c r="AX35" s="356">
        <v>0</v>
      </c>
      <c r="AY35" s="356">
        <v>14</v>
      </c>
      <c r="AZ35" s="356">
        <v>2</v>
      </c>
      <c r="BA35" s="356">
        <v>14</v>
      </c>
      <c r="BB35" s="356">
        <v>6</v>
      </c>
      <c r="BD35" s="353">
        <f t="shared" si="0"/>
        <v>68</v>
      </c>
      <c r="BE35" s="353">
        <f t="shared" si="1"/>
        <v>100</v>
      </c>
      <c r="BF35" s="353">
        <f t="shared" si="2"/>
        <v>82</v>
      </c>
      <c r="BG35" s="353">
        <f t="shared" si="3"/>
        <v>93</v>
      </c>
    </row>
    <row r="36" spans="2:59">
      <c r="B36" s="354">
        <v>28</v>
      </c>
      <c r="C36" s="743" t="s">
        <v>676</v>
      </c>
      <c r="D36" s="744" t="s">
        <v>676</v>
      </c>
      <c r="E36" s="744" t="s">
        <v>676</v>
      </c>
      <c r="F36" s="355">
        <v>1098649448</v>
      </c>
      <c r="G36" s="356">
        <v>1</v>
      </c>
      <c r="H36" s="356">
        <v>4</v>
      </c>
      <c r="I36" s="356">
        <v>6</v>
      </c>
      <c r="J36" s="356">
        <v>5</v>
      </c>
      <c r="K36" s="356">
        <v>10</v>
      </c>
      <c r="L36" s="356">
        <v>10</v>
      </c>
      <c r="M36" s="356">
        <v>3</v>
      </c>
      <c r="N36" s="356">
        <v>0</v>
      </c>
      <c r="O36" s="356">
        <v>2</v>
      </c>
      <c r="P36" s="356">
        <v>11</v>
      </c>
      <c r="Q36" s="356">
        <v>10</v>
      </c>
      <c r="R36" s="356">
        <v>6</v>
      </c>
      <c r="S36" s="356">
        <v>3</v>
      </c>
      <c r="T36" s="356">
        <v>6</v>
      </c>
      <c r="U36" s="356">
        <v>3</v>
      </c>
      <c r="V36" s="356">
        <v>15</v>
      </c>
      <c r="W36" s="356">
        <v>11</v>
      </c>
      <c r="X36" s="356">
        <v>5</v>
      </c>
      <c r="Y36" s="356">
        <v>14</v>
      </c>
      <c r="Z36" s="356">
        <v>9</v>
      </c>
      <c r="AA36" s="356">
        <v>7</v>
      </c>
      <c r="AB36" s="356">
        <v>9</v>
      </c>
      <c r="AC36" s="356">
        <v>13</v>
      </c>
      <c r="AD36" s="356">
        <v>15</v>
      </c>
      <c r="AE36" s="356">
        <v>3</v>
      </c>
      <c r="AF36" s="356">
        <v>12</v>
      </c>
      <c r="AG36" s="356">
        <v>15</v>
      </c>
      <c r="AH36" s="356">
        <v>11</v>
      </c>
      <c r="AI36" s="356">
        <v>7</v>
      </c>
      <c r="AJ36" s="356">
        <v>10</v>
      </c>
      <c r="AK36" s="356">
        <v>3</v>
      </c>
      <c r="AL36" s="356">
        <v>2</v>
      </c>
      <c r="AM36" s="356">
        <v>9</v>
      </c>
      <c r="AN36" s="356">
        <v>10</v>
      </c>
      <c r="AO36" s="356">
        <v>12</v>
      </c>
      <c r="AP36" s="356">
        <v>15</v>
      </c>
      <c r="AQ36" s="356">
        <v>15</v>
      </c>
      <c r="AR36" s="356">
        <v>8</v>
      </c>
      <c r="AS36" s="356">
        <v>12</v>
      </c>
      <c r="AT36" s="356">
        <v>15</v>
      </c>
      <c r="AU36" s="356">
        <v>7</v>
      </c>
      <c r="AV36" s="356">
        <v>1</v>
      </c>
      <c r="AW36" s="356">
        <v>13</v>
      </c>
      <c r="AX36" s="356">
        <v>12</v>
      </c>
      <c r="AY36" s="356">
        <v>12</v>
      </c>
      <c r="AZ36" s="356">
        <v>1</v>
      </c>
      <c r="BA36" s="356">
        <v>12</v>
      </c>
      <c r="BB36" s="356">
        <v>12</v>
      </c>
      <c r="BD36" s="353">
        <f t="shared" si="0"/>
        <v>104</v>
      </c>
      <c r="BE36" s="353">
        <f t="shared" si="1"/>
        <v>87</v>
      </c>
      <c r="BF36" s="353">
        <f t="shared" si="2"/>
        <v>116</v>
      </c>
      <c r="BG36" s="353">
        <f t="shared" si="3"/>
        <v>86</v>
      </c>
    </row>
    <row r="37" spans="2:59">
      <c r="B37" s="354">
        <v>29</v>
      </c>
      <c r="C37" s="743" t="s">
        <v>675</v>
      </c>
      <c r="D37" s="744" t="s">
        <v>675</v>
      </c>
      <c r="E37" s="744" t="s">
        <v>675</v>
      </c>
      <c r="F37" s="355">
        <v>28150647</v>
      </c>
      <c r="G37" s="356">
        <v>9</v>
      </c>
      <c r="H37" s="356">
        <v>4</v>
      </c>
      <c r="I37" s="356">
        <v>6</v>
      </c>
      <c r="J37" s="356">
        <v>2</v>
      </c>
      <c r="K37" s="356">
        <v>2</v>
      </c>
      <c r="L37" s="356">
        <v>11</v>
      </c>
      <c r="M37" s="356">
        <v>2</v>
      </c>
      <c r="N37" s="356">
        <v>14</v>
      </c>
      <c r="O37" s="356">
        <v>7</v>
      </c>
      <c r="P37" s="356">
        <v>1</v>
      </c>
      <c r="Q37" s="356">
        <v>15</v>
      </c>
      <c r="R37" s="356">
        <v>5</v>
      </c>
      <c r="S37" s="356">
        <v>8</v>
      </c>
      <c r="T37" s="356">
        <v>15</v>
      </c>
      <c r="U37" s="356">
        <v>9</v>
      </c>
      <c r="V37" s="356">
        <v>13</v>
      </c>
      <c r="W37" s="356">
        <v>5</v>
      </c>
      <c r="X37" s="356">
        <v>10</v>
      </c>
      <c r="Y37" s="356">
        <v>1</v>
      </c>
      <c r="Z37" s="356">
        <v>13</v>
      </c>
      <c r="AA37" s="356">
        <v>12</v>
      </c>
      <c r="AB37" s="356">
        <v>8</v>
      </c>
      <c r="AC37" s="356">
        <v>13</v>
      </c>
      <c r="AD37" s="356">
        <v>8</v>
      </c>
      <c r="AE37" s="356">
        <v>1</v>
      </c>
      <c r="AF37" s="356">
        <v>1</v>
      </c>
      <c r="AG37" s="356">
        <v>12</v>
      </c>
      <c r="AH37" s="356">
        <v>12</v>
      </c>
      <c r="AI37" s="356">
        <v>8</v>
      </c>
      <c r="AJ37" s="356">
        <v>4</v>
      </c>
      <c r="AK37" s="356">
        <v>9</v>
      </c>
      <c r="AL37" s="356">
        <v>1</v>
      </c>
      <c r="AM37" s="356">
        <v>4</v>
      </c>
      <c r="AN37" s="356">
        <v>10</v>
      </c>
      <c r="AO37" s="356">
        <v>11</v>
      </c>
      <c r="AP37" s="356">
        <v>7</v>
      </c>
      <c r="AQ37" s="356">
        <v>10</v>
      </c>
      <c r="AR37" s="356">
        <v>3</v>
      </c>
      <c r="AS37" s="356">
        <v>2</v>
      </c>
      <c r="AT37" s="356">
        <v>1</v>
      </c>
      <c r="AU37" s="356">
        <v>12</v>
      </c>
      <c r="AV37" s="356">
        <v>13</v>
      </c>
      <c r="AW37" s="356">
        <v>0</v>
      </c>
      <c r="AX37" s="356">
        <v>8</v>
      </c>
      <c r="AY37" s="356">
        <v>0</v>
      </c>
      <c r="AZ37" s="356">
        <v>8</v>
      </c>
      <c r="BA37" s="356">
        <v>10</v>
      </c>
      <c r="BB37" s="356">
        <v>14</v>
      </c>
      <c r="BD37" s="353">
        <f t="shared" si="0"/>
        <v>80</v>
      </c>
      <c r="BE37" s="353">
        <f t="shared" si="1"/>
        <v>78</v>
      </c>
      <c r="BF37" s="353">
        <f t="shared" si="2"/>
        <v>90</v>
      </c>
      <c r="BG37" s="353">
        <f t="shared" si="3"/>
        <v>69</v>
      </c>
    </row>
    <row r="38" spans="2:59">
      <c r="B38" s="354">
        <v>30</v>
      </c>
      <c r="C38" s="743" t="s">
        <v>674</v>
      </c>
      <c r="D38" s="744" t="s">
        <v>674</v>
      </c>
      <c r="E38" s="744" t="s">
        <v>674</v>
      </c>
      <c r="F38" s="355">
        <v>1099347857</v>
      </c>
      <c r="G38" s="356">
        <v>10</v>
      </c>
      <c r="H38" s="356">
        <v>4</v>
      </c>
      <c r="I38" s="356">
        <v>5</v>
      </c>
      <c r="J38" s="356">
        <v>13</v>
      </c>
      <c r="K38" s="356">
        <v>6</v>
      </c>
      <c r="L38" s="356">
        <v>14</v>
      </c>
      <c r="M38" s="356">
        <v>14</v>
      </c>
      <c r="N38" s="356">
        <v>2</v>
      </c>
      <c r="O38" s="356">
        <v>6</v>
      </c>
      <c r="P38" s="356">
        <v>6</v>
      </c>
      <c r="Q38" s="356">
        <v>2</v>
      </c>
      <c r="R38" s="356">
        <v>13</v>
      </c>
      <c r="S38" s="356">
        <v>0</v>
      </c>
      <c r="T38" s="356">
        <v>15</v>
      </c>
      <c r="U38" s="356">
        <v>0</v>
      </c>
      <c r="V38" s="356">
        <v>12</v>
      </c>
      <c r="W38" s="356">
        <v>12</v>
      </c>
      <c r="X38" s="356">
        <v>5</v>
      </c>
      <c r="Y38" s="356">
        <v>4</v>
      </c>
      <c r="Z38" s="356">
        <v>4</v>
      </c>
      <c r="AA38" s="356">
        <v>4</v>
      </c>
      <c r="AB38" s="356">
        <v>3</v>
      </c>
      <c r="AC38" s="356">
        <v>12</v>
      </c>
      <c r="AD38" s="356">
        <v>14</v>
      </c>
      <c r="AE38" s="356">
        <v>13</v>
      </c>
      <c r="AF38" s="356">
        <v>9</v>
      </c>
      <c r="AG38" s="356">
        <v>11</v>
      </c>
      <c r="AH38" s="356">
        <v>5</v>
      </c>
      <c r="AI38" s="356">
        <v>11</v>
      </c>
      <c r="AJ38" s="356">
        <v>4</v>
      </c>
      <c r="AK38" s="356">
        <v>2</v>
      </c>
      <c r="AL38" s="356">
        <v>7</v>
      </c>
      <c r="AM38" s="356">
        <v>1</v>
      </c>
      <c r="AN38" s="356">
        <v>9</v>
      </c>
      <c r="AO38" s="356">
        <v>13</v>
      </c>
      <c r="AP38" s="356">
        <v>10</v>
      </c>
      <c r="AQ38" s="356">
        <v>4</v>
      </c>
      <c r="AR38" s="356">
        <v>0</v>
      </c>
      <c r="AS38" s="356">
        <v>9</v>
      </c>
      <c r="AT38" s="356">
        <v>12</v>
      </c>
      <c r="AU38" s="356">
        <v>5</v>
      </c>
      <c r="AV38" s="356">
        <v>0</v>
      </c>
      <c r="AW38" s="356">
        <v>7</v>
      </c>
      <c r="AX38" s="356">
        <v>1</v>
      </c>
      <c r="AY38" s="356">
        <v>13</v>
      </c>
      <c r="AZ38" s="356">
        <v>2</v>
      </c>
      <c r="BA38" s="356">
        <v>13</v>
      </c>
      <c r="BB38" s="356">
        <v>13</v>
      </c>
      <c r="BD38" s="353">
        <f t="shared" si="0"/>
        <v>79</v>
      </c>
      <c r="BE38" s="353">
        <f t="shared" si="1"/>
        <v>85</v>
      </c>
      <c r="BF38" s="353">
        <f t="shared" si="2"/>
        <v>92</v>
      </c>
      <c r="BG38" s="353">
        <f t="shared" si="3"/>
        <v>75</v>
      </c>
    </row>
    <row r="39" spans="2:59">
      <c r="B39" s="354">
        <v>31</v>
      </c>
      <c r="C39" s="743" t="s">
        <v>673</v>
      </c>
      <c r="D39" s="744" t="s">
        <v>673</v>
      </c>
      <c r="E39" s="744" t="s">
        <v>673</v>
      </c>
      <c r="F39" s="355">
        <v>28320182</v>
      </c>
      <c r="G39" s="356">
        <v>12</v>
      </c>
      <c r="H39" s="356">
        <v>12</v>
      </c>
      <c r="I39" s="356">
        <v>5</v>
      </c>
      <c r="J39" s="356">
        <v>1</v>
      </c>
      <c r="K39" s="356">
        <v>0</v>
      </c>
      <c r="L39" s="356">
        <v>0</v>
      </c>
      <c r="M39" s="356">
        <v>11</v>
      </c>
      <c r="N39" s="356">
        <v>14</v>
      </c>
      <c r="O39" s="356">
        <v>7</v>
      </c>
      <c r="P39" s="356">
        <v>2</v>
      </c>
      <c r="Q39" s="356">
        <v>2</v>
      </c>
      <c r="R39" s="356">
        <v>15</v>
      </c>
      <c r="S39" s="356">
        <v>8</v>
      </c>
      <c r="T39" s="356">
        <v>5</v>
      </c>
      <c r="U39" s="356">
        <v>9</v>
      </c>
      <c r="V39" s="356">
        <v>6</v>
      </c>
      <c r="W39" s="356">
        <v>11</v>
      </c>
      <c r="X39" s="356">
        <v>13</v>
      </c>
      <c r="Y39" s="356">
        <v>11</v>
      </c>
      <c r="Z39" s="356">
        <v>11</v>
      </c>
      <c r="AA39" s="356">
        <v>12</v>
      </c>
      <c r="AB39" s="356">
        <v>6</v>
      </c>
      <c r="AC39" s="356">
        <v>12</v>
      </c>
      <c r="AD39" s="356">
        <v>6</v>
      </c>
      <c r="AE39" s="356">
        <v>15</v>
      </c>
      <c r="AF39" s="356">
        <v>1</v>
      </c>
      <c r="AG39" s="356">
        <v>11</v>
      </c>
      <c r="AH39" s="356">
        <v>1</v>
      </c>
      <c r="AI39" s="356">
        <v>9</v>
      </c>
      <c r="AJ39" s="356">
        <v>7</v>
      </c>
      <c r="AK39" s="356">
        <v>9</v>
      </c>
      <c r="AL39" s="356">
        <v>3</v>
      </c>
      <c r="AM39" s="356">
        <v>9</v>
      </c>
      <c r="AN39" s="356">
        <v>14</v>
      </c>
      <c r="AO39" s="356">
        <v>11</v>
      </c>
      <c r="AP39" s="356">
        <v>10</v>
      </c>
      <c r="AQ39" s="356">
        <v>14</v>
      </c>
      <c r="AR39" s="356">
        <v>9</v>
      </c>
      <c r="AS39" s="356">
        <v>0</v>
      </c>
      <c r="AT39" s="356">
        <v>1</v>
      </c>
      <c r="AU39" s="356">
        <v>14</v>
      </c>
      <c r="AV39" s="356">
        <v>1</v>
      </c>
      <c r="AW39" s="356">
        <v>7</v>
      </c>
      <c r="AX39" s="356">
        <v>7</v>
      </c>
      <c r="AY39" s="356">
        <v>12</v>
      </c>
      <c r="AZ39" s="356">
        <v>12</v>
      </c>
      <c r="BA39" s="356">
        <v>2</v>
      </c>
      <c r="BB39" s="356">
        <v>3</v>
      </c>
      <c r="BD39" s="353">
        <f t="shared" si="0"/>
        <v>88</v>
      </c>
      <c r="BE39" s="353">
        <f t="shared" si="1"/>
        <v>123</v>
      </c>
      <c r="BF39" s="353">
        <f t="shared" si="2"/>
        <v>90</v>
      </c>
      <c r="BG39" s="353">
        <f t="shared" si="3"/>
        <v>111</v>
      </c>
    </row>
    <row r="40" spans="2:59">
      <c r="B40" s="354">
        <v>32</v>
      </c>
      <c r="C40" s="743" t="s">
        <v>672</v>
      </c>
      <c r="D40" s="744" t="s">
        <v>672</v>
      </c>
      <c r="E40" s="744" t="s">
        <v>672</v>
      </c>
      <c r="F40" s="355">
        <v>37928430</v>
      </c>
      <c r="G40" s="356">
        <v>5</v>
      </c>
      <c r="H40" s="356">
        <v>5</v>
      </c>
      <c r="I40" s="356">
        <v>6</v>
      </c>
      <c r="J40" s="356">
        <v>4</v>
      </c>
      <c r="K40" s="356">
        <v>7</v>
      </c>
      <c r="L40" s="356">
        <v>1</v>
      </c>
      <c r="M40" s="356">
        <v>8</v>
      </c>
      <c r="N40" s="356">
        <v>3</v>
      </c>
      <c r="O40" s="356">
        <v>9</v>
      </c>
      <c r="P40" s="356">
        <v>11</v>
      </c>
      <c r="Q40" s="356">
        <v>15</v>
      </c>
      <c r="R40" s="356">
        <v>11</v>
      </c>
      <c r="S40" s="356">
        <v>5</v>
      </c>
      <c r="T40" s="356">
        <v>8</v>
      </c>
      <c r="U40" s="356">
        <v>11</v>
      </c>
      <c r="V40" s="356">
        <v>9</v>
      </c>
      <c r="W40" s="356">
        <v>1</v>
      </c>
      <c r="X40" s="356">
        <v>12</v>
      </c>
      <c r="Y40" s="356">
        <v>1</v>
      </c>
      <c r="Z40" s="356">
        <v>5</v>
      </c>
      <c r="AA40" s="356">
        <v>0</v>
      </c>
      <c r="AB40" s="356">
        <v>6</v>
      </c>
      <c r="AC40" s="356">
        <v>10</v>
      </c>
      <c r="AD40" s="356">
        <v>14</v>
      </c>
      <c r="AE40" s="356">
        <v>2</v>
      </c>
      <c r="AF40" s="356">
        <v>14</v>
      </c>
      <c r="AG40" s="356">
        <v>0</v>
      </c>
      <c r="AH40" s="356">
        <v>0</v>
      </c>
      <c r="AI40" s="356">
        <v>0</v>
      </c>
      <c r="AJ40" s="356">
        <v>9</v>
      </c>
      <c r="AK40" s="356">
        <v>0</v>
      </c>
      <c r="AL40" s="356">
        <v>14</v>
      </c>
      <c r="AM40" s="356">
        <v>6</v>
      </c>
      <c r="AN40" s="356">
        <v>4</v>
      </c>
      <c r="AO40" s="356">
        <v>0</v>
      </c>
      <c r="AP40" s="356">
        <v>6</v>
      </c>
      <c r="AQ40" s="356">
        <v>11</v>
      </c>
      <c r="AR40" s="356">
        <v>9</v>
      </c>
      <c r="AS40" s="356">
        <v>8</v>
      </c>
      <c r="AT40" s="356">
        <v>4</v>
      </c>
      <c r="AU40" s="356">
        <v>0</v>
      </c>
      <c r="AV40" s="356">
        <v>1</v>
      </c>
      <c r="AW40" s="356">
        <v>15</v>
      </c>
      <c r="AX40" s="356">
        <v>14</v>
      </c>
      <c r="AY40" s="356">
        <v>4</v>
      </c>
      <c r="AZ40" s="356">
        <v>7</v>
      </c>
      <c r="BA40" s="356">
        <v>12</v>
      </c>
      <c r="BB40" s="356">
        <v>13</v>
      </c>
      <c r="BD40" s="353">
        <f t="shared" si="0"/>
        <v>74</v>
      </c>
      <c r="BE40" s="353">
        <f t="shared" si="1"/>
        <v>50</v>
      </c>
      <c r="BF40" s="353">
        <f t="shared" si="2"/>
        <v>86</v>
      </c>
      <c r="BG40" s="353">
        <f t="shared" si="3"/>
        <v>45</v>
      </c>
    </row>
    <row r="41" spans="2:59">
      <c r="B41" s="354">
        <v>33</v>
      </c>
      <c r="C41" s="743" t="s">
        <v>671</v>
      </c>
      <c r="D41" s="744" t="s">
        <v>671</v>
      </c>
      <c r="E41" s="744" t="s">
        <v>671</v>
      </c>
      <c r="F41" s="355">
        <v>7132683</v>
      </c>
      <c r="G41" s="356">
        <v>10</v>
      </c>
      <c r="H41" s="356">
        <v>11</v>
      </c>
      <c r="I41" s="356">
        <v>13</v>
      </c>
      <c r="J41" s="356">
        <v>8</v>
      </c>
      <c r="K41" s="356">
        <v>3</v>
      </c>
      <c r="L41" s="356">
        <v>2</v>
      </c>
      <c r="M41" s="356">
        <v>3</v>
      </c>
      <c r="N41" s="356">
        <v>8</v>
      </c>
      <c r="O41" s="356">
        <v>10</v>
      </c>
      <c r="P41" s="356">
        <v>14</v>
      </c>
      <c r="Q41" s="356">
        <v>9</v>
      </c>
      <c r="R41" s="356">
        <v>2</v>
      </c>
      <c r="S41" s="356">
        <v>12</v>
      </c>
      <c r="T41" s="356">
        <v>7</v>
      </c>
      <c r="U41" s="356">
        <v>15</v>
      </c>
      <c r="V41" s="356">
        <v>0</v>
      </c>
      <c r="W41" s="356">
        <v>3</v>
      </c>
      <c r="X41" s="356">
        <v>9</v>
      </c>
      <c r="Y41" s="356">
        <v>12</v>
      </c>
      <c r="Z41" s="356">
        <v>13</v>
      </c>
      <c r="AA41" s="356">
        <v>11</v>
      </c>
      <c r="AB41" s="356">
        <v>0</v>
      </c>
      <c r="AC41" s="356">
        <v>5</v>
      </c>
      <c r="AD41" s="356">
        <v>15</v>
      </c>
      <c r="AE41" s="356">
        <v>3</v>
      </c>
      <c r="AF41" s="356">
        <v>1</v>
      </c>
      <c r="AG41" s="356">
        <v>14</v>
      </c>
      <c r="AH41" s="356">
        <v>4</v>
      </c>
      <c r="AI41" s="356">
        <v>10</v>
      </c>
      <c r="AJ41" s="356">
        <v>7</v>
      </c>
      <c r="AK41" s="356">
        <v>14</v>
      </c>
      <c r="AL41" s="356">
        <v>12</v>
      </c>
      <c r="AM41" s="356">
        <v>4</v>
      </c>
      <c r="AN41" s="356">
        <v>10</v>
      </c>
      <c r="AO41" s="356">
        <v>0</v>
      </c>
      <c r="AP41" s="356">
        <v>6</v>
      </c>
      <c r="AQ41" s="356">
        <v>3</v>
      </c>
      <c r="AR41" s="356">
        <v>12</v>
      </c>
      <c r="AS41" s="356">
        <v>4</v>
      </c>
      <c r="AT41" s="356">
        <v>6</v>
      </c>
      <c r="AU41" s="356">
        <v>14</v>
      </c>
      <c r="AV41" s="356">
        <v>8</v>
      </c>
      <c r="AW41" s="356">
        <v>15</v>
      </c>
      <c r="AX41" s="356">
        <v>3</v>
      </c>
      <c r="AY41" s="356">
        <v>4</v>
      </c>
      <c r="AZ41" s="356">
        <v>11</v>
      </c>
      <c r="BA41" s="356">
        <v>13</v>
      </c>
      <c r="BB41" s="356">
        <v>8</v>
      </c>
      <c r="BD41" s="353">
        <f t="shared" si="0"/>
        <v>104</v>
      </c>
      <c r="BE41" s="353">
        <f t="shared" si="1"/>
        <v>87</v>
      </c>
      <c r="BF41" s="353">
        <f t="shared" si="2"/>
        <v>117</v>
      </c>
      <c r="BG41" s="353">
        <f t="shared" si="3"/>
        <v>77</v>
      </c>
    </row>
    <row r="42" spans="2:59">
      <c r="B42" s="354">
        <v>34</v>
      </c>
      <c r="C42" s="743" t="s">
        <v>670</v>
      </c>
      <c r="D42" s="744" t="s">
        <v>670</v>
      </c>
      <c r="E42" s="744" t="s">
        <v>670</v>
      </c>
      <c r="F42" s="355">
        <v>1005186778</v>
      </c>
      <c r="G42" s="356">
        <v>8</v>
      </c>
      <c r="H42" s="356">
        <v>3</v>
      </c>
      <c r="I42" s="356">
        <v>6</v>
      </c>
      <c r="J42" s="356">
        <v>9</v>
      </c>
      <c r="K42" s="356">
        <v>8</v>
      </c>
      <c r="L42" s="356">
        <v>13</v>
      </c>
      <c r="M42" s="356">
        <v>5</v>
      </c>
      <c r="N42" s="356">
        <v>3</v>
      </c>
      <c r="O42" s="356">
        <v>3</v>
      </c>
      <c r="P42" s="356">
        <v>12</v>
      </c>
      <c r="Q42" s="356">
        <v>13</v>
      </c>
      <c r="R42" s="356">
        <v>1</v>
      </c>
      <c r="S42" s="356">
        <v>9</v>
      </c>
      <c r="T42" s="356">
        <v>3</v>
      </c>
      <c r="U42" s="356">
        <v>0</v>
      </c>
      <c r="V42" s="356">
        <v>3</v>
      </c>
      <c r="W42" s="356">
        <v>9</v>
      </c>
      <c r="X42" s="356">
        <v>15</v>
      </c>
      <c r="Y42" s="356">
        <v>15</v>
      </c>
      <c r="Z42" s="356">
        <v>2</v>
      </c>
      <c r="AA42" s="356">
        <v>8</v>
      </c>
      <c r="AB42" s="356">
        <v>15</v>
      </c>
      <c r="AC42" s="356">
        <v>1</v>
      </c>
      <c r="AD42" s="356">
        <v>15</v>
      </c>
      <c r="AE42" s="356">
        <v>11</v>
      </c>
      <c r="AF42" s="356">
        <v>7</v>
      </c>
      <c r="AG42" s="356">
        <v>3</v>
      </c>
      <c r="AH42" s="356">
        <v>5</v>
      </c>
      <c r="AI42" s="356">
        <v>7</v>
      </c>
      <c r="AJ42" s="356">
        <v>12</v>
      </c>
      <c r="AK42" s="356">
        <v>12</v>
      </c>
      <c r="AL42" s="356">
        <v>15</v>
      </c>
      <c r="AM42" s="356">
        <v>11</v>
      </c>
      <c r="AN42" s="356">
        <v>13</v>
      </c>
      <c r="AO42" s="356">
        <v>3</v>
      </c>
      <c r="AP42" s="356">
        <v>12</v>
      </c>
      <c r="AQ42" s="356">
        <v>11</v>
      </c>
      <c r="AR42" s="356">
        <v>1</v>
      </c>
      <c r="AS42" s="356">
        <v>7</v>
      </c>
      <c r="AT42" s="356">
        <v>10</v>
      </c>
      <c r="AU42" s="356">
        <v>8</v>
      </c>
      <c r="AV42" s="356">
        <v>11</v>
      </c>
      <c r="AW42" s="356">
        <v>6</v>
      </c>
      <c r="AX42" s="356">
        <v>14</v>
      </c>
      <c r="AY42" s="356">
        <v>2</v>
      </c>
      <c r="AZ42" s="356">
        <v>13</v>
      </c>
      <c r="BA42" s="356">
        <v>2</v>
      </c>
      <c r="BB42" s="356">
        <v>6</v>
      </c>
      <c r="BD42" s="353">
        <f t="shared" si="0"/>
        <v>71</v>
      </c>
      <c r="BE42" s="353">
        <f t="shared" si="1"/>
        <v>95</v>
      </c>
      <c r="BF42" s="353">
        <f t="shared" si="2"/>
        <v>73</v>
      </c>
      <c r="BG42" s="353">
        <f t="shared" si="3"/>
        <v>87</v>
      </c>
    </row>
    <row r="43" spans="2:59">
      <c r="B43" s="354">
        <v>35</v>
      </c>
      <c r="C43" s="743" t="s">
        <v>669</v>
      </c>
      <c r="D43" s="744" t="s">
        <v>669</v>
      </c>
      <c r="E43" s="744" t="s">
        <v>669</v>
      </c>
      <c r="F43" s="355">
        <v>27953239</v>
      </c>
      <c r="G43" s="356">
        <v>4</v>
      </c>
      <c r="H43" s="356">
        <v>14</v>
      </c>
      <c r="I43" s="356">
        <v>3</v>
      </c>
      <c r="J43" s="356">
        <v>14</v>
      </c>
      <c r="K43" s="356">
        <v>7</v>
      </c>
      <c r="L43" s="356">
        <v>7</v>
      </c>
      <c r="M43" s="356">
        <v>9</v>
      </c>
      <c r="N43" s="356">
        <v>12</v>
      </c>
      <c r="O43" s="356">
        <v>5</v>
      </c>
      <c r="P43" s="356">
        <v>15</v>
      </c>
      <c r="Q43" s="356">
        <v>14</v>
      </c>
      <c r="R43" s="356">
        <v>12</v>
      </c>
      <c r="S43" s="356">
        <v>2</v>
      </c>
      <c r="T43" s="356">
        <v>4</v>
      </c>
      <c r="U43" s="356">
        <v>10</v>
      </c>
      <c r="V43" s="356">
        <v>8</v>
      </c>
      <c r="W43" s="356">
        <v>0</v>
      </c>
      <c r="X43" s="356">
        <v>3</v>
      </c>
      <c r="Y43" s="356">
        <v>14</v>
      </c>
      <c r="Z43" s="356">
        <v>13</v>
      </c>
      <c r="AA43" s="356">
        <v>13</v>
      </c>
      <c r="AB43" s="356">
        <v>2</v>
      </c>
      <c r="AC43" s="356">
        <v>11</v>
      </c>
      <c r="AD43" s="356">
        <v>13</v>
      </c>
      <c r="AE43" s="356">
        <v>15</v>
      </c>
      <c r="AF43" s="356">
        <v>3</v>
      </c>
      <c r="AG43" s="356">
        <v>6</v>
      </c>
      <c r="AH43" s="356">
        <v>10</v>
      </c>
      <c r="AI43" s="356">
        <v>14</v>
      </c>
      <c r="AJ43" s="356">
        <v>4</v>
      </c>
      <c r="AK43" s="356">
        <v>14</v>
      </c>
      <c r="AL43" s="356">
        <v>12</v>
      </c>
      <c r="AM43" s="356">
        <v>1</v>
      </c>
      <c r="AN43" s="356">
        <v>9</v>
      </c>
      <c r="AO43" s="356">
        <v>10</v>
      </c>
      <c r="AP43" s="356">
        <v>3</v>
      </c>
      <c r="AQ43" s="356">
        <v>2</v>
      </c>
      <c r="AR43" s="356">
        <v>10</v>
      </c>
      <c r="AS43" s="356">
        <v>8</v>
      </c>
      <c r="AT43" s="356">
        <v>11</v>
      </c>
      <c r="AU43" s="356">
        <v>10</v>
      </c>
      <c r="AV43" s="356">
        <v>6</v>
      </c>
      <c r="AW43" s="356">
        <v>14</v>
      </c>
      <c r="AX43" s="356">
        <v>14</v>
      </c>
      <c r="AY43" s="356">
        <v>9</v>
      </c>
      <c r="AZ43" s="356">
        <v>1</v>
      </c>
      <c r="BA43" s="356">
        <v>1</v>
      </c>
      <c r="BB43" s="356">
        <v>1</v>
      </c>
      <c r="BD43" s="353">
        <f t="shared" si="0"/>
        <v>113</v>
      </c>
      <c r="BE43" s="353">
        <f t="shared" si="1"/>
        <v>82</v>
      </c>
      <c r="BF43" s="353">
        <f t="shared" si="2"/>
        <v>114</v>
      </c>
      <c r="BG43" s="353">
        <f t="shared" si="3"/>
        <v>78</v>
      </c>
    </row>
    <row r="44" spans="2:59">
      <c r="B44" s="354">
        <v>36</v>
      </c>
      <c r="C44" s="743" t="s">
        <v>668</v>
      </c>
      <c r="D44" s="744" t="s">
        <v>668</v>
      </c>
      <c r="E44" s="744" t="s">
        <v>668</v>
      </c>
      <c r="F44" s="355">
        <v>28400886</v>
      </c>
      <c r="G44" s="356">
        <v>9</v>
      </c>
      <c r="H44" s="356">
        <v>15</v>
      </c>
      <c r="I44" s="356">
        <v>8</v>
      </c>
      <c r="J44" s="356">
        <v>12</v>
      </c>
      <c r="K44" s="356">
        <v>15</v>
      </c>
      <c r="L44" s="356">
        <v>7</v>
      </c>
      <c r="M44" s="356">
        <v>13</v>
      </c>
      <c r="N44" s="356">
        <v>9</v>
      </c>
      <c r="O44" s="356">
        <v>5</v>
      </c>
      <c r="P44" s="356">
        <v>4</v>
      </c>
      <c r="Q44" s="356">
        <v>1</v>
      </c>
      <c r="R44" s="356">
        <v>13</v>
      </c>
      <c r="S44" s="356">
        <v>0</v>
      </c>
      <c r="T44" s="356">
        <v>8</v>
      </c>
      <c r="U44" s="356">
        <v>10</v>
      </c>
      <c r="V44" s="356">
        <v>4</v>
      </c>
      <c r="W44" s="356">
        <v>10</v>
      </c>
      <c r="X44" s="356">
        <v>0</v>
      </c>
      <c r="Y44" s="356">
        <v>12</v>
      </c>
      <c r="Z44" s="356">
        <v>15</v>
      </c>
      <c r="AA44" s="356">
        <v>0</v>
      </c>
      <c r="AB44" s="356">
        <v>15</v>
      </c>
      <c r="AC44" s="356">
        <v>1</v>
      </c>
      <c r="AD44" s="356">
        <v>13</v>
      </c>
      <c r="AE44" s="356">
        <v>12</v>
      </c>
      <c r="AF44" s="356">
        <v>8</v>
      </c>
      <c r="AG44" s="356">
        <v>11</v>
      </c>
      <c r="AH44" s="356">
        <v>2</v>
      </c>
      <c r="AI44" s="356">
        <v>13</v>
      </c>
      <c r="AJ44" s="356">
        <v>13</v>
      </c>
      <c r="AK44" s="356">
        <v>13</v>
      </c>
      <c r="AL44" s="356">
        <v>14</v>
      </c>
      <c r="AM44" s="356">
        <v>11</v>
      </c>
      <c r="AN44" s="356">
        <v>0</v>
      </c>
      <c r="AO44" s="356">
        <v>2</v>
      </c>
      <c r="AP44" s="356">
        <v>5</v>
      </c>
      <c r="AQ44" s="356">
        <v>4</v>
      </c>
      <c r="AR44" s="356">
        <v>14</v>
      </c>
      <c r="AS44" s="356">
        <v>0</v>
      </c>
      <c r="AT44" s="356">
        <v>12</v>
      </c>
      <c r="AU44" s="356">
        <v>5</v>
      </c>
      <c r="AV44" s="356">
        <v>6</v>
      </c>
      <c r="AW44" s="356">
        <v>11</v>
      </c>
      <c r="AX44" s="356">
        <v>1</v>
      </c>
      <c r="AY44" s="356">
        <v>2</v>
      </c>
      <c r="AZ44" s="356">
        <v>7</v>
      </c>
      <c r="BA44" s="356">
        <v>12</v>
      </c>
      <c r="BB44" s="356">
        <v>1</v>
      </c>
      <c r="BD44" s="353">
        <f t="shared" si="0"/>
        <v>82</v>
      </c>
      <c r="BE44" s="353">
        <f t="shared" si="1"/>
        <v>86</v>
      </c>
      <c r="BF44" s="353">
        <f t="shared" si="2"/>
        <v>94</v>
      </c>
      <c r="BG44" s="353">
        <f t="shared" si="3"/>
        <v>77</v>
      </c>
    </row>
    <row r="45" spans="2:59">
      <c r="B45" s="354">
        <v>37</v>
      </c>
      <c r="C45" s="743" t="s">
        <v>667</v>
      </c>
      <c r="D45" s="744" t="s">
        <v>667</v>
      </c>
      <c r="E45" s="744" t="s">
        <v>667</v>
      </c>
      <c r="F45" s="355">
        <v>3587971</v>
      </c>
      <c r="G45" s="356">
        <v>3</v>
      </c>
      <c r="H45" s="356">
        <v>4</v>
      </c>
      <c r="I45" s="356">
        <v>11</v>
      </c>
      <c r="J45" s="356">
        <v>6</v>
      </c>
      <c r="K45" s="356">
        <v>10</v>
      </c>
      <c r="L45" s="356">
        <v>9</v>
      </c>
      <c r="M45" s="356">
        <v>2</v>
      </c>
      <c r="N45" s="356">
        <v>2</v>
      </c>
      <c r="O45" s="356">
        <v>2</v>
      </c>
      <c r="P45" s="356">
        <v>9</v>
      </c>
      <c r="Q45" s="356">
        <v>5</v>
      </c>
      <c r="R45" s="356">
        <v>12</v>
      </c>
      <c r="S45" s="356">
        <v>6</v>
      </c>
      <c r="T45" s="356">
        <v>5</v>
      </c>
      <c r="U45" s="356">
        <v>3</v>
      </c>
      <c r="V45" s="356">
        <v>15</v>
      </c>
      <c r="W45" s="356">
        <v>15</v>
      </c>
      <c r="X45" s="356">
        <v>13</v>
      </c>
      <c r="Y45" s="356">
        <v>6</v>
      </c>
      <c r="Z45" s="356">
        <v>9</v>
      </c>
      <c r="AA45" s="356">
        <v>0</v>
      </c>
      <c r="AB45" s="356">
        <v>10</v>
      </c>
      <c r="AC45" s="356">
        <v>5</v>
      </c>
      <c r="AD45" s="356">
        <v>12</v>
      </c>
      <c r="AE45" s="356">
        <v>3</v>
      </c>
      <c r="AF45" s="356">
        <v>10</v>
      </c>
      <c r="AG45" s="356">
        <v>2</v>
      </c>
      <c r="AH45" s="356">
        <v>3</v>
      </c>
      <c r="AI45" s="356">
        <v>3</v>
      </c>
      <c r="AJ45" s="356">
        <v>4</v>
      </c>
      <c r="AK45" s="356">
        <v>5</v>
      </c>
      <c r="AL45" s="356">
        <v>15</v>
      </c>
      <c r="AM45" s="356">
        <v>8</v>
      </c>
      <c r="AN45" s="356">
        <v>11</v>
      </c>
      <c r="AO45" s="356">
        <v>5</v>
      </c>
      <c r="AP45" s="356">
        <v>12</v>
      </c>
      <c r="AQ45" s="356">
        <v>0</v>
      </c>
      <c r="AR45" s="356">
        <v>7</v>
      </c>
      <c r="AS45" s="356">
        <v>1</v>
      </c>
      <c r="AT45" s="356">
        <v>9</v>
      </c>
      <c r="AU45" s="356">
        <v>11</v>
      </c>
      <c r="AV45" s="356">
        <v>6</v>
      </c>
      <c r="AW45" s="356">
        <v>2</v>
      </c>
      <c r="AX45" s="356">
        <v>2</v>
      </c>
      <c r="AY45" s="356">
        <v>14</v>
      </c>
      <c r="AZ45" s="356">
        <v>5</v>
      </c>
      <c r="BA45" s="356">
        <v>3</v>
      </c>
      <c r="BB45" s="356">
        <v>7</v>
      </c>
      <c r="BD45" s="353">
        <f t="shared" si="0"/>
        <v>47</v>
      </c>
      <c r="BE45" s="353">
        <f t="shared" si="1"/>
        <v>75</v>
      </c>
      <c r="BF45" s="353">
        <f t="shared" si="2"/>
        <v>50</v>
      </c>
      <c r="BG45" s="353">
        <f t="shared" si="3"/>
        <v>72</v>
      </c>
    </row>
    <row r="46" spans="2:59">
      <c r="B46" s="354">
        <v>38</v>
      </c>
      <c r="C46" s="743" t="s">
        <v>666</v>
      </c>
      <c r="D46" s="744" t="s">
        <v>666</v>
      </c>
      <c r="E46" s="744" t="s">
        <v>666</v>
      </c>
      <c r="F46" s="355">
        <v>22030480</v>
      </c>
      <c r="G46" s="356">
        <v>4</v>
      </c>
      <c r="H46" s="356">
        <v>8</v>
      </c>
      <c r="I46" s="356">
        <v>3</v>
      </c>
      <c r="J46" s="356">
        <v>7</v>
      </c>
      <c r="K46" s="356">
        <v>8</v>
      </c>
      <c r="L46" s="356">
        <v>5</v>
      </c>
      <c r="M46" s="356">
        <v>6</v>
      </c>
      <c r="N46" s="356">
        <v>8</v>
      </c>
      <c r="O46" s="356">
        <v>1</v>
      </c>
      <c r="P46" s="356">
        <v>14</v>
      </c>
      <c r="Q46" s="356">
        <v>2</v>
      </c>
      <c r="R46" s="356">
        <v>8</v>
      </c>
      <c r="S46" s="356">
        <v>9</v>
      </c>
      <c r="T46" s="356">
        <v>1</v>
      </c>
      <c r="U46" s="356">
        <v>15</v>
      </c>
      <c r="V46" s="356">
        <v>9</v>
      </c>
      <c r="W46" s="356">
        <v>10</v>
      </c>
      <c r="X46" s="356">
        <v>12</v>
      </c>
      <c r="Y46" s="356">
        <v>14</v>
      </c>
      <c r="Z46" s="356">
        <v>3</v>
      </c>
      <c r="AA46" s="356">
        <v>13</v>
      </c>
      <c r="AB46" s="356">
        <v>7</v>
      </c>
      <c r="AC46" s="356">
        <v>5</v>
      </c>
      <c r="AD46" s="356">
        <v>13</v>
      </c>
      <c r="AE46" s="356">
        <v>10</v>
      </c>
      <c r="AF46" s="356">
        <v>15</v>
      </c>
      <c r="AG46" s="356">
        <v>2</v>
      </c>
      <c r="AH46" s="356">
        <v>15</v>
      </c>
      <c r="AI46" s="356">
        <v>13</v>
      </c>
      <c r="AJ46" s="356">
        <v>6</v>
      </c>
      <c r="AK46" s="356">
        <v>9</v>
      </c>
      <c r="AL46" s="356">
        <v>7</v>
      </c>
      <c r="AM46" s="356">
        <v>13</v>
      </c>
      <c r="AN46" s="356">
        <v>2</v>
      </c>
      <c r="AO46" s="356">
        <v>0</v>
      </c>
      <c r="AP46" s="356">
        <v>9</v>
      </c>
      <c r="AQ46" s="356">
        <v>6</v>
      </c>
      <c r="AR46" s="356">
        <v>0</v>
      </c>
      <c r="AS46" s="356">
        <v>14</v>
      </c>
      <c r="AT46" s="356">
        <v>1</v>
      </c>
      <c r="AU46" s="356">
        <v>7</v>
      </c>
      <c r="AV46" s="356">
        <v>3</v>
      </c>
      <c r="AW46" s="356">
        <v>3</v>
      </c>
      <c r="AX46" s="356">
        <v>11</v>
      </c>
      <c r="AY46" s="356">
        <v>14</v>
      </c>
      <c r="AZ46" s="356">
        <v>1</v>
      </c>
      <c r="BA46" s="356">
        <v>3</v>
      </c>
      <c r="BB46" s="356">
        <v>9</v>
      </c>
      <c r="BD46" s="353">
        <f t="shared" si="0"/>
        <v>73</v>
      </c>
      <c r="BE46" s="353">
        <f t="shared" si="1"/>
        <v>108</v>
      </c>
      <c r="BF46" s="353">
        <f t="shared" si="2"/>
        <v>76</v>
      </c>
      <c r="BG46" s="353">
        <f t="shared" si="3"/>
        <v>104</v>
      </c>
    </row>
    <row r="47" spans="2:59">
      <c r="B47" s="354">
        <v>39</v>
      </c>
      <c r="C47" s="743" t="s">
        <v>665</v>
      </c>
      <c r="D47" s="744" t="s">
        <v>665</v>
      </c>
      <c r="E47" s="744" t="s">
        <v>665</v>
      </c>
      <c r="F47" s="355">
        <v>1099371643</v>
      </c>
      <c r="G47" s="356">
        <v>4</v>
      </c>
      <c r="H47" s="356">
        <v>6</v>
      </c>
      <c r="I47" s="356">
        <v>13</v>
      </c>
      <c r="J47" s="356">
        <v>4</v>
      </c>
      <c r="K47" s="356">
        <v>3</v>
      </c>
      <c r="L47" s="356">
        <v>12</v>
      </c>
      <c r="M47" s="356">
        <v>5</v>
      </c>
      <c r="N47" s="356">
        <v>4</v>
      </c>
      <c r="O47" s="356">
        <v>13</v>
      </c>
      <c r="P47" s="356">
        <v>14</v>
      </c>
      <c r="Q47" s="356">
        <v>15</v>
      </c>
      <c r="R47" s="356">
        <v>5</v>
      </c>
      <c r="S47" s="356">
        <v>1</v>
      </c>
      <c r="T47" s="356">
        <v>14</v>
      </c>
      <c r="U47" s="356">
        <v>13</v>
      </c>
      <c r="V47" s="356">
        <v>6</v>
      </c>
      <c r="W47" s="356">
        <v>1</v>
      </c>
      <c r="X47" s="356">
        <v>9</v>
      </c>
      <c r="Y47" s="356">
        <v>4</v>
      </c>
      <c r="Z47" s="356">
        <v>4</v>
      </c>
      <c r="AA47" s="356">
        <v>1</v>
      </c>
      <c r="AB47" s="356">
        <v>15</v>
      </c>
      <c r="AC47" s="356">
        <v>11</v>
      </c>
      <c r="AD47" s="356">
        <v>1</v>
      </c>
      <c r="AE47" s="356">
        <v>12</v>
      </c>
      <c r="AF47" s="356">
        <v>11</v>
      </c>
      <c r="AG47" s="356">
        <v>13</v>
      </c>
      <c r="AH47" s="356">
        <v>13</v>
      </c>
      <c r="AI47" s="356">
        <v>10</v>
      </c>
      <c r="AJ47" s="356">
        <v>4</v>
      </c>
      <c r="AK47" s="356">
        <v>15</v>
      </c>
      <c r="AL47" s="356">
        <v>4</v>
      </c>
      <c r="AM47" s="356">
        <v>2</v>
      </c>
      <c r="AN47" s="356">
        <v>0</v>
      </c>
      <c r="AO47" s="356">
        <v>12</v>
      </c>
      <c r="AP47" s="356">
        <v>8</v>
      </c>
      <c r="AQ47" s="356">
        <v>2</v>
      </c>
      <c r="AR47" s="356">
        <v>1</v>
      </c>
      <c r="AS47" s="356">
        <v>3</v>
      </c>
      <c r="AT47" s="356">
        <v>4</v>
      </c>
      <c r="AU47" s="356">
        <v>0</v>
      </c>
      <c r="AV47" s="356">
        <v>9</v>
      </c>
      <c r="AW47" s="356">
        <v>1</v>
      </c>
      <c r="AX47" s="356">
        <v>0</v>
      </c>
      <c r="AY47" s="356">
        <v>6</v>
      </c>
      <c r="AZ47" s="356">
        <v>10</v>
      </c>
      <c r="BA47" s="356">
        <v>0</v>
      </c>
      <c r="BB47" s="356">
        <v>7</v>
      </c>
      <c r="BD47" s="353">
        <f t="shared" si="0"/>
        <v>105</v>
      </c>
      <c r="BE47" s="353">
        <f t="shared" si="1"/>
        <v>55</v>
      </c>
      <c r="BF47" s="353">
        <f t="shared" si="2"/>
        <v>105</v>
      </c>
      <c r="BG47" s="353">
        <f t="shared" si="3"/>
        <v>51</v>
      </c>
    </row>
    <row r="48" spans="2:59">
      <c r="B48" s="354">
        <v>40</v>
      </c>
      <c r="C48" s="743" t="s">
        <v>664</v>
      </c>
      <c r="D48" s="744" t="s">
        <v>664</v>
      </c>
      <c r="E48" s="744" t="s">
        <v>664</v>
      </c>
      <c r="F48" s="355">
        <v>98</v>
      </c>
      <c r="G48" s="356">
        <v>2</v>
      </c>
      <c r="H48" s="356">
        <v>13</v>
      </c>
      <c r="I48" s="356">
        <v>9</v>
      </c>
      <c r="J48" s="356">
        <v>3</v>
      </c>
      <c r="K48" s="356">
        <v>1</v>
      </c>
      <c r="L48" s="356">
        <v>0</v>
      </c>
      <c r="M48" s="356">
        <v>5</v>
      </c>
      <c r="N48" s="356">
        <v>7</v>
      </c>
      <c r="O48" s="356">
        <v>3</v>
      </c>
      <c r="P48" s="356">
        <v>15</v>
      </c>
      <c r="Q48" s="356">
        <v>2</v>
      </c>
      <c r="R48" s="356">
        <v>15</v>
      </c>
      <c r="S48" s="356">
        <v>10</v>
      </c>
      <c r="T48" s="356">
        <v>7</v>
      </c>
      <c r="U48" s="356">
        <v>8</v>
      </c>
      <c r="V48" s="356">
        <v>3</v>
      </c>
      <c r="W48" s="356">
        <v>7</v>
      </c>
      <c r="X48" s="356">
        <v>6</v>
      </c>
      <c r="Y48" s="356">
        <v>3</v>
      </c>
      <c r="Z48" s="356">
        <v>9</v>
      </c>
      <c r="AA48" s="356">
        <v>9</v>
      </c>
      <c r="AB48" s="356">
        <v>3</v>
      </c>
      <c r="AC48" s="356">
        <v>13</v>
      </c>
      <c r="AD48" s="356">
        <v>6</v>
      </c>
      <c r="AE48" s="356">
        <v>5</v>
      </c>
      <c r="AF48" s="356">
        <v>5</v>
      </c>
      <c r="AG48" s="356">
        <v>8</v>
      </c>
      <c r="AH48" s="356">
        <v>5</v>
      </c>
      <c r="AI48" s="356">
        <v>3</v>
      </c>
      <c r="AJ48" s="356">
        <v>12</v>
      </c>
      <c r="AK48" s="356">
        <v>14</v>
      </c>
      <c r="AL48" s="356">
        <v>14</v>
      </c>
      <c r="AM48" s="356">
        <v>2</v>
      </c>
      <c r="AN48" s="356">
        <v>5</v>
      </c>
      <c r="AO48" s="356">
        <v>0</v>
      </c>
      <c r="AP48" s="356">
        <v>4</v>
      </c>
      <c r="AQ48" s="356">
        <v>10</v>
      </c>
      <c r="AR48" s="356">
        <v>6</v>
      </c>
      <c r="AS48" s="356">
        <v>14</v>
      </c>
      <c r="AT48" s="356">
        <v>13</v>
      </c>
      <c r="AU48" s="356">
        <v>9</v>
      </c>
      <c r="AV48" s="356">
        <v>13</v>
      </c>
      <c r="AW48" s="356">
        <v>8</v>
      </c>
      <c r="AX48" s="356">
        <v>2</v>
      </c>
      <c r="AY48" s="356">
        <v>11</v>
      </c>
      <c r="AZ48" s="356">
        <v>10</v>
      </c>
      <c r="BA48" s="356">
        <v>0</v>
      </c>
      <c r="BB48" s="356">
        <v>4</v>
      </c>
      <c r="BD48" s="353">
        <f t="shared" si="0"/>
        <v>84</v>
      </c>
      <c r="BE48" s="353">
        <f t="shared" si="1"/>
        <v>72</v>
      </c>
      <c r="BF48" s="353">
        <f t="shared" si="2"/>
        <v>84</v>
      </c>
      <c r="BG48" s="353">
        <f t="shared" si="3"/>
        <v>70</v>
      </c>
    </row>
    <row r="49" spans="2:59">
      <c r="B49" s="354">
        <v>41</v>
      </c>
      <c r="C49" s="743" t="s">
        <v>663</v>
      </c>
      <c r="D49" s="744" t="s">
        <v>663</v>
      </c>
      <c r="E49" s="744" t="s">
        <v>663</v>
      </c>
      <c r="F49" s="355">
        <v>28213021</v>
      </c>
      <c r="G49" s="356">
        <v>1</v>
      </c>
      <c r="H49" s="356">
        <v>1</v>
      </c>
      <c r="I49" s="356">
        <v>0</v>
      </c>
      <c r="J49" s="356">
        <v>13</v>
      </c>
      <c r="K49" s="356">
        <v>9</v>
      </c>
      <c r="L49" s="356">
        <v>9</v>
      </c>
      <c r="M49" s="356">
        <v>0</v>
      </c>
      <c r="N49" s="356">
        <v>12</v>
      </c>
      <c r="O49" s="356">
        <v>15</v>
      </c>
      <c r="P49" s="356">
        <v>8</v>
      </c>
      <c r="Q49" s="356">
        <v>13</v>
      </c>
      <c r="R49" s="356">
        <v>15</v>
      </c>
      <c r="S49" s="356">
        <v>4</v>
      </c>
      <c r="T49" s="356">
        <v>1</v>
      </c>
      <c r="U49" s="356">
        <v>11</v>
      </c>
      <c r="V49" s="356">
        <v>12</v>
      </c>
      <c r="W49" s="356">
        <v>8</v>
      </c>
      <c r="X49" s="356">
        <v>9</v>
      </c>
      <c r="Y49" s="356">
        <v>1</v>
      </c>
      <c r="Z49" s="356">
        <v>4</v>
      </c>
      <c r="AA49" s="356">
        <v>2</v>
      </c>
      <c r="AB49" s="356">
        <v>12</v>
      </c>
      <c r="AC49" s="356">
        <v>10</v>
      </c>
      <c r="AD49" s="356">
        <v>8</v>
      </c>
      <c r="AE49" s="356">
        <v>13</v>
      </c>
      <c r="AF49" s="356">
        <v>5</v>
      </c>
      <c r="AG49" s="356">
        <v>11</v>
      </c>
      <c r="AH49" s="356">
        <v>4</v>
      </c>
      <c r="AI49" s="356">
        <v>14</v>
      </c>
      <c r="AJ49" s="356">
        <v>15</v>
      </c>
      <c r="AK49" s="356">
        <v>9</v>
      </c>
      <c r="AL49" s="356">
        <v>11</v>
      </c>
      <c r="AM49" s="356">
        <v>4</v>
      </c>
      <c r="AN49" s="356">
        <v>9</v>
      </c>
      <c r="AO49" s="356">
        <v>1</v>
      </c>
      <c r="AP49" s="356">
        <v>12</v>
      </c>
      <c r="AQ49" s="356">
        <v>15</v>
      </c>
      <c r="AR49" s="356">
        <v>10</v>
      </c>
      <c r="AS49" s="356">
        <v>1</v>
      </c>
      <c r="AT49" s="356">
        <v>6</v>
      </c>
      <c r="AU49" s="356">
        <v>10</v>
      </c>
      <c r="AV49" s="356">
        <v>3</v>
      </c>
      <c r="AW49" s="356">
        <v>14</v>
      </c>
      <c r="AX49" s="356">
        <v>2</v>
      </c>
      <c r="AY49" s="356">
        <v>15</v>
      </c>
      <c r="AZ49" s="356">
        <v>13</v>
      </c>
      <c r="BA49" s="356">
        <v>5</v>
      </c>
      <c r="BB49" s="356">
        <v>9</v>
      </c>
      <c r="BD49" s="353">
        <f t="shared" si="0"/>
        <v>71</v>
      </c>
      <c r="BE49" s="353">
        <f t="shared" si="1"/>
        <v>110</v>
      </c>
      <c r="BF49" s="353">
        <f t="shared" si="2"/>
        <v>76</v>
      </c>
      <c r="BG49" s="353">
        <f t="shared" si="3"/>
        <v>109</v>
      </c>
    </row>
    <row r="50" spans="2:59">
      <c r="B50" s="354">
        <v>42</v>
      </c>
      <c r="C50" s="743" t="s">
        <v>662</v>
      </c>
      <c r="D50" s="744" t="s">
        <v>662</v>
      </c>
      <c r="E50" s="744" t="s">
        <v>662</v>
      </c>
      <c r="F50" s="355">
        <v>5669782</v>
      </c>
      <c r="G50" s="356">
        <v>6</v>
      </c>
      <c r="H50" s="356">
        <v>13</v>
      </c>
      <c r="I50" s="356">
        <v>0</v>
      </c>
      <c r="J50" s="356">
        <v>6</v>
      </c>
      <c r="K50" s="356">
        <v>15</v>
      </c>
      <c r="L50" s="356">
        <v>7</v>
      </c>
      <c r="M50" s="356">
        <v>7</v>
      </c>
      <c r="N50" s="356">
        <v>0</v>
      </c>
      <c r="O50" s="356">
        <v>15</v>
      </c>
      <c r="P50" s="356">
        <v>0</v>
      </c>
      <c r="Q50" s="356">
        <v>2</v>
      </c>
      <c r="R50" s="356">
        <v>11</v>
      </c>
      <c r="S50" s="356">
        <v>15</v>
      </c>
      <c r="T50" s="356">
        <v>13</v>
      </c>
      <c r="U50" s="356">
        <v>15</v>
      </c>
      <c r="V50" s="356">
        <v>3</v>
      </c>
      <c r="W50" s="356">
        <v>7</v>
      </c>
      <c r="X50" s="356">
        <v>15</v>
      </c>
      <c r="Y50" s="356">
        <v>2</v>
      </c>
      <c r="Z50" s="356">
        <v>0</v>
      </c>
      <c r="AA50" s="356">
        <v>12</v>
      </c>
      <c r="AB50" s="356">
        <v>5</v>
      </c>
      <c r="AC50" s="356">
        <v>12</v>
      </c>
      <c r="AD50" s="356">
        <v>3</v>
      </c>
      <c r="AE50" s="356">
        <v>1</v>
      </c>
      <c r="AF50" s="356">
        <v>2</v>
      </c>
      <c r="AG50" s="356">
        <v>6</v>
      </c>
      <c r="AH50" s="356">
        <v>4</v>
      </c>
      <c r="AI50" s="356">
        <v>11</v>
      </c>
      <c r="AJ50" s="356">
        <v>10</v>
      </c>
      <c r="AK50" s="356">
        <v>13</v>
      </c>
      <c r="AL50" s="356">
        <v>6</v>
      </c>
      <c r="AM50" s="356">
        <v>13</v>
      </c>
      <c r="AN50" s="356">
        <v>9</v>
      </c>
      <c r="AO50" s="356">
        <v>14</v>
      </c>
      <c r="AP50" s="356">
        <v>13</v>
      </c>
      <c r="AQ50" s="356">
        <v>14</v>
      </c>
      <c r="AR50" s="356">
        <v>7</v>
      </c>
      <c r="AS50" s="356">
        <v>3</v>
      </c>
      <c r="AT50" s="356">
        <v>4</v>
      </c>
      <c r="AU50" s="356">
        <v>8</v>
      </c>
      <c r="AV50" s="356">
        <v>13</v>
      </c>
      <c r="AW50" s="356">
        <v>6</v>
      </c>
      <c r="AX50" s="356">
        <v>6</v>
      </c>
      <c r="AY50" s="356">
        <v>10</v>
      </c>
      <c r="AZ50" s="356">
        <v>3</v>
      </c>
      <c r="BA50" s="356">
        <v>11</v>
      </c>
      <c r="BB50" s="356">
        <v>2</v>
      </c>
      <c r="BD50" s="353">
        <f t="shared" si="0"/>
        <v>80</v>
      </c>
      <c r="BE50" s="353">
        <f t="shared" si="1"/>
        <v>127</v>
      </c>
      <c r="BF50" s="353">
        <f t="shared" si="2"/>
        <v>91</v>
      </c>
      <c r="BG50" s="353">
        <f t="shared" si="3"/>
        <v>121</v>
      </c>
    </row>
    <row r="51" spans="2:59">
      <c r="B51" s="354">
        <v>43</v>
      </c>
      <c r="C51" s="743" t="s">
        <v>661</v>
      </c>
      <c r="D51" s="744" t="s">
        <v>661</v>
      </c>
      <c r="E51" s="744" t="s">
        <v>661</v>
      </c>
      <c r="F51" s="355">
        <v>1099366172</v>
      </c>
      <c r="G51" s="356">
        <v>0</v>
      </c>
      <c r="H51" s="356">
        <v>13</v>
      </c>
      <c r="I51" s="356">
        <v>15</v>
      </c>
      <c r="J51" s="356">
        <v>1</v>
      </c>
      <c r="K51" s="356">
        <v>9</v>
      </c>
      <c r="L51" s="356">
        <v>1</v>
      </c>
      <c r="M51" s="356">
        <v>11</v>
      </c>
      <c r="N51" s="356">
        <v>13</v>
      </c>
      <c r="O51" s="356">
        <v>5</v>
      </c>
      <c r="P51" s="356">
        <v>15</v>
      </c>
      <c r="Q51" s="356">
        <v>0</v>
      </c>
      <c r="R51" s="356">
        <v>5</v>
      </c>
      <c r="S51" s="356">
        <v>5</v>
      </c>
      <c r="T51" s="356">
        <v>6</v>
      </c>
      <c r="U51" s="356">
        <v>2</v>
      </c>
      <c r="V51" s="356">
        <v>3</v>
      </c>
      <c r="W51" s="356">
        <v>10</v>
      </c>
      <c r="X51" s="356">
        <v>6</v>
      </c>
      <c r="Y51" s="356">
        <v>1</v>
      </c>
      <c r="Z51" s="356">
        <v>6</v>
      </c>
      <c r="AA51" s="356">
        <v>5</v>
      </c>
      <c r="AB51" s="356">
        <v>8</v>
      </c>
      <c r="AC51" s="356">
        <v>15</v>
      </c>
      <c r="AD51" s="356">
        <v>3</v>
      </c>
      <c r="AE51" s="356">
        <v>13</v>
      </c>
      <c r="AF51" s="356">
        <v>2</v>
      </c>
      <c r="AG51" s="356">
        <v>1</v>
      </c>
      <c r="AH51" s="356">
        <v>7</v>
      </c>
      <c r="AI51" s="356">
        <v>3</v>
      </c>
      <c r="AJ51" s="356">
        <v>8</v>
      </c>
      <c r="AK51" s="356">
        <v>8</v>
      </c>
      <c r="AL51" s="356">
        <v>12</v>
      </c>
      <c r="AM51" s="356">
        <v>4</v>
      </c>
      <c r="AN51" s="356">
        <v>15</v>
      </c>
      <c r="AO51" s="356">
        <v>11</v>
      </c>
      <c r="AP51" s="356">
        <v>12</v>
      </c>
      <c r="AQ51" s="356">
        <v>1</v>
      </c>
      <c r="AR51" s="356">
        <v>9</v>
      </c>
      <c r="AS51" s="356">
        <v>14</v>
      </c>
      <c r="AT51" s="356">
        <v>2</v>
      </c>
      <c r="AU51" s="356">
        <v>14</v>
      </c>
      <c r="AV51" s="356">
        <v>8</v>
      </c>
      <c r="AW51" s="356">
        <v>12</v>
      </c>
      <c r="AX51" s="356">
        <v>2</v>
      </c>
      <c r="AY51" s="356">
        <v>6</v>
      </c>
      <c r="AZ51" s="356">
        <v>3</v>
      </c>
      <c r="BA51" s="356">
        <v>1</v>
      </c>
      <c r="BB51" s="356">
        <v>7</v>
      </c>
      <c r="BD51" s="353">
        <f t="shared" si="0"/>
        <v>90</v>
      </c>
      <c r="BE51" s="353">
        <f t="shared" si="1"/>
        <v>75</v>
      </c>
      <c r="BF51" s="353">
        <f t="shared" si="2"/>
        <v>91</v>
      </c>
      <c r="BG51" s="353">
        <f t="shared" si="3"/>
        <v>75</v>
      </c>
    </row>
    <row r="52" spans="2:59">
      <c r="B52" s="354">
        <v>44</v>
      </c>
      <c r="C52" s="743" t="s">
        <v>660</v>
      </c>
      <c r="D52" s="744" t="s">
        <v>660</v>
      </c>
      <c r="E52" s="744" t="s">
        <v>660</v>
      </c>
      <c r="F52" s="355">
        <v>32005942</v>
      </c>
      <c r="G52" s="356">
        <v>3</v>
      </c>
      <c r="H52" s="356">
        <v>12</v>
      </c>
      <c r="I52" s="356">
        <v>0</v>
      </c>
      <c r="J52" s="356">
        <v>13</v>
      </c>
      <c r="K52" s="356">
        <v>9</v>
      </c>
      <c r="L52" s="356">
        <v>7</v>
      </c>
      <c r="M52" s="356">
        <v>5</v>
      </c>
      <c r="N52" s="356">
        <v>8</v>
      </c>
      <c r="O52" s="356">
        <v>13</v>
      </c>
      <c r="P52" s="356">
        <v>3</v>
      </c>
      <c r="Q52" s="356">
        <v>11</v>
      </c>
      <c r="R52" s="356">
        <v>10</v>
      </c>
      <c r="S52" s="356">
        <v>0</v>
      </c>
      <c r="T52" s="356">
        <v>12</v>
      </c>
      <c r="U52" s="356">
        <v>0</v>
      </c>
      <c r="V52" s="356">
        <v>6</v>
      </c>
      <c r="W52" s="356">
        <v>6</v>
      </c>
      <c r="X52" s="356">
        <v>4</v>
      </c>
      <c r="Y52" s="356">
        <v>8</v>
      </c>
      <c r="Z52" s="356">
        <v>6</v>
      </c>
      <c r="AA52" s="356">
        <v>3</v>
      </c>
      <c r="AB52" s="356">
        <v>6</v>
      </c>
      <c r="AC52" s="356">
        <v>14</v>
      </c>
      <c r="AD52" s="356">
        <v>12</v>
      </c>
      <c r="AE52" s="356">
        <v>0</v>
      </c>
      <c r="AF52" s="356">
        <v>0</v>
      </c>
      <c r="AG52" s="356">
        <v>14</v>
      </c>
      <c r="AH52" s="356">
        <v>5</v>
      </c>
      <c r="AI52" s="356">
        <v>4</v>
      </c>
      <c r="AJ52" s="356">
        <v>10</v>
      </c>
      <c r="AK52" s="356">
        <v>8</v>
      </c>
      <c r="AL52" s="356">
        <v>9</v>
      </c>
      <c r="AM52" s="356">
        <v>11</v>
      </c>
      <c r="AN52" s="356">
        <v>12</v>
      </c>
      <c r="AO52" s="356">
        <v>8</v>
      </c>
      <c r="AP52" s="356">
        <v>9</v>
      </c>
      <c r="AQ52" s="356">
        <v>9</v>
      </c>
      <c r="AR52" s="356">
        <v>7</v>
      </c>
      <c r="AS52" s="356">
        <v>13</v>
      </c>
      <c r="AT52" s="356">
        <v>2</v>
      </c>
      <c r="AU52" s="356">
        <v>0</v>
      </c>
      <c r="AV52" s="356">
        <v>3</v>
      </c>
      <c r="AW52" s="356">
        <v>13</v>
      </c>
      <c r="AX52" s="356">
        <v>0</v>
      </c>
      <c r="AY52" s="356">
        <v>6</v>
      </c>
      <c r="AZ52" s="356">
        <v>11</v>
      </c>
      <c r="BA52" s="356">
        <v>3</v>
      </c>
      <c r="BB52" s="356">
        <v>6</v>
      </c>
      <c r="BD52" s="353">
        <f t="shared" si="0"/>
        <v>94</v>
      </c>
      <c r="BE52" s="353">
        <f t="shared" si="1"/>
        <v>64</v>
      </c>
      <c r="BF52" s="353">
        <f t="shared" si="2"/>
        <v>97</v>
      </c>
      <c r="BG52" s="353">
        <f t="shared" si="3"/>
        <v>61</v>
      </c>
    </row>
    <row r="53" spans="2:59">
      <c r="B53" s="354">
        <v>45</v>
      </c>
      <c r="C53" s="743" t="s">
        <v>659</v>
      </c>
      <c r="D53" s="744" t="s">
        <v>659</v>
      </c>
      <c r="E53" s="744" t="s">
        <v>659</v>
      </c>
      <c r="F53" s="355">
        <v>1099369190</v>
      </c>
      <c r="G53" s="356">
        <v>15</v>
      </c>
      <c r="H53" s="356">
        <v>1</v>
      </c>
      <c r="I53" s="356">
        <v>15</v>
      </c>
      <c r="J53" s="356">
        <v>4</v>
      </c>
      <c r="K53" s="356">
        <v>0</v>
      </c>
      <c r="L53" s="356">
        <v>6</v>
      </c>
      <c r="M53" s="356">
        <v>1</v>
      </c>
      <c r="N53" s="356">
        <v>0</v>
      </c>
      <c r="O53" s="356">
        <v>1</v>
      </c>
      <c r="P53" s="356">
        <v>10</v>
      </c>
      <c r="Q53" s="356">
        <v>3</v>
      </c>
      <c r="R53" s="356">
        <v>5</v>
      </c>
      <c r="S53" s="356">
        <v>5</v>
      </c>
      <c r="T53" s="356">
        <v>3</v>
      </c>
      <c r="U53" s="356">
        <v>12</v>
      </c>
      <c r="V53" s="356">
        <v>14</v>
      </c>
      <c r="W53" s="356">
        <v>12</v>
      </c>
      <c r="X53" s="356">
        <v>10</v>
      </c>
      <c r="Y53" s="356">
        <v>4</v>
      </c>
      <c r="Z53" s="356">
        <v>9</v>
      </c>
      <c r="AA53" s="356">
        <v>4</v>
      </c>
      <c r="AB53" s="356">
        <v>14</v>
      </c>
      <c r="AC53" s="356">
        <v>6</v>
      </c>
      <c r="AD53" s="356">
        <v>7</v>
      </c>
      <c r="AE53" s="356">
        <v>11</v>
      </c>
      <c r="AF53" s="356">
        <v>5</v>
      </c>
      <c r="AG53" s="356">
        <v>7</v>
      </c>
      <c r="AH53" s="356">
        <v>2</v>
      </c>
      <c r="AI53" s="356">
        <v>6</v>
      </c>
      <c r="AJ53" s="356">
        <v>13</v>
      </c>
      <c r="AK53" s="356">
        <v>8</v>
      </c>
      <c r="AL53" s="356">
        <v>10</v>
      </c>
      <c r="AM53" s="356">
        <v>8</v>
      </c>
      <c r="AN53" s="356">
        <v>14</v>
      </c>
      <c r="AO53" s="356">
        <v>11</v>
      </c>
      <c r="AP53" s="356">
        <v>2</v>
      </c>
      <c r="AQ53" s="356">
        <v>15</v>
      </c>
      <c r="AR53" s="356">
        <v>3</v>
      </c>
      <c r="AS53" s="356">
        <v>11</v>
      </c>
      <c r="AT53" s="356">
        <v>9</v>
      </c>
      <c r="AU53" s="356">
        <v>7</v>
      </c>
      <c r="AV53" s="356">
        <v>9</v>
      </c>
      <c r="AW53" s="356">
        <v>8</v>
      </c>
      <c r="AX53" s="356">
        <v>14</v>
      </c>
      <c r="AY53" s="356">
        <v>9</v>
      </c>
      <c r="AZ53" s="356">
        <v>11</v>
      </c>
      <c r="BA53" s="356">
        <v>11</v>
      </c>
      <c r="BB53" s="356">
        <v>1</v>
      </c>
      <c r="BD53" s="353">
        <f t="shared" si="0"/>
        <v>86</v>
      </c>
      <c r="BE53" s="353">
        <f t="shared" si="1"/>
        <v>93</v>
      </c>
      <c r="BF53" s="353">
        <f t="shared" si="2"/>
        <v>97</v>
      </c>
      <c r="BG53" s="353">
        <f t="shared" si="3"/>
        <v>78</v>
      </c>
    </row>
    <row r="54" spans="2:59">
      <c r="B54" s="354">
        <v>46</v>
      </c>
      <c r="C54" s="743" t="s">
        <v>658</v>
      </c>
      <c r="D54" s="744" t="s">
        <v>658</v>
      </c>
      <c r="E54" s="744" t="s">
        <v>658</v>
      </c>
      <c r="F54" s="355">
        <v>1099372505</v>
      </c>
      <c r="G54" s="356">
        <v>3</v>
      </c>
      <c r="H54" s="356">
        <v>0</v>
      </c>
      <c r="I54" s="356">
        <v>7</v>
      </c>
      <c r="J54" s="356">
        <v>8</v>
      </c>
      <c r="K54" s="356">
        <v>3</v>
      </c>
      <c r="L54" s="356">
        <v>0</v>
      </c>
      <c r="M54" s="356">
        <v>8</v>
      </c>
      <c r="N54" s="356">
        <v>8</v>
      </c>
      <c r="O54" s="356">
        <v>3</v>
      </c>
      <c r="P54" s="356">
        <v>3</v>
      </c>
      <c r="Q54" s="356">
        <v>4</v>
      </c>
      <c r="R54" s="356">
        <v>1</v>
      </c>
      <c r="S54" s="356">
        <v>10</v>
      </c>
      <c r="T54" s="356">
        <v>7</v>
      </c>
      <c r="U54" s="356">
        <v>15</v>
      </c>
      <c r="V54" s="356">
        <v>6</v>
      </c>
      <c r="W54" s="356">
        <v>15</v>
      </c>
      <c r="X54" s="356">
        <v>14</v>
      </c>
      <c r="Y54" s="356">
        <v>9</v>
      </c>
      <c r="Z54" s="356">
        <v>2</v>
      </c>
      <c r="AA54" s="356">
        <v>12</v>
      </c>
      <c r="AB54" s="356">
        <v>6</v>
      </c>
      <c r="AC54" s="356">
        <v>14</v>
      </c>
      <c r="AD54" s="356">
        <v>7</v>
      </c>
      <c r="AE54" s="356">
        <v>5</v>
      </c>
      <c r="AF54" s="356">
        <v>5</v>
      </c>
      <c r="AG54" s="356">
        <v>6</v>
      </c>
      <c r="AH54" s="356">
        <v>7</v>
      </c>
      <c r="AI54" s="356">
        <v>13</v>
      </c>
      <c r="AJ54" s="356">
        <v>1</v>
      </c>
      <c r="AK54" s="356">
        <v>5</v>
      </c>
      <c r="AL54" s="356">
        <v>5</v>
      </c>
      <c r="AM54" s="356">
        <v>6</v>
      </c>
      <c r="AN54" s="356">
        <v>3</v>
      </c>
      <c r="AO54" s="356">
        <v>6</v>
      </c>
      <c r="AP54" s="356">
        <v>7</v>
      </c>
      <c r="AQ54" s="356">
        <v>12</v>
      </c>
      <c r="AR54" s="356">
        <v>15</v>
      </c>
      <c r="AS54" s="356">
        <v>8</v>
      </c>
      <c r="AT54" s="356">
        <v>6</v>
      </c>
      <c r="AU54" s="356">
        <v>3</v>
      </c>
      <c r="AV54" s="356">
        <v>11</v>
      </c>
      <c r="AW54" s="356">
        <v>11</v>
      </c>
      <c r="AX54" s="356">
        <v>9</v>
      </c>
      <c r="AY54" s="356">
        <v>3</v>
      </c>
      <c r="AZ54" s="356">
        <v>3</v>
      </c>
      <c r="BA54" s="356">
        <v>2</v>
      </c>
      <c r="BB54" s="356">
        <v>14</v>
      </c>
      <c r="BD54" s="353">
        <f t="shared" si="0"/>
        <v>93</v>
      </c>
      <c r="BE54" s="353">
        <f t="shared" si="1"/>
        <v>88</v>
      </c>
      <c r="BF54" s="353">
        <f t="shared" si="2"/>
        <v>95</v>
      </c>
      <c r="BG54" s="353">
        <f t="shared" si="3"/>
        <v>85</v>
      </c>
    </row>
    <row r="55" spans="2:59">
      <c r="B55" s="354">
        <v>47</v>
      </c>
      <c r="C55" s="743" t="s">
        <v>657</v>
      </c>
      <c r="D55" s="744" t="s">
        <v>657</v>
      </c>
      <c r="E55" s="744" t="s">
        <v>657</v>
      </c>
      <c r="F55" s="355">
        <v>1002362906</v>
      </c>
      <c r="G55" s="356">
        <v>13</v>
      </c>
      <c r="H55" s="356">
        <v>12</v>
      </c>
      <c r="I55" s="356">
        <v>3</v>
      </c>
      <c r="J55" s="356">
        <v>10</v>
      </c>
      <c r="K55" s="356">
        <v>1</v>
      </c>
      <c r="L55" s="356">
        <v>14</v>
      </c>
      <c r="M55" s="356">
        <v>5</v>
      </c>
      <c r="N55" s="356">
        <v>1</v>
      </c>
      <c r="O55" s="356">
        <v>3</v>
      </c>
      <c r="P55" s="356">
        <v>3</v>
      </c>
      <c r="Q55" s="356">
        <v>2</v>
      </c>
      <c r="R55" s="356">
        <v>0</v>
      </c>
      <c r="S55" s="356">
        <v>2</v>
      </c>
      <c r="T55" s="356">
        <v>10</v>
      </c>
      <c r="U55" s="356">
        <v>1</v>
      </c>
      <c r="V55" s="356">
        <v>13</v>
      </c>
      <c r="W55" s="356">
        <v>9</v>
      </c>
      <c r="X55" s="356">
        <v>8</v>
      </c>
      <c r="Y55" s="356">
        <v>14</v>
      </c>
      <c r="Z55" s="356">
        <v>5</v>
      </c>
      <c r="AA55" s="356">
        <v>0</v>
      </c>
      <c r="AB55" s="356">
        <v>11</v>
      </c>
      <c r="AC55" s="356">
        <v>5</v>
      </c>
      <c r="AD55" s="356">
        <v>3</v>
      </c>
      <c r="AE55" s="356">
        <v>5</v>
      </c>
      <c r="AF55" s="356">
        <v>15</v>
      </c>
      <c r="AG55" s="356">
        <v>8</v>
      </c>
      <c r="AH55" s="356">
        <v>9</v>
      </c>
      <c r="AI55" s="356">
        <v>10</v>
      </c>
      <c r="AJ55" s="356">
        <v>9</v>
      </c>
      <c r="AK55" s="356">
        <v>8</v>
      </c>
      <c r="AL55" s="356">
        <v>6</v>
      </c>
      <c r="AM55" s="356">
        <v>3</v>
      </c>
      <c r="AN55" s="356">
        <v>2</v>
      </c>
      <c r="AO55" s="356">
        <v>13</v>
      </c>
      <c r="AP55" s="356">
        <v>9</v>
      </c>
      <c r="AQ55" s="356">
        <v>14</v>
      </c>
      <c r="AR55" s="356">
        <v>6</v>
      </c>
      <c r="AS55" s="356">
        <v>0</v>
      </c>
      <c r="AT55" s="356">
        <v>8</v>
      </c>
      <c r="AU55" s="356">
        <v>4</v>
      </c>
      <c r="AV55" s="356">
        <v>0</v>
      </c>
      <c r="AW55" s="356">
        <v>1</v>
      </c>
      <c r="AX55" s="356">
        <v>8</v>
      </c>
      <c r="AY55" s="356">
        <v>15</v>
      </c>
      <c r="AZ55" s="356">
        <v>0</v>
      </c>
      <c r="BA55" s="356">
        <v>0</v>
      </c>
      <c r="BB55" s="356">
        <v>9</v>
      </c>
      <c r="BD55" s="353">
        <f t="shared" si="0"/>
        <v>60</v>
      </c>
      <c r="BE55" s="353">
        <f t="shared" si="1"/>
        <v>79</v>
      </c>
      <c r="BF55" s="353">
        <f t="shared" si="2"/>
        <v>60</v>
      </c>
      <c r="BG55" s="353">
        <f t="shared" si="3"/>
        <v>66</v>
      </c>
    </row>
    <row r="56" spans="2:59">
      <c r="B56" s="354">
        <v>48</v>
      </c>
      <c r="C56" s="743" t="s">
        <v>656</v>
      </c>
      <c r="D56" s="744" t="s">
        <v>656</v>
      </c>
      <c r="E56" s="744" t="s">
        <v>656</v>
      </c>
      <c r="F56" s="355">
        <v>1050547261</v>
      </c>
      <c r="G56" s="356">
        <v>11</v>
      </c>
      <c r="H56" s="356">
        <v>1</v>
      </c>
      <c r="I56" s="356">
        <v>7</v>
      </c>
      <c r="J56" s="356">
        <v>11</v>
      </c>
      <c r="K56" s="356">
        <v>7</v>
      </c>
      <c r="L56" s="356">
        <v>0</v>
      </c>
      <c r="M56" s="356">
        <v>10</v>
      </c>
      <c r="N56" s="356">
        <v>4</v>
      </c>
      <c r="O56" s="356">
        <v>5</v>
      </c>
      <c r="P56" s="356">
        <v>4</v>
      </c>
      <c r="Q56" s="356">
        <v>6</v>
      </c>
      <c r="R56" s="356">
        <v>15</v>
      </c>
      <c r="S56" s="356">
        <v>8</v>
      </c>
      <c r="T56" s="356">
        <v>11</v>
      </c>
      <c r="U56" s="356">
        <v>2</v>
      </c>
      <c r="V56" s="356">
        <v>12</v>
      </c>
      <c r="W56" s="356">
        <v>14</v>
      </c>
      <c r="X56" s="356">
        <v>3</v>
      </c>
      <c r="Y56" s="356">
        <v>6</v>
      </c>
      <c r="Z56" s="356">
        <v>11</v>
      </c>
      <c r="AA56" s="356">
        <v>1</v>
      </c>
      <c r="AB56" s="356">
        <v>3</v>
      </c>
      <c r="AC56" s="356">
        <v>10</v>
      </c>
      <c r="AD56" s="356">
        <v>2</v>
      </c>
      <c r="AE56" s="356">
        <v>6</v>
      </c>
      <c r="AF56" s="356">
        <v>13</v>
      </c>
      <c r="AG56" s="356">
        <v>15</v>
      </c>
      <c r="AH56" s="356">
        <v>4</v>
      </c>
      <c r="AI56" s="356">
        <v>13</v>
      </c>
      <c r="AJ56" s="356">
        <v>9</v>
      </c>
      <c r="AK56" s="356">
        <v>2</v>
      </c>
      <c r="AL56" s="356">
        <v>2</v>
      </c>
      <c r="AM56" s="356">
        <v>14</v>
      </c>
      <c r="AN56" s="356">
        <v>12</v>
      </c>
      <c r="AO56" s="356">
        <v>0</v>
      </c>
      <c r="AP56" s="356">
        <v>7</v>
      </c>
      <c r="AQ56" s="356">
        <v>6</v>
      </c>
      <c r="AR56" s="356">
        <v>6</v>
      </c>
      <c r="AS56" s="356">
        <v>12</v>
      </c>
      <c r="AT56" s="356">
        <v>8</v>
      </c>
      <c r="AU56" s="356">
        <v>6</v>
      </c>
      <c r="AV56" s="356">
        <v>8</v>
      </c>
      <c r="AW56" s="356">
        <v>0</v>
      </c>
      <c r="AX56" s="356">
        <v>8</v>
      </c>
      <c r="AY56" s="356">
        <v>9</v>
      </c>
      <c r="AZ56" s="356">
        <v>7</v>
      </c>
      <c r="BA56" s="356">
        <v>2</v>
      </c>
      <c r="BB56" s="356">
        <v>3</v>
      </c>
      <c r="BD56" s="353">
        <f t="shared" si="0"/>
        <v>70</v>
      </c>
      <c r="BE56" s="353">
        <f t="shared" si="1"/>
        <v>100</v>
      </c>
      <c r="BF56" s="353">
        <f t="shared" si="2"/>
        <v>72</v>
      </c>
      <c r="BG56" s="353">
        <f t="shared" si="3"/>
        <v>89</v>
      </c>
    </row>
    <row r="57" spans="2:59">
      <c r="B57" s="354">
        <v>49</v>
      </c>
      <c r="C57" s="743" t="s">
        <v>655</v>
      </c>
      <c r="D57" s="744" t="s">
        <v>655</v>
      </c>
      <c r="E57" s="744" t="s">
        <v>655</v>
      </c>
      <c r="F57" s="355">
        <v>28213494</v>
      </c>
      <c r="G57" s="356">
        <v>8</v>
      </c>
      <c r="H57" s="356">
        <v>7</v>
      </c>
      <c r="I57" s="356">
        <v>7</v>
      </c>
      <c r="J57" s="356">
        <v>2</v>
      </c>
      <c r="K57" s="356">
        <v>3</v>
      </c>
      <c r="L57" s="356">
        <v>2</v>
      </c>
      <c r="M57" s="356">
        <v>11</v>
      </c>
      <c r="N57" s="356">
        <v>7</v>
      </c>
      <c r="O57" s="356">
        <v>2</v>
      </c>
      <c r="P57" s="356">
        <v>3</v>
      </c>
      <c r="Q57" s="356">
        <v>6</v>
      </c>
      <c r="R57" s="356">
        <v>4</v>
      </c>
      <c r="S57" s="356">
        <v>3</v>
      </c>
      <c r="T57" s="356">
        <v>1</v>
      </c>
      <c r="U57" s="356">
        <v>3</v>
      </c>
      <c r="V57" s="356">
        <v>2</v>
      </c>
      <c r="W57" s="356">
        <v>7</v>
      </c>
      <c r="X57" s="356">
        <v>12</v>
      </c>
      <c r="Y57" s="356">
        <v>12</v>
      </c>
      <c r="Z57" s="356">
        <v>11</v>
      </c>
      <c r="AA57" s="356">
        <v>2</v>
      </c>
      <c r="AB57" s="356">
        <v>0</v>
      </c>
      <c r="AC57" s="356">
        <v>7</v>
      </c>
      <c r="AD57" s="356">
        <v>13</v>
      </c>
      <c r="AE57" s="356">
        <v>15</v>
      </c>
      <c r="AF57" s="356">
        <v>10</v>
      </c>
      <c r="AG57" s="356">
        <v>8</v>
      </c>
      <c r="AH57" s="356">
        <v>13</v>
      </c>
      <c r="AI57" s="356">
        <v>4</v>
      </c>
      <c r="AJ57" s="356">
        <v>15</v>
      </c>
      <c r="AK57" s="356">
        <v>10</v>
      </c>
      <c r="AL57" s="356">
        <v>4</v>
      </c>
      <c r="AM57" s="356">
        <v>9</v>
      </c>
      <c r="AN57" s="356">
        <v>8</v>
      </c>
      <c r="AO57" s="356">
        <v>14</v>
      </c>
      <c r="AP57" s="356">
        <v>9</v>
      </c>
      <c r="AQ57" s="356">
        <v>15</v>
      </c>
      <c r="AR57" s="356">
        <v>11</v>
      </c>
      <c r="AS57" s="356">
        <v>9</v>
      </c>
      <c r="AT57" s="356">
        <v>3</v>
      </c>
      <c r="AU57" s="356">
        <v>8</v>
      </c>
      <c r="AV57" s="356">
        <v>10</v>
      </c>
      <c r="AW57" s="356">
        <v>9</v>
      </c>
      <c r="AX57" s="356">
        <v>11</v>
      </c>
      <c r="AY57" s="356">
        <v>2</v>
      </c>
      <c r="AZ57" s="356">
        <v>1</v>
      </c>
      <c r="BA57" s="356">
        <v>1</v>
      </c>
      <c r="BB57" s="356">
        <v>1</v>
      </c>
      <c r="BD57" s="353">
        <f t="shared" si="0"/>
        <v>96</v>
      </c>
      <c r="BE57" s="353">
        <f t="shared" si="1"/>
        <v>78</v>
      </c>
      <c r="BF57" s="353">
        <f t="shared" si="2"/>
        <v>97</v>
      </c>
      <c r="BG57" s="353">
        <f t="shared" si="3"/>
        <v>70</v>
      </c>
    </row>
    <row r="58" spans="2:59">
      <c r="B58" s="354">
        <v>50</v>
      </c>
      <c r="C58" s="743" t="s">
        <v>654</v>
      </c>
      <c r="D58" s="744" t="s">
        <v>654</v>
      </c>
      <c r="E58" s="744" t="s">
        <v>654</v>
      </c>
      <c r="F58" s="355">
        <v>2113191</v>
      </c>
      <c r="G58" s="356">
        <v>7</v>
      </c>
      <c r="H58" s="356">
        <v>15</v>
      </c>
      <c r="I58" s="356">
        <v>10</v>
      </c>
      <c r="J58" s="356">
        <v>3</v>
      </c>
      <c r="K58" s="356">
        <v>12</v>
      </c>
      <c r="L58" s="356">
        <v>10</v>
      </c>
      <c r="M58" s="356">
        <v>0</v>
      </c>
      <c r="N58" s="356">
        <v>6</v>
      </c>
      <c r="O58" s="356">
        <v>12</v>
      </c>
      <c r="P58" s="356">
        <v>10</v>
      </c>
      <c r="Q58" s="356">
        <v>1</v>
      </c>
      <c r="R58" s="356">
        <v>13</v>
      </c>
      <c r="S58" s="356">
        <v>2</v>
      </c>
      <c r="T58" s="356">
        <v>9</v>
      </c>
      <c r="U58" s="356">
        <v>4</v>
      </c>
      <c r="V58" s="356">
        <v>0</v>
      </c>
      <c r="W58" s="356">
        <v>13</v>
      </c>
      <c r="X58" s="356">
        <v>12</v>
      </c>
      <c r="Y58" s="356">
        <v>9</v>
      </c>
      <c r="Z58" s="356">
        <v>9</v>
      </c>
      <c r="AA58" s="356">
        <v>1</v>
      </c>
      <c r="AB58" s="356">
        <v>15</v>
      </c>
      <c r="AC58" s="356">
        <v>12</v>
      </c>
      <c r="AD58" s="356">
        <v>12</v>
      </c>
      <c r="AE58" s="356">
        <v>1</v>
      </c>
      <c r="AF58" s="356">
        <v>12</v>
      </c>
      <c r="AG58" s="356">
        <v>11</v>
      </c>
      <c r="AH58" s="356">
        <v>2</v>
      </c>
      <c r="AI58" s="356">
        <v>0</v>
      </c>
      <c r="AJ58" s="356">
        <v>9</v>
      </c>
      <c r="AK58" s="356">
        <v>11</v>
      </c>
      <c r="AL58" s="356">
        <v>1</v>
      </c>
      <c r="AM58" s="356">
        <v>8</v>
      </c>
      <c r="AN58" s="356">
        <v>2</v>
      </c>
      <c r="AO58" s="356">
        <v>5</v>
      </c>
      <c r="AP58" s="356">
        <v>2</v>
      </c>
      <c r="AQ58" s="356">
        <v>5</v>
      </c>
      <c r="AR58" s="356">
        <v>2</v>
      </c>
      <c r="AS58" s="356">
        <v>3</v>
      </c>
      <c r="AT58" s="356">
        <v>12</v>
      </c>
      <c r="AU58" s="356">
        <v>1</v>
      </c>
      <c r="AV58" s="356">
        <v>1</v>
      </c>
      <c r="AW58" s="356">
        <v>15</v>
      </c>
      <c r="AX58" s="356">
        <v>8</v>
      </c>
      <c r="AY58" s="356">
        <v>12</v>
      </c>
      <c r="AZ58" s="356">
        <v>11</v>
      </c>
      <c r="BA58" s="356">
        <v>3</v>
      </c>
      <c r="BB58" s="356">
        <v>3</v>
      </c>
      <c r="BD58" s="353">
        <f t="shared" si="0"/>
        <v>81</v>
      </c>
      <c r="BE58" s="353">
        <f t="shared" si="1"/>
        <v>74</v>
      </c>
      <c r="BF58" s="353">
        <f t="shared" si="2"/>
        <v>84</v>
      </c>
      <c r="BG58" s="353">
        <f t="shared" si="3"/>
        <v>67</v>
      </c>
    </row>
    <row r="59" spans="2:59">
      <c r="B59" s="354">
        <v>51</v>
      </c>
      <c r="C59" s="743" t="s">
        <v>653</v>
      </c>
      <c r="D59" s="744" t="s">
        <v>653</v>
      </c>
      <c r="E59" s="744" t="s">
        <v>653</v>
      </c>
      <c r="F59" s="355">
        <v>1005449547</v>
      </c>
      <c r="G59" s="356">
        <v>13</v>
      </c>
      <c r="H59" s="356">
        <v>9</v>
      </c>
      <c r="I59" s="356">
        <v>3</v>
      </c>
      <c r="J59" s="356">
        <v>9</v>
      </c>
      <c r="K59" s="356">
        <v>2</v>
      </c>
      <c r="L59" s="356">
        <v>7</v>
      </c>
      <c r="M59" s="356">
        <v>5</v>
      </c>
      <c r="N59" s="356">
        <v>12</v>
      </c>
      <c r="O59" s="356">
        <v>4</v>
      </c>
      <c r="P59" s="356">
        <v>7</v>
      </c>
      <c r="Q59" s="356">
        <v>12</v>
      </c>
      <c r="R59" s="356">
        <v>12</v>
      </c>
      <c r="S59" s="356">
        <v>7</v>
      </c>
      <c r="T59" s="356">
        <v>2</v>
      </c>
      <c r="U59" s="356">
        <v>11</v>
      </c>
      <c r="V59" s="356">
        <v>1</v>
      </c>
      <c r="W59" s="356">
        <v>4</v>
      </c>
      <c r="X59" s="356">
        <v>14</v>
      </c>
      <c r="Y59" s="356">
        <v>0</v>
      </c>
      <c r="Z59" s="356">
        <v>3</v>
      </c>
      <c r="AA59" s="356">
        <v>4</v>
      </c>
      <c r="AB59" s="356">
        <v>10</v>
      </c>
      <c r="AC59" s="356">
        <v>8</v>
      </c>
      <c r="AD59" s="356">
        <v>5</v>
      </c>
      <c r="AE59" s="356">
        <v>4</v>
      </c>
      <c r="AF59" s="356">
        <v>10</v>
      </c>
      <c r="AG59" s="356">
        <v>1</v>
      </c>
      <c r="AH59" s="356">
        <v>5</v>
      </c>
      <c r="AI59" s="356">
        <v>12</v>
      </c>
      <c r="AJ59" s="356">
        <v>14</v>
      </c>
      <c r="AK59" s="356">
        <v>8</v>
      </c>
      <c r="AL59" s="356">
        <v>11</v>
      </c>
      <c r="AM59" s="356">
        <v>9</v>
      </c>
      <c r="AN59" s="356">
        <v>9</v>
      </c>
      <c r="AO59" s="356">
        <v>6</v>
      </c>
      <c r="AP59" s="356">
        <v>4</v>
      </c>
      <c r="AQ59" s="356">
        <v>13</v>
      </c>
      <c r="AR59" s="356">
        <v>9</v>
      </c>
      <c r="AS59" s="356">
        <v>1</v>
      </c>
      <c r="AT59" s="356">
        <v>11</v>
      </c>
      <c r="AU59" s="356">
        <v>12</v>
      </c>
      <c r="AV59" s="356">
        <v>12</v>
      </c>
      <c r="AW59" s="356">
        <v>2</v>
      </c>
      <c r="AX59" s="356">
        <v>5</v>
      </c>
      <c r="AY59" s="356">
        <v>5</v>
      </c>
      <c r="AZ59" s="356">
        <v>8</v>
      </c>
      <c r="BA59" s="356">
        <v>6</v>
      </c>
      <c r="BB59" s="356">
        <v>15</v>
      </c>
      <c r="BD59" s="353">
        <f t="shared" si="0"/>
        <v>57</v>
      </c>
      <c r="BE59" s="353">
        <f t="shared" si="1"/>
        <v>89</v>
      </c>
      <c r="BF59" s="353">
        <f t="shared" si="2"/>
        <v>63</v>
      </c>
      <c r="BG59" s="353">
        <f t="shared" si="3"/>
        <v>76</v>
      </c>
    </row>
    <row r="60" spans="2:59">
      <c r="B60" s="354">
        <v>52</v>
      </c>
      <c r="C60" s="743" t="s">
        <v>652</v>
      </c>
      <c r="D60" s="744" t="s">
        <v>652</v>
      </c>
      <c r="E60" s="744" t="s">
        <v>652</v>
      </c>
      <c r="F60" s="355">
        <v>1005344923</v>
      </c>
      <c r="G60" s="356">
        <v>7</v>
      </c>
      <c r="H60" s="356">
        <v>13</v>
      </c>
      <c r="I60" s="356">
        <v>9</v>
      </c>
      <c r="J60" s="356">
        <v>7</v>
      </c>
      <c r="K60" s="356">
        <v>0</v>
      </c>
      <c r="L60" s="356">
        <v>4</v>
      </c>
      <c r="M60" s="356">
        <v>10</v>
      </c>
      <c r="N60" s="356">
        <v>14</v>
      </c>
      <c r="O60" s="356">
        <v>5</v>
      </c>
      <c r="P60" s="356">
        <v>7</v>
      </c>
      <c r="Q60" s="356">
        <v>12</v>
      </c>
      <c r="R60" s="356">
        <v>15</v>
      </c>
      <c r="S60" s="356">
        <v>4</v>
      </c>
      <c r="T60" s="356">
        <v>6</v>
      </c>
      <c r="U60" s="356">
        <v>7</v>
      </c>
      <c r="V60" s="356">
        <v>10</v>
      </c>
      <c r="W60" s="356">
        <v>8</v>
      </c>
      <c r="X60" s="356">
        <v>3</v>
      </c>
      <c r="Y60" s="356">
        <v>9</v>
      </c>
      <c r="Z60" s="356">
        <v>4</v>
      </c>
      <c r="AA60" s="356">
        <v>9</v>
      </c>
      <c r="AB60" s="356">
        <v>2</v>
      </c>
      <c r="AC60" s="356">
        <v>0</v>
      </c>
      <c r="AD60" s="356">
        <v>13</v>
      </c>
      <c r="AE60" s="356">
        <v>12</v>
      </c>
      <c r="AF60" s="356">
        <v>6</v>
      </c>
      <c r="AG60" s="356">
        <v>10</v>
      </c>
      <c r="AH60" s="356">
        <v>15</v>
      </c>
      <c r="AI60" s="356">
        <v>12</v>
      </c>
      <c r="AJ60" s="356">
        <v>15</v>
      </c>
      <c r="AK60" s="356">
        <v>3</v>
      </c>
      <c r="AL60" s="356">
        <v>8</v>
      </c>
      <c r="AM60" s="356">
        <v>12</v>
      </c>
      <c r="AN60" s="356">
        <v>9</v>
      </c>
      <c r="AO60" s="356">
        <v>6</v>
      </c>
      <c r="AP60" s="356">
        <v>14</v>
      </c>
      <c r="AQ60" s="356">
        <v>11</v>
      </c>
      <c r="AR60" s="356">
        <v>15</v>
      </c>
      <c r="AS60" s="356">
        <v>7</v>
      </c>
      <c r="AT60" s="356">
        <v>1</v>
      </c>
      <c r="AU60" s="356">
        <v>6</v>
      </c>
      <c r="AV60" s="356">
        <v>4</v>
      </c>
      <c r="AW60" s="356">
        <v>1</v>
      </c>
      <c r="AX60" s="356">
        <v>13</v>
      </c>
      <c r="AY60" s="356">
        <v>14</v>
      </c>
      <c r="AZ60" s="356">
        <v>12</v>
      </c>
      <c r="BA60" s="356">
        <v>9</v>
      </c>
      <c r="BB60" s="356">
        <v>5</v>
      </c>
      <c r="BD60" s="353">
        <f t="shared" si="0"/>
        <v>74</v>
      </c>
      <c r="BE60" s="353">
        <f t="shared" si="1"/>
        <v>100</v>
      </c>
      <c r="BF60" s="353">
        <f t="shared" si="2"/>
        <v>83</v>
      </c>
      <c r="BG60" s="353">
        <f t="shared" si="3"/>
        <v>93</v>
      </c>
    </row>
    <row r="61" spans="2:59">
      <c r="B61" s="354">
        <v>53</v>
      </c>
      <c r="C61" s="743" t="s">
        <v>651</v>
      </c>
      <c r="D61" s="744" t="s">
        <v>651</v>
      </c>
      <c r="E61" s="744" t="s">
        <v>651</v>
      </c>
      <c r="F61" s="355">
        <v>1095315813</v>
      </c>
      <c r="G61" s="356">
        <v>8</v>
      </c>
      <c r="H61" s="356">
        <v>10</v>
      </c>
      <c r="I61" s="356">
        <v>6</v>
      </c>
      <c r="J61" s="356">
        <v>9</v>
      </c>
      <c r="K61" s="356">
        <v>3</v>
      </c>
      <c r="L61" s="356">
        <v>10</v>
      </c>
      <c r="M61" s="356">
        <v>7</v>
      </c>
      <c r="N61" s="356">
        <v>14</v>
      </c>
      <c r="O61" s="356">
        <v>2</v>
      </c>
      <c r="P61" s="356">
        <v>10</v>
      </c>
      <c r="Q61" s="356">
        <v>8</v>
      </c>
      <c r="R61" s="356">
        <v>2</v>
      </c>
      <c r="S61" s="356">
        <v>1</v>
      </c>
      <c r="T61" s="356">
        <v>12</v>
      </c>
      <c r="U61" s="356">
        <v>12</v>
      </c>
      <c r="V61" s="356">
        <v>7</v>
      </c>
      <c r="W61" s="356">
        <v>5</v>
      </c>
      <c r="X61" s="356">
        <v>7</v>
      </c>
      <c r="Y61" s="356">
        <v>6</v>
      </c>
      <c r="Z61" s="356">
        <v>14</v>
      </c>
      <c r="AA61" s="356">
        <v>3</v>
      </c>
      <c r="AB61" s="356">
        <v>8</v>
      </c>
      <c r="AC61" s="356">
        <v>1</v>
      </c>
      <c r="AD61" s="356">
        <v>10</v>
      </c>
      <c r="AE61" s="356">
        <v>2</v>
      </c>
      <c r="AF61" s="356">
        <v>13</v>
      </c>
      <c r="AG61" s="356">
        <v>6</v>
      </c>
      <c r="AH61" s="356">
        <v>12</v>
      </c>
      <c r="AI61" s="356">
        <v>15</v>
      </c>
      <c r="AJ61" s="356">
        <v>4</v>
      </c>
      <c r="AK61" s="356">
        <v>11</v>
      </c>
      <c r="AL61" s="356">
        <v>14</v>
      </c>
      <c r="AM61" s="356">
        <v>9</v>
      </c>
      <c r="AN61" s="356">
        <v>14</v>
      </c>
      <c r="AO61" s="356">
        <v>3</v>
      </c>
      <c r="AP61" s="356">
        <v>10</v>
      </c>
      <c r="AQ61" s="356">
        <v>12</v>
      </c>
      <c r="AR61" s="356">
        <v>6</v>
      </c>
      <c r="AS61" s="356">
        <v>11</v>
      </c>
      <c r="AT61" s="356">
        <v>14</v>
      </c>
      <c r="AU61" s="356">
        <v>2</v>
      </c>
      <c r="AV61" s="356">
        <v>8</v>
      </c>
      <c r="AW61" s="356">
        <v>7</v>
      </c>
      <c r="AX61" s="356">
        <v>7</v>
      </c>
      <c r="AY61" s="356">
        <v>1</v>
      </c>
      <c r="AZ61" s="356">
        <v>7</v>
      </c>
      <c r="BA61" s="356">
        <v>4</v>
      </c>
      <c r="BB61" s="356">
        <v>9</v>
      </c>
      <c r="BD61" s="353">
        <f t="shared" si="0"/>
        <v>78</v>
      </c>
      <c r="BE61" s="353">
        <f t="shared" si="1"/>
        <v>63</v>
      </c>
      <c r="BF61" s="353">
        <f t="shared" si="2"/>
        <v>82</v>
      </c>
      <c r="BG61" s="353">
        <f t="shared" si="3"/>
        <v>55</v>
      </c>
    </row>
    <row r="62" spans="2:59">
      <c r="B62" s="354">
        <v>54</v>
      </c>
      <c r="C62" s="743" t="s">
        <v>650</v>
      </c>
      <c r="D62" s="744" t="s">
        <v>650</v>
      </c>
      <c r="E62" s="744" t="s">
        <v>650</v>
      </c>
      <c r="F62" s="355">
        <v>1095315813</v>
      </c>
      <c r="G62" s="356">
        <v>15</v>
      </c>
      <c r="H62" s="356">
        <v>4</v>
      </c>
      <c r="I62" s="356">
        <v>10</v>
      </c>
      <c r="J62" s="356">
        <v>10</v>
      </c>
      <c r="K62" s="356">
        <v>15</v>
      </c>
      <c r="L62" s="356">
        <v>15</v>
      </c>
      <c r="M62" s="356">
        <v>5</v>
      </c>
      <c r="N62" s="356">
        <v>13</v>
      </c>
      <c r="O62" s="356">
        <v>0</v>
      </c>
      <c r="P62" s="356">
        <v>1</v>
      </c>
      <c r="Q62" s="356">
        <v>5</v>
      </c>
      <c r="R62" s="356">
        <v>2</v>
      </c>
      <c r="S62" s="356">
        <v>3</v>
      </c>
      <c r="T62" s="356">
        <v>14</v>
      </c>
      <c r="U62" s="356">
        <v>0</v>
      </c>
      <c r="V62" s="356">
        <v>7</v>
      </c>
      <c r="W62" s="356">
        <v>5</v>
      </c>
      <c r="X62" s="356">
        <v>5</v>
      </c>
      <c r="Y62" s="356">
        <v>0</v>
      </c>
      <c r="Z62" s="356">
        <v>5</v>
      </c>
      <c r="AA62" s="356">
        <v>1</v>
      </c>
      <c r="AB62" s="356">
        <v>15</v>
      </c>
      <c r="AC62" s="356">
        <v>3</v>
      </c>
      <c r="AD62" s="356">
        <v>0</v>
      </c>
      <c r="AE62" s="356">
        <v>10</v>
      </c>
      <c r="AF62" s="356">
        <v>14</v>
      </c>
      <c r="AG62" s="356">
        <v>6</v>
      </c>
      <c r="AH62" s="356">
        <v>14</v>
      </c>
      <c r="AI62" s="356">
        <v>8</v>
      </c>
      <c r="AJ62" s="356">
        <v>7</v>
      </c>
      <c r="AK62" s="356">
        <v>6</v>
      </c>
      <c r="AL62" s="356">
        <v>4</v>
      </c>
      <c r="AM62" s="356">
        <v>11</v>
      </c>
      <c r="AN62" s="356">
        <v>3</v>
      </c>
      <c r="AO62" s="356">
        <v>3</v>
      </c>
      <c r="AP62" s="356">
        <v>0</v>
      </c>
      <c r="AQ62" s="356">
        <v>5</v>
      </c>
      <c r="AR62" s="356">
        <v>11</v>
      </c>
      <c r="AS62" s="356">
        <v>7</v>
      </c>
      <c r="AT62" s="356">
        <v>8</v>
      </c>
      <c r="AU62" s="356">
        <v>15</v>
      </c>
      <c r="AV62" s="356">
        <v>14</v>
      </c>
      <c r="AW62" s="356">
        <v>3</v>
      </c>
      <c r="AX62" s="356">
        <v>0</v>
      </c>
      <c r="AY62" s="356">
        <v>10</v>
      </c>
      <c r="AZ62" s="356">
        <v>6</v>
      </c>
      <c r="BA62" s="356">
        <v>11</v>
      </c>
      <c r="BB62" s="356">
        <v>11</v>
      </c>
      <c r="BD62" s="353">
        <f t="shared" si="0"/>
        <v>48</v>
      </c>
      <c r="BE62" s="353">
        <f t="shared" si="1"/>
        <v>98</v>
      </c>
      <c r="BF62" s="353">
        <f t="shared" si="2"/>
        <v>59</v>
      </c>
      <c r="BG62" s="353">
        <f t="shared" si="3"/>
        <v>83</v>
      </c>
    </row>
    <row r="63" spans="2:59">
      <c r="B63" s="354">
        <v>55</v>
      </c>
      <c r="C63" s="743" t="s">
        <v>649</v>
      </c>
      <c r="D63" s="744" t="s">
        <v>649</v>
      </c>
      <c r="E63" s="744" t="s">
        <v>649</v>
      </c>
      <c r="F63" s="355">
        <v>1095315813</v>
      </c>
      <c r="G63" s="356">
        <v>14</v>
      </c>
      <c r="H63" s="356">
        <v>0</v>
      </c>
      <c r="I63" s="356">
        <v>7</v>
      </c>
      <c r="J63" s="356">
        <v>10</v>
      </c>
      <c r="K63" s="356">
        <v>11</v>
      </c>
      <c r="L63" s="356">
        <v>1</v>
      </c>
      <c r="M63" s="356">
        <v>9</v>
      </c>
      <c r="N63" s="356">
        <v>7</v>
      </c>
      <c r="O63" s="356">
        <v>11</v>
      </c>
      <c r="P63" s="356">
        <v>10</v>
      </c>
      <c r="Q63" s="356">
        <v>1</v>
      </c>
      <c r="R63" s="356">
        <v>14</v>
      </c>
      <c r="S63" s="356">
        <v>8</v>
      </c>
      <c r="T63" s="356">
        <v>0</v>
      </c>
      <c r="U63" s="356">
        <v>10</v>
      </c>
      <c r="V63" s="356">
        <v>5</v>
      </c>
      <c r="W63" s="356">
        <v>3</v>
      </c>
      <c r="X63" s="356">
        <v>12</v>
      </c>
      <c r="Y63" s="356">
        <v>9</v>
      </c>
      <c r="Z63" s="356">
        <v>1</v>
      </c>
      <c r="AA63" s="356">
        <v>6</v>
      </c>
      <c r="AB63" s="356">
        <v>0</v>
      </c>
      <c r="AC63" s="356">
        <v>10</v>
      </c>
      <c r="AD63" s="356">
        <v>0</v>
      </c>
      <c r="AE63" s="356">
        <v>2</v>
      </c>
      <c r="AF63" s="356">
        <v>3</v>
      </c>
      <c r="AG63" s="356">
        <v>0</v>
      </c>
      <c r="AH63" s="356">
        <v>10</v>
      </c>
      <c r="AI63" s="356">
        <v>0</v>
      </c>
      <c r="AJ63" s="356">
        <v>4</v>
      </c>
      <c r="AK63" s="356">
        <v>3</v>
      </c>
      <c r="AL63" s="356">
        <v>3</v>
      </c>
      <c r="AM63" s="356">
        <v>4</v>
      </c>
      <c r="AN63" s="356">
        <v>5</v>
      </c>
      <c r="AO63" s="356">
        <v>6</v>
      </c>
      <c r="AP63" s="356">
        <v>5</v>
      </c>
      <c r="AQ63" s="356">
        <v>6</v>
      </c>
      <c r="AR63" s="356">
        <v>13</v>
      </c>
      <c r="AS63" s="356">
        <v>12</v>
      </c>
      <c r="AT63" s="356">
        <v>8</v>
      </c>
      <c r="AU63" s="356">
        <v>5</v>
      </c>
      <c r="AV63" s="356">
        <v>1</v>
      </c>
      <c r="AW63" s="356">
        <v>8</v>
      </c>
      <c r="AX63" s="356">
        <v>0</v>
      </c>
      <c r="AY63" s="356">
        <v>5</v>
      </c>
      <c r="AZ63" s="356">
        <v>8</v>
      </c>
      <c r="BA63" s="356">
        <v>14</v>
      </c>
      <c r="BB63" s="356">
        <v>10</v>
      </c>
      <c r="BD63" s="353">
        <f t="shared" si="0"/>
        <v>75</v>
      </c>
      <c r="BE63" s="353">
        <f t="shared" si="1"/>
        <v>75</v>
      </c>
      <c r="BF63" s="353">
        <f t="shared" si="2"/>
        <v>89</v>
      </c>
      <c r="BG63" s="353">
        <f t="shared" si="3"/>
        <v>61</v>
      </c>
    </row>
    <row r="64" spans="2:59">
      <c r="B64" s="354">
        <v>56</v>
      </c>
      <c r="C64" s="743" t="s">
        <v>648</v>
      </c>
      <c r="D64" s="744" t="s">
        <v>648</v>
      </c>
      <c r="E64" s="744" t="s">
        <v>648</v>
      </c>
      <c r="F64" s="355">
        <v>1095315813</v>
      </c>
      <c r="G64" s="356">
        <v>13</v>
      </c>
      <c r="H64" s="356">
        <v>15</v>
      </c>
      <c r="I64" s="356">
        <v>9</v>
      </c>
      <c r="J64" s="356">
        <v>3</v>
      </c>
      <c r="K64" s="356">
        <v>7</v>
      </c>
      <c r="L64" s="356">
        <v>12</v>
      </c>
      <c r="M64" s="356">
        <v>5</v>
      </c>
      <c r="N64" s="356">
        <v>7</v>
      </c>
      <c r="O64" s="356">
        <v>3</v>
      </c>
      <c r="P64" s="356">
        <v>13</v>
      </c>
      <c r="Q64" s="356">
        <v>6</v>
      </c>
      <c r="R64" s="356">
        <v>13</v>
      </c>
      <c r="S64" s="356">
        <v>13</v>
      </c>
      <c r="T64" s="356">
        <v>2</v>
      </c>
      <c r="U64" s="356">
        <v>15</v>
      </c>
      <c r="V64" s="356">
        <v>0</v>
      </c>
      <c r="W64" s="356">
        <v>12</v>
      </c>
      <c r="X64" s="356">
        <v>9</v>
      </c>
      <c r="Y64" s="356">
        <v>10</v>
      </c>
      <c r="Z64" s="356">
        <v>11</v>
      </c>
      <c r="AA64" s="356">
        <v>11</v>
      </c>
      <c r="AB64" s="356">
        <v>12</v>
      </c>
      <c r="AC64" s="356">
        <v>14</v>
      </c>
      <c r="AD64" s="356">
        <v>0</v>
      </c>
      <c r="AE64" s="356">
        <v>8</v>
      </c>
      <c r="AF64" s="356">
        <v>4</v>
      </c>
      <c r="AG64" s="356">
        <v>1</v>
      </c>
      <c r="AH64" s="356">
        <v>8</v>
      </c>
      <c r="AI64" s="356">
        <v>6</v>
      </c>
      <c r="AJ64" s="356">
        <v>13</v>
      </c>
      <c r="AK64" s="356">
        <v>13</v>
      </c>
      <c r="AL64" s="356">
        <v>10</v>
      </c>
      <c r="AM64" s="356">
        <v>12</v>
      </c>
      <c r="AN64" s="356">
        <v>1</v>
      </c>
      <c r="AO64" s="356">
        <v>12</v>
      </c>
      <c r="AP64" s="356">
        <v>5</v>
      </c>
      <c r="AQ64" s="356">
        <v>15</v>
      </c>
      <c r="AR64" s="356">
        <v>1</v>
      </c>
      <c r="AS64" s="356">
        <v>13</v>
      </c>
      <c r="AT64" s="356">
        <v>9</v>
      </c>
      <c r="AU64" s="356">
        <v>6</v>
      </c>
      <c r="AV64" s="356">
        <v>7</v>
      </c>
      <c r="AW64" s="356">
        <v>15</v>
      </c>
      <c r="AX64" s="356">
        <v>7</v>
      </c>
      <c r="AY64" s="356">
        <v>11</v>
      </c>
      <c r="AZ64" s="356">
        <v>4</v>
      </c>
      <c r="BA64" s="356">
        <v>15</v>
      </c>
      <c r="BB64" s="356">
        <v>14</v>
      </c>
      <c r="BD64" s="353">
        <f t="shared" si="0"/>
        <v>113</v>
      </c>
      <c r="BE64" s="353">
        <f t="shared" si="1"/>
        <v>117</v>
      </c>
      <c r="BF64" s="353">
        <f t="shared" si="2"/>
        <v>128</v>
      </c>
      <c r="BG64" s="353">
        <f t="shared" si="3"/>
        <v>104</v>
      </c>
    </row>
    <row r="65" spans="2:59">
      <c r="B65" s="354">
        <v>57</v>
      </c>
      <c r="C65" s="743" t="s">
        <v>647</v>
      </c>
      <c r="D65" s="744" t="s">
        <v>647</v>
      </c>
      <c r="E65" s="744" t="s">
        <v>647</v>
      </c>
      <c r="F65" s="355">
        <v>1095315813</v>
      </c>
      <c r="G65" s="356">
        <v>0</v>
      </c>
      <c r="H65" s="356">
        <v>1</v>
      </c>
      <c r="I65" s="356">
        <v>13</v>
      </c>
      <c r="J65" s="356">
        <v>14</v>
      </c>
      <c r="K65" s="356">
        <v>8</v>
      </c>
      <c r="L65" s="356">
        <v>12</v>
      </c>
      <c r="M65" s="356">
        <v>0</v>
      </c>
      <c r="N65" s="356">
        <v>0</v>
      </c>
      <c r="O65" s="356">
        <v>15</v>
      </c>
      <c r="P65" s="356">
        <v>14</v>
      </c>
      <c r="Q65" s="356">
        <v>0</v>
      </c>
      <c r="R65" s="356">
        <v>10</v>
      </c>
      <c r="S65" s="356">
        <v>5</v>
      </c>
      <c r="T65" s="356">
        <v>11</v>
      </c>
      <c r="U65" s="356">
        <v>3</v>
      </c>
      <c r="V65" s="356">
        <v>13</v>
      </c>
      <c r="W65" s="356">
        <v>9</v>
      </c>
      <c r="X65" s="356">
        <v>6</v>
      </c>
      <c r="Y65" s="356">
        <v>3</v>
      </c>
      <c r="Z65" s="356">
        <v>10</v>
      </c>
      <c r="AA65" s="356">
        <v>1</v>
      </c>
      <c r="AB65" s="356">
        <v>10</v>
      </c>
      <c r="AC65" s="356">
        <v>8</v>
      </c>
      <c r="AD65" s="356">
        <v>4</v>
      </c>
      <c r="AE65" s="356">
        <v>1</v>
      </c>
      <c r="AF65" s="356">
        <v>10</v>
      </c>
      <c r="AG65" s="356">
        <v>12</v>
      </c>
      <c r="AH65" s="356">
        <v>7</v>
      </c>
      <c r="AI65" s="356">
        <v>13</v>
      </c>
      <c r="AJ65" s="356">
        <v>11</v>
      </c>
      <c r="AK65" s="356">
        <v>13</v>
      </c>
      <c r="AL65" s="356">
        <v>11</v>
      </c>
      <c r="AM65" s="356">
        <v>13</v>
      </c>
      <c r="AN65" s="356">
        <v>14</v>
      </c>
      <c r="AO65" s="356">
        <v>11</v>
      </c>
      <c r="AP65" s="356">
        <v>2</v>
      </c>
      <c r="AQ65" s="356">
        <v>10</v>
      </c>
      <c r="AR65" s="356">
        <v>11</v>
      </c>
      <c r="AS65" s="356">
        <v>5</v>
      </c>
      <c r="AT65" s="356">
        <v>5</v>
      </c>
      <c r="AU65" s="356">
        <v>9</v>
      </c>
      <c r="AV65" s="356">
        <v>2</v>
      </c>
      <c r="AW65" s="356">
        <v>6</v>
      </c>
      <c r="AX65" s="356">
        <v>13</v>
      </c>
      <c r="AY65" s="356">
        <v>9</v>
      </c>
      <c r="AZ65" s="356">
        <v>5</v>
      </c>
      <c r="BA65" s="356">
        <v>13</v>
      </c>
      <c r="BB65" s="356">
        <v>3</v>
      </c>
      <c r="BD65" s="353">
        <f t="shared" si="0"/>
        <v>74</v>
      </c>
      <c r="BE65" s="353">
        <f t="shared" si="1"/>
        <v>93</v>
      </c>
      <c r="BF65" s="353">
        <f t="shared" si="2"/>
        <v>87</v>
      </c>
      <c r="BG65" s="353">
        <f t="shared" si="3"/>
        <v>93</v>
      </c>
    </row>
    <row r="66" spans="2:59">
      <c r="B66" s="354">
        <v>58</v>
      </c>
      <c r="C66" s="743" t="s">
        <v>646</v>
      </c>
      <c r="D66" s="744" t="s">
        <v>646</v>
      </c>
      <c r="E66" s="744" t="s">
        <v>646</v>
      </c>
      <c r="F66" s="355">
        <v>1099368112</v>
      </c>
      <c r="G66" s="356">
        <v>15</v>
      </c>
      <c r="H66" s="356">
        <v>7</v>
      </c>
      <c r="I66" s="356">
        <v>7</v>
      </c>
      <c r="J66" s="356">
        <v>3</v>
      </c>
      <c r="K66" s="356">
        <v>0</v>
      </c>
      <c r="L66" s="356">
        <v>6</v>
      </c>
      <c r="M66" s="356">
        <v>4</v>
      </c>
      <c r="N66" s="356">
        <v>2</v>
      </c>
      <c r="O66" s="356">
        <v>10</v>
      </c>
      <c r="P66" s="356">
        <v>11</v>
      </c>
      <c r="Q66" s="356">
        <v>4</v>
      </c>
      <c r="R66" s="356">
        <v>14</v>
      </c>
      <c r="S66" s="356">
        <v>2</v>
      </c>
      <c r="T66" s="356">
        <v>11</v>
      </c>
      <c r="U66" s="356">
        <v>2</v>
      </c>
      <c r="V66" s="356">
        <v>10</v>
      </c>
      <c r="W66" s="356">
        <v>7</v>
      </c>
      <c r="X66" s="356">
        <v>8</v>
      </c>
      <c r="Y66" s="356">
        <v>14</v>
      </c>
      <c r="Z66" s="356">
        <v>7</v>
      </c>
      <c r="AA66" s="356">
        <v>15</v>
      </c>
      <c r="AB66" s="356">
        <v>0</v>
      </c>
      <c r="AC66" s="356">
        <v>3</v>
      </c>
      <c r="AD66" s="356">
        <v>11</v>
      </c>
      <c r="AE66" s="356">
        <v>3</v>
      </c>
      <c r="AF66" s="356">
        <v>3</v>
      </c>
      <c r="AG66" s="356">
        <v>11</v>
      </c>
      <c r="AH66" s="356">
        <v>9</v>
      </c>
      <c r="AI66" s="356">
        <v>2</v>
      </c>
      <c r="AJ66" s="356">
        <v>9</v>
      </c>
      <c r="AK66" s="356">
        <v>7</v>
      </c>
      <c r="AL66" s="356">
        <v>7</v>
      </c>
      <c r="AM66" s="356">
        <v>3</v>
      </c>
      <c r="AN66" s="356">
        <v>9</v>
      </c>
      <c r="AO66" s="356">
        <v>6</v>
      </c>
      <c r="AP66" s="356">
        <v>13</v>
      </c>
      <c r="AQ66" s="356">
        <v>9</v>
      </c>
      <c r="AR66" s="356">
        <v>4</v>
      </c>
      <c r="AS66" s="356">
        <v>6</v>
      </c>
      <c r="AT66" s="356">
        <v>5</v>
      </c>
      <c r="AU66" s="356">
        <v>8</v>
      </c>
      <c r="AV66" s="356">
        <v>7</v>
      </c>
      <c r="AW66" s="356">
        <v>10</v>
      </c>
      <c r="AX66" s="356">
        <v>14</v>
      </c>
      <c r="AY66" s="356">
        <v>8</v>
      </c>
      <c r="AZ66" s="356">
        <v>0</v>
      </c>
      <c r="BA66" s="356">
        <v>4</v>
      </c>
      <c r="BB66" s="356">
        <v>0</v>
      </c>
      <c r="BD66" s="353">
        <f t="shared" si="0"/>
        <v>74</v>
      </c>
      <c r="BE66" s="353">
        <f t="shared" si="1"/>
        <v>82</v>
      </c>
      <c r="BF66" s="353">
        <f t="shared" si="2"/>
        <v>78</v>
      </c>
      <c r="BG66" s="353">
        <f t="shared" si="3"/>
        <v>67</v>
      </c>
    </row>
    <row r="67" spans="2:59">
      <c r="B67" s="354">
        <v>59</v>
      </c>
      <c r="C67" s="743" t="s">
        <v>645</v>
      </c>
      <c r="D67" s="744" t="s">
        <v>645</v>
      </c>
      <c r="E67" s="744" t="s">
        <v>645</v>
      </c>
      <c r="F67" s="355">
        <v>1099368112</v>
      </c>
      <c r="G67" s="356">
        <v>11</v>
      </c>
      <c r="H67" s="356">
        <v>14</v>
      </c>
      <c r="I67" s="356">
        <v>4</v>
      </c>
      <c r="J67" s="356">
        <v>13</v>
      </c>
      <c r="K67" s="356">
        <v>9</v>
      </c>
      <c r="L67" s="356">
        <v>0</v>
      </c>
      <c r="M67" s="356">
        <v>1</v>
      </c>
      <c r="N67" s="356">
        <v>7</v>
      </c>
      <c r="O67" s="356">
        <v>6</v>
      </c>
      <c r="P67" s="356">
        <v>14</v>
      </c>
      <c r="Q67" s="356">
        <v>8</v>
      </c>
      <c r="R67" s="356">
        <v>3</v>
      </c>
      <c r="S67" s="356">
        <v>7</v>
      </c>
      <c r="T67" s="356">
        <v>14</v>
      </c>
      <c r="U67" s="356">
        <v>3</v>
      </c>
      <c r="V67" s="356">
        <v>5</v>
      </c>
      <c r="W67" s="356">
        <v>13</v>
      </c>
      <c r="X67" s="356">
        <v>8</v>
      </c>
      <c r="Y67" s="356">
        <v>2</v>
      </c>
      <c r="Z67" s="356">
        <v>1</v>
      </c>
      <c r="AA67" s="356">
        <v>12</v>
      </c>
      <c r="AB67" s="356">
        <v>9</v>
      </c>
      <c r="AC67" s="356">
        <v>15</v>
      </c>
      <c r="AD67" s="356">
        <v>5</v>
      </c>
      <c r="AE67" s="356">
        <v>11</v>
      </c>
      <c r="AF67" s="356">
        <v>13</v>
      </c>
      <c r="AG67" s="356">
        <v>2</v>
      </c>
      <c r="AH67" s="356">
        <v>8</v>
      </c>
      <c r="AI67" s="356">
        <v>13</v>
      </c>
      <c r="AJ67" s="356">
        <v>1</v>
      </c>
      <c r="AK67" s="356">
        <v>7</v>
      </c>
      <c r="AL67" s="356">
        <v>7</v>
      </c>
      <c r="AM67" s="356">
        <v>1</v>
      </c>
      <c r="AN67" s="356">
        <v>15</v>
      </c>
      <c r="AO67" s="356">
        <v>8</v>
      </c>
      <c r="AP67" s="356">
        <v>13</v>
      </c>
      <c r="AQ67" s="356">
        <v>0</v>
      </c>
      <c r="AR67" s="356">
        <v>12</v>
      </c>
      <c r="AS67" s="356">
        <v>9</v>
      </c>
      <c r="AT67" s="356">
        <v>8</v>
      </c>
      <c r="AU67" s="356">
        <v>13</v>
      </c>
      <c r="AV67" s="356">
        <v>13</v>
      </c>
      <c r="AW67" s="356">
        <v>7</v>
      </c>
      <c r="AX67" s="356">
        <v>11</v>
      </c>
      <c r="AY67" s="356">
        <v>7</v>
      </c>
      <c r="AZ67" s="356">
        <v>14</v>
      </c>
      <c r="BA67" s="356">
        <v>10</v>
      </c>
      <c r="BB67" s="356">
        <v>10</v>
      </c>
      <c r="BD67" s="353">
        <f t="shared" si="0"/>
        <v>66</v>
      </c>
      <c r="BE67" s="353">
        <f t="shared" si="1"/>
        <v>103</v>
      </c>
      <c r="BF67" s="353">
        <f t="shared" si="2"/>
        <v>76</v>
      </c>
      <c r="BG67" s="353">
        <f t="shared" si="3"/>
        <v>92</v>
      </c>
    </row>
    <row r="68" spans="2:59">
      <c r="B68" s="354">
        <v>60</v>
      </c>
      <c r="C68" s="743" t="s">
        <v>644</v>
      </c>
      <c r="D68" s="744" t="s">
        <v>644</v>
      </c>
      <c r="E68" s="744" t="s">
        <v>644</v>
      </c>
      <c r="F68" s="355">
        <v>1099368112</v>
      </c>
      <c r="G68" s="356">
        <v>14</v>
      </c>
      <c r="H68" s="356">
        <v>6</v>
      </c>
      <c r="I68" s="356">
        <v>9</v>
      </c>
      <c r="J68" s="356">
        <v>4</v>
      </c>
      <c r="K68" s="356">
        <v>1</v>
      </c>
      <c r="L68" s="356">
        <v>14</v>
      </c>
      <c r="M68" s="356">
        <v>0</v>
      </c>
      <c r="N68" s="356">
        <v>0</v>
      </c>
      <c r="O68" s="356">
        <v>8</v>
      </c>
      <c r="P68" s="356">
        <v>9</v>
      </c>
      <c r="Q68" s="356">
        <v>14</v>
      </c>
      <c r="R68" s="356">
        <v>6</v>
      </c>
      <c r="S68" s="356">
        <v>7</v>
      </c>
      <c r="T68" s="356">
        <v>8</v>
      </c>
      <c r="U68" s="356">
        <v>9</v>
      </c>
      <c r="V68" s="356">
        <v>2</v>
      </c>
      <c r="W68" s="356">
        <v>4</v>
      </c>
      <c r="X68" s="356">
        <v>15</v>
      </c>
      <c r="Y68" s="356">
        <v>12</v>
      </c>
      <c r="Z68" s="356">
        <v>11</v>
      </c>
      <c r="AA68" s="356">
        <v>15</v>
      </c>
      <c r="AB68" s="356">
        <v>7</v>
      </c>
      <c r="AC68" s="356">
        <v>5</v>
      </c>
      <c r="AD68" s="356">
        <v>1</v>
      </c>
      <c r="AE68" s="356">
        <v>13</v>
      </c>
      <c r="AF68" s="356">
        <v>7</v>
      </c>
      <c r="AG68" s="356">
        <v>2</v>
      </c>
      <c r="AH68" s="356">
        <v>6</v>
      </c>
      <c r="AI68" s="356">
        <v>0</v>
      </c>
      <c r="AJ68" s="356">
        <v>15</v>
      </c>
      <c r="AK68" s="356">
        <v>10</v>
      </c>
      <c r="AL68" s="356">
        <v>13</v>
      </c>
      <c r="AM68" s="356">
        <v>4</v>
      </c>
      <c r="AN68" s="356">
        <v>13</v>
      </c>
      <c r="AO68" s="356">
        <v>8</v>
      </c>
      <c r="AP68" s="356">
        <v>6</v>
      </c>
      <c r="AQ68" s="356">
        <v>13</v>
      </c>
      <c r="AR68" s="356">
        <v>3</v>
      </c>
      <c r="AS68" s="356">
        <v>3</v>
      </c>
      <c r="AT68" s="356">
        <v>0</v>
      </c>
      <c r="AU68" s="356">
        <v>8</v>
      </c>
      <c r="AV68" s="356">
        <v>1</v>
      </c>
      <c r="AW68" s="356">
        <v>12</v>
      </c>
      <c r="AX68" s="356">
        <v>13</v>
      </c>
      <c r="AY68" s="356">
        <v>2</v>
      </c>
      <c r="AZ68" s="356">
        <v>12</v>
      </c>
      <c r="BA68" s="356">
        <v>14</v>
      </c>
      <c r="BB68" s="356">
        <v>12</v>
      </c>
      <c r="BD68" s="353">
        <f t="shared" si="0"/>
        <v>84</v>
      </c>
      <c r="BE68" s="353">
        <f t="shared" si="1"/>
        <v>89</v>
      </c>
      <c r="BF68" s="353">
        <f t="shared" si="2"/>
        <v>98</v>
      </c>
      <c r="BG68" s="353">
        <f t="shared" si="3"/>
        <v>75</v>
      </c>
    </row>
    <row r="69" spans="2:59">
      <c r="B69" s="354">
        <v>61</v>
      </c>
      <c r="C69" s="743" t="s">
        <v>643</v>
      </c>
      <c r="D69" s="744" t="s">
        <v>643</v>
      </c>
      <c r="E69" s="744" t="s">
        <v>643</v>
      </c>
      <c r="F69" s="355">
        <v>1099368112</v>
      </c>
      <c r="G69" s="356">
        <v>8</v>
      </c>
      <c r="H69" s="356">
        <v>7</v>
      </c>
      <c r="I69" s="356">
        <v>9</v>
      </c>
      <c r="J69" s="356">
        <v>14</v>
      </c>
      <c r="K69" s="356">
        <v>6</v>
      </c>
      <c r="L69" s="356">
        <v>8</v>
      </c>
      <c r="M69" s="356">
        <v>8</v>
      </c>
      <c r="N69" s="356">
        <v>13</v>
      </c>
      <c r="O69" s="356">
        <v>7</v>
      </c>
      <c r="P69" s="356">
        <v>15</v>
      </c>
      <c r="Q69" s="356">
        <v>7</v>
      </c>
      <c r="R69" s="356">
        <v>1</v>
      </c>
      <c r="S69" s="356">
        <v>5</v>
      </c>
      <c r="T69" s="356">
        <v>11</v>
      </c>
      <c r="U69" s="356">
        <v>8</v>
      </c>
      <c r="V69" s="356">
        <v>1</v>
      </c>
      <c r="W69" s="356">
        <v>9</v>
      </c>
      <c r="X69" s="356">
        <v>4</v>
      </c>
      <c r="Y69" s="356">
        <v>7</v>
      </c>
      <c r="Z69" s="356">
        <v>0</v>
      </c>
      <c r="AA69" s="356">
        <v>11</v>
      </c>
      <c r="AB69" s="356">
        <v>2</v>
      </c>
      <c r="AC69" s="356">
        <v>10</v>
      </c>
      <c r="AD69" s="356">
        <v>12</v>
      </c>
      <c r="AE69" s="356">
        <v>7</v>
      </c>
      <c r="AF69" s="356">
        <v>13</v>
      </c>
      <c r="AG69" s="356">
        <v>8</v>
      </c>
      <c r="AH69" s="356">
        <v>4</v>
      </c>
      <c r="AI69" s="356">
        <v>10</v>
      </c>
      <c r="AJ69" s="356">
        <v>3</v>
      </c>
      <c r="AK69" s="356">
        <v>12</v>
      </c>
      <c r="AL69" s="356">
        <v>10</v>
      </c>
      <c r="AM69" s="356">
        <v>1</v>
      </c>
      <c r="AN69" s="356">
        <v>0</v>
      </c>
      <c r="AO69" s="356">
        <v>3</v>
      </c>
      <c r="AP69" s="356">
        <v>2</v>
      </c>
      <c r="AQ69" s="356">
        <v>8</v>
      </c>
      <c r="AR69" s="356">
        <v>1</v>
      </c>
      <c r="AS69" s="356">
        <v>7</v>
      </c>
      <c r="AT69" s="356">
        <v>3</v>
      </c>
      <c r="AU69" s="356">
        <v>9</v>
      </c>
      <c r="AV69" s="356">
        <v>10</v>
      </c>
      <c r="AW69" s="356">
        <v>4</v>
      </c>
      <c r="AX69" s="356">
        <v>2</v>
      </c>
      <c r="AY69" s="356">
        <v>7</v>
      </c>
      <c r="AZ69" s="356">
        <v>1</v>
      </c>
      <c r="BA69" s="356">
        <v>6</v>
      </c>
      <c r="BB69" s="356">
        <v>12</v>
      </c>
      <c r="BD69" s="353">
        <f t="shared" si="0"/>
        <v>83</v>
      </c>
      <c r="BE69" s="353">
        <f t="shared" si="1"/>
        <v>88</v>
      </c>
      <c r="BF69" s="353">
        <f t="shared" si="2"/>
        <v>89</v>
      </c>
      <c r="BG69" s="353">
        <f t="shared" si="3"/>
        <v>80</v>
      </c>
    </row>
    <row r="70" spans="2:59">
      <c r="B70" s="354">
        <v>62</v>
      </c>
      <c r="C70" s="743" t="s">
        <v>642</v>
      </c>
      <c r="D70" s="744" t="s">
        <v>642</v>
      </c>
      <c r="E70" s="744" t="s">
        <v>642</v>
      </c>
      <c r="F70" s="355">
        <v>1099368111</v>
      </c>
      <c r="G70" s="356">
        <v>10</v>
      </c>
      <c r="H70" s="356">
        <v>11</v>
      </c>
      <c r="I70" s="356">
        <v>8</v>
      </c>
      <c r="J70" s="356">
        <v>6</v>
      </c>
      <c r="K70" s="356">
        <v>3</v>
      </c>
      <c r="L70" s="356">
        <v>9</v>
      </c>
      <c r="M70" s="356">
        <v>8</v>
      </c>
      <c r="N70" s="356">
        <v>6</v>
      </c>
      <c r="O70" s="356">
        <v>13</v>
      </c>
      <c r="P70" s="356">
        <v>7</v>
      </c>
      <c r="Q70" s="356">
        <v>15</v>
      </c>
      <c r="R70" s="356">
        <v>14</v>
      </c>
      <c r="S70" s="356">
        <v>15</v>
      </c>
      <c r="T70" s="356">
        <v>7</v>
      </c>
      <c r="U70" s="356">
        <v>4</v>
      </c>
      <c r="V70" s="356">
        <v>12</v>
      </c>
      <c r="W70" s="356">
        <v>6</v>
      </c>
      <c r="X70" s="356">
        <v>9</v>
      </c>
      <c r="Y70" s="356">
        <v>10</v>
      </c>
      <c r="Z70" s="356">
        <v>14</v>
      </c>
      <c r="AA70" s="356">
        <v>0</v>
      </c>
      <c r="AB70" s="356">
        <v>1</v>
      </c>
      <c r="AC70" s="356">
        <v>13</v>
      </c>
      <c r="AD70" s="356">
        <v>10</v>
      </c>
      <c r="AE70" s="356">
        <v>8</v>
      </c>
      <c r="AF70" s="356">
        <v>9</v>
      </c>
      <c r="AG70" s="356">
        <v>1</v>
      </c>
      <c r="AH70" s="356">
        <v>1</v>
      </c>
      <c r="AI70" s="356">
        <v>9</v>
      </c>
      <c r="AJ70" s="356">
        <v>6</v>
      </c>
      <c r="AK70" s="356">
        <v>9</v>
      </c>
      <c r="AL70" s="356">
        <v>6</v>
      </c>
      <c r="AM70" s="356">
        <v>0</v>
      </c>
      <c r="AN70" s="356">
        <v>7</v>
      </c>
      <c r="AO70" s="356">
        <v>4</v>
      </c>
      <c r="AP70" s="356">
        <v>7</v>
      </c>
      <c r="AQ70" s="356">
        <v>12</v>
      </c>
      <c r="AR70" s="356">
        <v>3</v>
      </c>
      <c r="AS70" s="356">
        <v>15</v>
      </c>
      <c r="AT70" s="356">
        <v>2</v>
      </c>
      <c r="AU70" s="356">
        <v>10</v>
      </c>
      <c r="AV70" s="356">
        <v>12</v>
      </c>
      <c r="AW70" s="356">
        <v>1</v>
      </c>
      <c r="AX70" s="356">
        <v>12</v>
      </c>
      <c r="AY70" s="356">
        <v>15</v>
      </c>
      <c r="AZ70" s="356">
        <v>6</v>
      </c>
      <c r="BA70" s="356">
        <v>2</v>
      </c>
      <c r="BB70" s="356">
        <v>15</v>
      </c>
      <c r="BD70" s="353">
        <f t="shared" si="0"/>
        <v>88</v>
      </c>
      <c r="BE70" s="353">
        <f t="shared" si="1"/>
        <v>101</v>
      </c>
      <c r="BF70" s="353">
        <f t="shared" si="2"/>
        <v>90</v>
      </c>
      <c r="BG70" s="353">
        <f t="shared" si="3"/>
        <v>91</v>
      </c>
    </row>
    <row r="71" spans="2:59">
      <c r="B71" s="354">
        <v>63</v>
      </c>
      <c r="C71" s="743" t="s">
        <v>641</v>
      </c>
      <c r="D71" s="744" t="s">
        <v>641</v>
      </c>
      <c r="E71" s="744" t="s">
        <v>641</v>
      </c>
      <c r="F71" s="355">
        <v>1142716531</v>
      </c>
      <c r="G71" s="356">
        <v>15</v>
      </c>
      <c r="H71" s="356">
        <v>6</v>
      </c>
      <c r="I71" s="356">
        <v>11</v>
      </c>
      <c r="J71" s="356">
        <v>15</v>
      </c>
      <c r="K71" s="356">
        <v>11</v>
      </c>
      <c r="L71" s="356">
        <v>1</v>
      </c>
      <c r="M71" s="356">
        <v>5</v>
      </c>
      <c r="N71" s="356">
        <v>13</v>
      </c>
      <c r="O71" s="356">
        <v>1</v>
      </c>
      <c r="P71" s="356">
        <v>15</v>
      </c>
      <c r="Q71" s="356">
        <v>11</v>
      </c>
      <c r="R71" s="356">
        <v>10</v>
      </c>
      <c r="S71" s="356">
        <v>2</v>
      </c>
      <c r="T71" s="356">
        <v>13</v>
      </c>
      <c r="U71" s="356">
        <v>6</v>
      </c>
      <c r="V71" s="356">
        <v>12</v>
      </c>
      <c r="W71" s="356">
        <v>12</v>
      </c>
      <c r="X71" s="356">
        <v>1</v>
      </c>
      <c r="Y71" s="356">
        <v>2</v>
      </c>
      <c r="Z71" s="356">
        <v>7</v>
      </c>
      <c r="AA71" s="356">
        <v>7</v>
      </c>
      <c r="AB71" s="356">
        <v>6</v>
      </c>
      <c r="AC71" s="356">
        <v>5</v>
      </c>
      <c r="AD71" s="356">
        <v>9</v>
      </c>
      <c r="AE71" s="356">
        <v>14</v>
      </c>
      <c r="AF71" s="356">
        <v>14</v>
      </c>
      <c r="AG71" s="356">
        <v>13</v>
      </c>
      <c r="AH71" s="356">
        <v>8</v>
      </c>
      <c r="AI71" s="356">
        <v>11</v>
      </c>
      <c r="AJ71" s="356">
        <v>3</v>
      </c>
      <c r="AK71" s="356">
        <v>12</v>
      </c>
      <c r="AL71" s="356">
        <v>5</v>
      </c>
      <c r="AM71" s="356">
        <v>8</v>
      </c>
      <c r="AN71" s="356">
        <v>1</v>
      </c>
      <c r="AO71" s="356">
        <v>2</v>
      </c>
      <c r="AP71" s="356">
        <v>10</v>
      </c>
      <c r="AQ71" s="356">
        <v>13</v>
      </c>
      <c r="AR71" s="356">
        <v>11</v>
      </c>
      <c r="AS71" s="356">
        <v>15</v>
      </c>
      <c r="AT71" s="356">
        <v>14</v>
      </c>
      <c r="AU71" s="356">
        <v>2</v>
      </c>
      <c r="AV71" s="356">
        <v>8</v>
      </c>
      <c r="AW71" s="356">
        <v>5</v>
      </c>
      <c r="AX71" s="356">
        <v>2</v>
      </c>
      <c r="AY71" s="356">
        <v>1</v>
      </c>
      <c r="AZ71" s="356">
        <v>11</v>
      </c>
      <c r="BA71" s="356">
        <v>1</v>
      </c>
      <c r="BB71" s="356">
        <v>2</v>
      </c>
      <c r="BD71" s="353">
        <f t="shared" si="0"/>
        <v>87</v>
      </c>
      <c r="BE71" s="353">
        <f t="shared" si="1"/>
        <v>97</v>
      </c>
      <c r="BF71" s="353">
        <f t="shared" si="2"/>
        <v>88</v>
      </c>
      <c r="BG71" s="353">
        <f t="shared" si="3"/>
        <v>82</v>
      </c>
    </row>
    <row r="72" spans="2:59">
      <c r="B72" s="354">
        <v>64</v>
      </c>
      <c r="C72" s="743" t="s">
        <v>640</v>
      </c>
      <c r="D72" s="744" t="s">
        <v>640</v>
      </c>
      <c r="E72" s="744" t="s">
        <v>640</v>
      </c>
      <c r="F72" s="355">
        <v>13685587</v>
      </c>
      <c r="G72" s="356">
        <v>14</v>
      </c>
      <c r="H72" s="356">
        <v>8</v>
      </c>
      <c r="I72" s="356">
        <v>3</v>
      </c>
      <c r="J72" s="356">
        <v>11</v>
      </c>
      <c r="K72" s="356">
        <v>9</v>
      </c>
      <c r="L72" s="356">
        <v>12</v>
      </c>
      <c r="M72" s="356">
        <v>12</v>
      </c>
      <c r="N72" s="356">
        <v>14</v>
      </c>
      <c r="O72" s="356">
        <v>2</v>
      </c>
      <c r="P72" s="356">
        <v>9</v>
      </c>
      <c r="Q72" s="356">
        <v>12</v>
      </c>
      <c r="R72" s="356">
        <v>15</v>
      </c>
      <c r="S72" s="356">
        <v>9</v>
      </c>
      <c r="T72" s="356">
        <v>6</v>
      </c>
      <c r="U72" s="356">
        <v>5</v>
      </c>
      <c r="V72" s="356">
        <v>14</v>
      </c>
      <c r="W72" s="356">
        <v>4</v>
      </c>
      <c r="X72" s="356">
        <v>11</v>
      </c>
      <c r="Y72" s="356">
        <v>13</v>
      </c>
      <c r="Z72" s="356">
        <v>5</v>
      </c>
      <c r="AA72" s="356">
        <v>4</v>
      </c>
      <c r="AB72" s="356">
        <v>15</v>
      </c>
      <c r="AC72" s="356">
        <v>11</v>
      </c>
      <c r="AD72" s="356">
        <v>2</v>
      </c>
      <c r="AE72" s="356">
        <v>7</v>
      </c>
      <c r="AF72" s="356">
        <v>14</v>
      </c>
      <c r="AG72" s="356">
        <v>0</v>
      </c>
      <c r="AH72" s="356">
        <v>12</v>
      </c>
      <c r="AI72" s="356">
        <v>2</v>
      </c>
      <c r="AJ72" s="356">
        <v>12</v>
      </c>
      <c r="AK72" s="356">
        <v>8</v>
      </c>
      <c r="AL72" s="356">
        <v>3</v>
      </c>
      <c r="AM72" s="356">
        <v>13</v>
      </c>
      <c r="AN72" s="356">
        <v>12</v>
      </c>
      <c r="AO72" s="356">
        <v>11</v>
      </c>
      <c r="AP72" s="356">
        <v>11</v>
      </c>
      <c r="AQ72" s="356">
        <v>4</v>
      </c>
      <c r="AR72" s="356">
        <v>5</v>
      </c>
      <c r="AS72" s="356">
        <v>14</v>
      </c>
      <c r="AT72" s="356">
        <v>14</v>
      </c>
      <c r="AU72" s="356">
        <v>11</v>
      </c>
      <c r="AV72" s="356">
        <v>0</v>
      </c>
      <c r="AW72" s="356">
        <v>3</v>
      </c>
      <c r="AX72" s="356">
        <v>4</v>
      </c>
      <c r="AY72" s="356">
        <v>15</v>
      </c>
      <c r="AZ72" s="356">
        <v>0</v>
      </c>
      <c r="BA72" s="356">
        <v>6</v>
      </c>
      <c r="BB72" s="356">
        <v>10</v>
      </c>
      <c r="BD72" s="353">
        <f t="shared" si="0"/>
        <v>92</v>
      </c>
      <c r="BE72" s="353">
        <f t="shared" si="1"/>
        <v>94</v>
      </c>
      <c r="BF72" s="353">
        <f t="shared" si="2"/>
        <v>98</v>
      </c>
      <c r="BG72" s="353">
        <f t="shared" si="3"/>
        <v>80</v>
      </c>
    </row>
    <row r="73" spans="2:59">
      <c r="B73" s="354">
        <v>65</v>
      </c>
      <c r="C73" s="743" t="s">
        <v>639</v>
      </c>
      <c r="D73" s="744" t="s">
        <v>639</v>
      </c>
      <c r="E73" s="744" t="s">
        <v>639</v>
      </c>
      <c r="F73" s="355">
        <v>1101018933</v>
      </c>
      <c r="G73" s="356">
        <v>9</v>
      </c>
      <c r="H73" s="356">
        <v>1</v>
      </c>
      <c r="I73" s="356">
        <v>12</v>
      </c>
      <c r="J73" s="356">
        <v>2</v>
      </c>
      <c r="K73" s="356">
        <v>2</v>
      </c>
      <c r="L73" s="356">
        <v>7</v>
      </c>
      <c r="M73" s="356">
        <v>13</v>
      </c>
      <c r="N73" s="356">
        <v>2</v>
      </c>
      <c r="O73" s="356">
        <v>11</v>
      </c>
      <c r="P73" s="356">
        <v>15</v>
      </c>
      <c r="Q73" s="356">
        <v>11</v>
      </c>
      <c r="R73" s="356">
        <v>5</v>
      </c>
      <c r="S73" s="356">
        <v>3</v>
      </c>
      <c r="T73" s="356">
        <v>13</v>
      </c>
      <c r="U73" s="356">
        <v>2</v>
      </c>
      <c r="V73" s="356">
        <v>4</v>
      </c>
      <c r="W73" s="356">
        <v>15</v>
      </c>
      <c r="X73" s="356">
        <v>8</v>
      </c>
      <c r="Y73" s="356">
        <v>14</v>
      </c>
      <c r="Z73" s="356">
        <v>15</v>
      </c>
      <c r="AA73" s="356">
        <v>1</v>
      </c>
      <c r="AB73" s="356">
        <v>12</v>
      </c>
      <c r="AC73" s="356">
        <v>15</v>
      </c>
      <c r="AD73" s="356">
        <v>6</v>
      </c>
      <c r="AE73" s="356">
        <v>2</v>
      </c>
      <c r="AF73" s="356">
        <v>13</v>
      </c>
      <c r="AG73" s="356">
        <v>12</v>
      </c>
      <c r="AH73" s="356">
        <v>8</v>
      </c>
      <c r="AI73" s="356">
        <v>7</v>
      </c>
      <c r="AJ73" s="356">
        <v>4</v>
      </c>
      <c r="AK73" s="356">
        <v>9</v>
      </c>
      <c r="AL73" s="356">
        <v>1</v>
      </c>
      <c r="AM73" s="356">
        <v>7</v>
      </c>
      <c r="AN73" s="356">
        <v>11</v>
      </c>
      <c r="AO73" s="356">
        <v>3</v>
      </c>
      <c r="AP73" s="356">
        <v>1</v>
      </c>
      <c r="AQ73" s="356">
        <v>7</v>
      </c>
      <c r="AR73" s="356">
        <v>3</v>
      </c>
      <c r="AS73" s="356">
        <v>14</v>
      </c>
      <c r="AT73" s="356">
        <v>11</v>
      </c>
      <c r="AU73" s="356">
        <v>10</v>
      </c>
      <c r="AV73" s="356">
        <v>2</v>
      </c>
      <c r="AW73" s="356">
        <v>5</v>
      </c>
      <c r="AX73" s="356">
        <v>4</v>
      </c>
      <c r="AY73" s="356">
        <v>6</v>
      </c>
      <c r="AZ73" s="356">
        <v>15</v>
      </c>
      <c r="BA73" s="356">
        <v>13</v>
      </c>
      <c r="BB73" s="356">
        <v>6</v>
      </c>
      <c r="BD73" s="353">
        <f t="shared" ref="BD73:BD136" si="4">SUMIF($G$8:$BB$8,"PREMIUM",E73:AZ73)</f>
        <v>110</v>
      </c>
      <c r="BE73" s="353">
        <f t="shared" ref="BE73:BE136" si="5">SUMIF($G$8:$BB$8,"SILVER",F73:BA73)</f>
        <v>80</v>
      </c>
      <c r="BF73" s="353">
        <f t="shared" ref="BF73:BF136" si="6">SUMIF($G$8:$BB$8,"GOLD",G73:BB73)</f>
        <v>123</v>
      </c>
      <c r="BG73" s="353">
        <f t="shared" ref="BG73:BG136" si="7">SUMIF($G$8:$BB$8,"DELUXE",H73:BC73)</f>
        <v>71</v>
      </c>
    </row>
    <row r="74" spans="2:59">
      <c r="B74" s="354">
        <v>66</v>
      </c>
      <c r="C74" s="743" t="s">
        <v>638</v>
      </c>
      <c r="D74" s="744" t="s">
        <v>638</v>
      </c>
      <c r="E74" s="744" t="s">
        <v>638</v>
      </c>
      <c r="F74" s="355">
        <v>1101019999</v>
      </c>
      <c r="G74" s="356">
        <v>5</v>
      </c>
      <c r="H74" s="356">
        <v>2</v>
      </c>
      <c r="I74" s="356">
        <v>14</v>
      </c>
      <c r="J74" s="356">
        <v>7</v>
      </c>
      <c r="K74" s="356">
        <v>15</v>
      </c>
      <c r="L74" s="356">
        <v>2</v>
      </c>
      <c r="M74" s="356">
        <v>11</v>
      </c>
      <c r="N74" s="356">
        <v>5</v>
      </c>
      <c r="O74" s="356">
        <v>6</v>
      </c>
      <c r="P74" s="356">
        <v>7</v>
      </c>
      <c r="Q74" s="356">
        <v>12</v>
      </c>
      <c r="R74" s="356">
        <v>7</v>
      </c>
      <c r="S74" s="356">
        <v>7</v>
      </c>
      <c r="T74" s="356">
        <v>9</v>
      </c>
      <c r="U74" s="356">
        <v>15</v>
      </c>
      <c r="V74" s="356">
        <v>11</v>
      </c>
      <c r="W74" s="356">
        <v>15</v>
      </c>
      <c r="X74" s="356">
        <v>1</v>
      </c>
      <c r="Y74" s="356">
        <v>9</v>
      </c>
      <c r="Z74" s="356">
        <v>15</v>
      </c>
      <c r="AA74" s="356">
        <v>7</v>
      </c>
      <c r="AB74" s="356">
        <v>8</v>
      </c>
      <c r="AC74" s="356">
        <v>9</v>
      </c>
      <c r="AD74" s="356">
        <v>5</v>
      </c>
      <c r="AE74" s="356">
        <v>10</v>
      </c>
      <c r="AF74" s="356">
        <v>7</v>
      </c>
      <c r="AG74" s="356">
        <v>7</v>
      </c>
      <c r="AH74" s="356">
        <v>15</v>
      </c>
      <c r="AI74" s="356">
        <v>0</v>
      </c>
      <c r="AJ74" s="356">
        <v>4</v>
      </c>
      <c r="AK74" s="356">
        <v>4</v>
      </c>
      <c r="AL74" s="356">
        <v>7</v>
      </c>
      <c r="AM74" s="356">
        <v>1</v>
      </c>
      <c r="AN74" s="356">
        <v>7</v>
      </c>
      <c r="AO74" s="356">
        <v>12</v>
      </c>
      <c r="AP74" s="356">
        <v>3</v>
      </c>
      <c r="AQ74" s="356">
        <v>10</v>
      </c>
      <c r="AR74" s="356">
        <v>12</v>
      </c>
      <c r="AS74" s="356">
        <v>15</v>
      </c>
      <c r="AT74" s="356">
        <v>12</v>
      </c>
      <c r="AU74" s="356">
        <v>9</v>
      </c>
      <c r="AV74" s="356">
        <v>3</v>
      </c>
      <c r="AW74" s="356">
        <v>7</v>
      </c>
      <c r="AX74" s="356">
        <v>8</v>
      </c>
      <c r="AY74" s="356">
        <v>12</v>
      </c>
      <c r="AZ74" s="356">
        <v>10</v>
      </c>
      <c r="BA74" s="356">
        <v>11</v>
      </c>
      <c r="BB74" s="356">
        <v>11</v>
      </c>
      <c r="BD74" s="353">
        <f t="shared" si="4"/>
        <v>115</v>
      </c>
      <c r="BE74" s="353">
        <f t="shared" si="5"/>
        <v>97</v>
      </c>
      <c r="BF74" s="353">
        <f t="shared" si="6"/>
        <v>126</v>
      </c>
      <c r="BG74" s="353">
        <f t="shared" si="7"/>
        <v>92</v>
      </c>
    </row>
    <row r="75" spans="2:59">
      <c r="B75" s="354">
        <v>67</v>
      </c>
      <c r="C75" s="743" t="s">
        <v>637</v>
      </c>
      <c r="D75" s="744" t="s">
        <v>637</v>
      </c>
      <c r="E75" s="744" t="s">
        <v>637</v>
      </c>
      <c r="F75" s="355">
        <v>38999</v>
      </c>
      <c r="G75" s="356">
        <v>4</v>
      </c>
      <c r="H75" s="356">
        <v>9</v>
      </c>
      <c r="I75" s="356">
        <v>15</v>
      </c>
      <c r="J75" s="356">
        <v>11</v>
      </c>
      <c r="K75" s="356">
        <v>0</v>
      </c>
      <c r="L75" s="356">
        <v>6</v>
      </c>
      <c r="M75" s="356">
        <v>5</v>
      </c>
      <c r="N75" s="356">
        <v>8</v>
      </c>
      <c r="O75" s="356">
        <v>11</v>
      </c>
      <c r="P75" s="356">
        <v>13</v>
      </c>
      <c r="Q75" s="356">
        <v>2</v>
      </c>
      <c r="R75" s="356">
        <v>3</v>
      </c>
      <c r="S75" s="356">
        <v>4</v>
      </c>
      <c r="T75" s="356">
        <v>11</v>
      </c>
      <c r="U75" s="356">
        <v>8</v>
      </c>
      <c r="V75" s="356">
        <v>8</v>
      </c>
      <c r="W75" s="356">
        <v>2</v>
      </c>
      <c r="X75" s="356">
        <v>0</v>
      </c>
      <c r="Y75" s="356">
        <v>10</v>
      </c>
      <c r="Z75" s="356">
        <v>9</v>
      </c>
      <c r="AA75" s="356">
        <v>5</v>
      </c>
      <c r="AB75" s="356">
        <v>14</v>
      </c>
      <c r="AC75" s="356">
        <v>6</v>
      </c>
      <c r="AD75" s="356">
        <v>13</v>
      </c>
      <c r="AE75" s="356">
        <v>2</v>
      </c>
      <c r="AF75" s="356">
        <v>9</v>
      </c>
      <c r="AG75" s="356">
        <v>3</v>
      </c>
      <c r="AH75" s="356">
        <v>6</v>
      </c>
      <c r="AI75" s="356">
        <v>13</v>
      </c>
      <c r="AJ75" s="356">
        <v>9</v>
      </c>
      <c r="AK75" s="356">
        <v>13</v>
      </c>
      <c r="AL75" s="356">
        <v>13</v>
      </c>
      <c r="AM75" s="356">
        <v>14</v>
      </c>
      <c r="AN75" s="356">
        <v>0</v>
      </c>
      <c r="AO75" s="356">
        <v>0</v>
      </c>
      <c r="AP75" s="356">
        <v>12</v>
      </c>
      <c r="AQ75" s="356">
        <v>5</v>
      </c>
      <c r="AR75" s="356">
        <v>1</v>
      </c>
      <c r="AS75" s="356">
        <v>11</v>
      </c>
      <c r="AT75" s="356">
        <v>12</v>
      </c>
      <c r="AU75" s="356">
        <v>4</v>
      </c>
      <c r="AV75" s="356">
        <v>3</v>
      </c>
      <c r="AW75" s="356">
        <v>4</v>
      </c>
      <c r="AX75" s="356">
        <v>1</v>
      </c>
      <c r="AY75" s="356">
        <v>9</v>
      </c>
      <c r="AZ75" s="356">
        <v>7</v>
      </c>
      <c r="BA75" s="356">
        <v>8</v>
      </c>
      <c r="BB75" s="356">
        <v>9</v>
      </c>
      <c r="BD75" s="353">
        <f t="shared" si="4"/>
        <v>77</v>
      </c>
      <c r="BE75" s="353">
        <f t="shared" si="5"/>
        <v>73</v>
      </c>
      <c r="BF75" s="353">
        <f t="shared" si="6"/>
        <v>85</v>
      </c>
      <c r="BG75" s="353">
        <f t="shared" si="7"/>
        <v>69</v>
      </c>
    </row>
    <row r="76" spans="2:59">
      <c r="B76" s="354">
        <v>68</v>
      </c>
      <c r="C76" s="743" t="s">
        <v>636</v>
      </c>
      <c r="D76" s="744" t="s">
        <v>636</v>
      </c>
      <c r="E76" s="744" t="s">
        <v>636</v>
      </c>
      <c r="F76" s="355">
        <v>52472267</v>
      </c>
      <c r="G76" s="356">
        <v>1</v>
      </c>
      <c r="H76" s="356">
        <v>11</v>
      </c>
      <c r="I76" s="356">
        <v>11</v>
      </c>
      <c r="J76" s="356">
        <v>11</v>
      </c>
      <c r="K76" s="356">
        <v>5</v>
      </c>
      <c r="L76" s="356">
        <v>10</v>
      </c>
      <c r="M76" s="356">
        <v>1</v>
      </c>
      <c r="N76" s="356">
        <v>6</v>
      </c>
      <c r="O76" s="356">
        <v>12</v>
      </c>
      <c r="P76" s="356">
        <v>0</v>
      </c>
      <c r="Q76" s="356">
        <v>8</v>
      </c>
      <c r="R76" s="356">
        <v>9</v>
      </c>
      <c r="S76" s="356">
        <v>5</v>
      </c>
      <c r="T76" s="356">
        <v>14</v>
      </c>
      <c r="U76" s="356">
        <v>4</v>
      </c>
      <c r="V76" s="356">
        <v>14</v>
      </c>
      <c r="W76" s="356">
        <v>14</v>
      </c>
      <c r="X76" s="356">
        <v>4</v>
      </c>
      <c r="Y76" s="356">
        <v>1</v>
      </c>
      <c r="Z76" s="356">
        <v>9</v>
      </c>
      <c r="AA76" s="356">
        <v>6</v>
      </c>
      <c r="AB76" s="356">
        <v>11</v>
      </c>
      <c r="AC76" s="356">
        <v>10</v>
      </c>
      <c r="AD76" s="356">
        <v>1</v>
      </c>
      <c r="AE76" s="356">
        <v>4</v>
      </c>
      <c r="AF76" s="356">
        <v>11</v>
      </c>
      <c r="AG76" s="356">
        <v>4</v>
      </c>
      <c r="AH76" s="356">
        <v>9</v>
      </c>
      <c r="AI76" s="356">
        <v>15</v>
      </c>
      <c r="AJ76" s="356">
        <v>15</v>
      </c>
      <c r="AK76" s="356">
        <v>8</v>
      </c>
      <c r="AL76" s="356">
        <v>0</v>
      </c>
      <c r="AM76" s="356">
        <v>14</v>
      </c>
      <c r="AN76" s="356">
        <v>3</v>
      </c>
      <c r="AO76" s="356">
        <v>14</v>
      </c>
      <c r="AP76" s="356">
        <v>1</v>
      </c>
      <c r="AQ76" s="356">
        <v>1</v>
      </c>
      <c r="AR76" s="356">
        <v>6</v>
      </c>
      <c r="AS76" s="356">
        <v>7</v>
      </c>
      <c r="AT76" s="356">
        <v>15</v>
      </c>
      <c r="AU76" s="356">
        <v>1</v>
      </c>
      <c r="AV76" s="356">
        <v>1</v>
      </c>
      <c r="AW76" s="356">
        <v>1</v>
      </c>
      <c r="AX76" s="356">
        <v>2</v>
      </c>
      <c r="AY76" s="356">
        <v>2</v>
      </c>
      <c r="AZ76" s="356">
        <v>10</v>
      </c>
      <c r="BA76" s="356">
        <v>4</v>
      </c>
      <c r="BB76" s="356">
        <v>13</v>
      </c>
      <c r="BD76" s="353">
        <f t="shared" si="4"/>
        <v>69</v>
      </c>
      <c r="BE76" s="353">
        <f t="shared" si="5"/>
        <v>80</v>
      </c>
      <c r="BF76" s="353">
        <f t="shared" si="6"/>
        <v>73</v>
      </c>
      <c r="BG76" s="353">
        <f t="shared" si="7"/>
        <v>79</v>
      </c>
    </row>
    <row r="77" spans="2:59">
      <c r="B77" s="354">
        <v>69</v>
      </c>
      <c r="C77" s="743" t="s">
        <v>635</v>
      </c>
      <c r="D77" s="744" t="s">
        <v>635</v>
      </c>
      <c r="E77" s="744" t="s">
        <v>635</v>
      </c>
      <c r="F77" s="355">
        <v>91016856</v>
      </c>
      <c r="G77" s="356">
        <v>11</v>
      </c>
      <c r="H77" s="356">
        <v>15</v>
      </c>
      <c r="I77" s="356">
        <v>12</v>
      </c>
      <c r="J77" s="356">
        <v>8</v>
      </c>
      <c r="K77" s="356">
        <v>6</v>
      </c>
      <c r="L77" s="356">
        <v>8</v>
      </c>
      <c r="M77" s="356">
        <v>0</v>
      </c>
      <c r="N77" s="356">
        <v>1</v>
      </c>
      <c r="O77" s="356">
        <v>4</v>
      </c>
      <c r="P77" s="356">
        <v>15</v>
      </c>
      <c r="Q77" s="356">
        <v>10</v>
      </c>
      <c r="R77" s="356">
        <v>8</v>
      </c>
      <c r="S77" s="356">
        <v>0</v>
      </c>
      <c r="T77" s="356">
        <v>15</v>
      </c>
      <c r="U77" s="356">
        <v>12</v>
      </c>
      <c r="V77" s="356">
        <v>2</v>
      </c>
      <c r="W77" s="356">
        <v>1</v>
      </c>
      <c r="X77" s="356">
        <v>15</v>
      </c>
      <c r="Y77" s="356">
        <v>8</v>
      </c>
      <c r="Z77" s="356">
        <v>13</v>
      </c>
      <c r="AA77" s="356">
        <v>11</v>
      </c>
      <c r="AB77" s="356">
        <v>14</v>
      </c>
      <c r="AC77" s="356">
        <v>10</v>
      </c>
      <c r="AD77" s="356">
        <v>15</v>
      </c>
      <c r="AE77" s="356">
        <v>10</v>
      </c>
      <c r="AF77" s="356">
        <v>8</v>
      </c>
      <c r="AG77" s="356">
        <v>9</v>
      </c>
      <c r="AH77" s="356">
        <v>8</v>
      </c>
      <c r="AI77" s="356">
        <v>13</v>
      </c>
      <c r="AJ77" s="356">
        <v>11</v>
      </c>
      <c r="AK77" s="356">
        <v>9</v>
      </c>
      <c r="AL77" s="356">
        <v>11</v>
      </c>
      <c r="AM77" s="356">
        <v>14</v>
      </c>
      <c r="AN77" s="356">
        <v>7</v>
      </c>
      <c r="AO77" s="356">
        <v>13</v>
      </c>
      <c r="AP77" s="356">
        <v>15</v>
      </c>
      <c r="AQ77" s="356">
        <v>10</v>
      </c>
      <c r="AR77" s="356">
        <v>13</v>
      </c>
      <c r="AS77" s="356">
        <v>2</v>
      </c>
      <c r="AT77" s="356">
        <v>2</v>
      </c>
      <c r="AU77" s="356">
        <v>2</v>
      </c>
      <c r="AV77" s="356">
        <v>6</v>
      </c>
      <c r="AW77" s="356">
        <v>4</v>
      </c>
      <c r="AX77" s="356">
        <v>13</v>
      </c>
      <c r="AY77" s="356">
        <v>3</v>
      </c>
      <c r="AZ77" s="356">
        <v>13</v>
      </c>
      <c r="BA77" s="356">
        <v>2</v>
      </c>
      <c r="BB77" s="356">
        <v>1</v>
      </c>
      <c r="BD77" s="353">
        <f t="shared" si="4"/>
        <v>89</v>
      </c>
      <c r="BE77" s="353">
        <f t="shared" si="5"/>
        <v>85</v>
      </c>
      <c r="BF77" s="353">
        <f t="shared" si="6"/>
        <v>91</v>
      </c>
      <c r="BG77" s="353">
        <f t="shared" si="7"/>
        <v>74</v>
      </c>
    </row>
    <row r="78" spans="2:59">
      <c r="B78" s="354">
        <v>70</v>
      </c>
      <c r="C78" s="743" t="s">
        <v>634</v>
      </c>
      <c r="D78" s="744" t="s">
        <v>634</v>
      </c>
      <c r="E78" s="744" t="s">
        <v>634</v>
      </c>
      <c r="F78" s="355">
        <v>1192758215</v>
      </c>
      <c r="G78" s="356">
        <v>14</v>
      </c>
      <c r="H78" s="356">
        <v>3</v>
      </c>
      <c r="I78" s="356">
        <v>2</v>
      </c>
      <c r="J78" s="356">
        <v>12</v>
      </c>
      <c r="K78" s="356">
        <v>9</v>
      </c>
      <c r="L78" s="356">
        <v>13</v>
      </c>
      <c r="M78" s="356">
        <v>10</v>
      </c>
      <c r="N78" s="356">
        <v>1</v>
      </c>
      <c r="O78" s="356">
        <v>3</v>
      </c>
      <c r="P78" s="356">
        <v>0</v>
      </c>
      <c r="Q78" s="356">
        <v>9</v>
      </c>
      <c r="R78" s="356">
        <v>10</v>
      </c>
      <c r="S78" s="356">
        <v>3</v>
      </c>
      <c r="T78" s="356">
        <v>0</v>
      </c>
      <c r="U78" s="356">
        <v>11</v>
      </c>
      <c r="V78" s="356">
        <v>2</v>
      </c>
      <c r="W78" s="356">
        <v>13</v>
      </c>
      <c r="X78" s="356">
        <v>15</v>
      </c>
      <c r="Y78" s="356">
        <v>7</v>
      </c>
      <c r="Z78" s="356">
        <v>4</v>
      </c>
      <c r="AA78" s="356">
        <v>3</v>
      </c>
      <c r="AB78" s="356">
        <v>13</v>
      </c>
      <c r="AC78" s="356">
        <v>12</v>
      </c>
      <c r="AD78" s="356">
        <v>3</v>
      </c>
      <c r="AE78" s="356">
        <v>6</v>
      </c>
      <c r="AF78" s="356">
        <v>15</v>
      </c>
      <c r="AG78" s="356">
        <v>14</v>
      </c>
      <c r="AH78" s="356">
        <v>0</v>
      </c>
      <c r="AI78" s="356">
        <v>11</v>
      </c>
      <c r="AJ78" s="356">
        <v>1</v>
      </c>
      <c r="AK78" s="356">
        <v>1</v>
      </c>
      <c r="AL78" s="356">
        <v>3</v>
      </c>
      <c r="AM78" s="356">
        <v>0</v>
      </c>
      <c r="AN78" s="356">
        <v>3</v>
      </c>
      <c r="AO78" s="356">
        <v>14</v>
      </c>
      <c r="AP78" s="356">
        <v>3</v>
      </c>
      <c r="AQ78" s="356">
        <v>1</v>
      </c>
      <c r="AR78" s="356">
        <v>14</v>
      </c>
      <c r="AS78" s="356">
        <v>12</v>
      </c>
      <c r="AT78" s="356">
        <v>0</v>
      </c>
      <c r="AU78" s="356">
        <v>3</v>
      </c>
      <c r="AV78" s="356">
        <v>12</v>
      </c>
      <c r="AW78" s="356">
        <v>15</v>
      </c>
      <c r="AX78" s="356">
        <v>15</v>
      </c>
      <c r="AY78" s="356">
        <v>3</v>
      </c>
      <c r="AZ78" s="356">
        <v>9</v>
      </c>
      <c r="BA78" s="356">
        <v>10</v>
      </c>
      <c r="BB78" s="356">
        <v>9</v>
      </c>
      <c r="BD78" s="353">
        <f t="shared" si="4"/>
        <v>107</v>
      </c>
      <c r="BE78" s="353">
        <f t="shared" si="5"/>
        <v>69</v>
      </c>
      <c r="BF78" s="353">
        <f t="shared" si="6"/>
        <v>117</v>
      </c>
      <c r="BG78" s="353">
        <f t="shared" si="7"/>
        <v>55</v>
      </c>
    </row>
    <row r="79" spans="2:59">
      <c r="B79" s="354">
        <v>71</v>
      </c>
      <c r="C79" s="743" t="s">
        <v>633</v>
      </c>
      <c r="D79" s="744" t="s">
        <v>633</v>
      </c>
      <c r="E79" s="744" t="s">
        <v>633</v>
      </c>
      <c r="F79" s="355">
        <v>1088672657</v>
      </c>
      <c r="G79" s="356">
        <v>14</v>
      </c>
      <c r="H79" s="356">
        <v>8</v>
      </c>
      <c r="I79" s="356">
        <v>9</v>
      </c>
      <c r="J79" s="356">
        <v>13</v>
      </c>
      <c r="K79" s="356">
        <v>5</v>
      </c>
      <c r="L79" s="356">
        <v>2</v>
      </c>
      <c r="M79" s="356">
        <v>1</v>
      </c>
      <c r="N79" s="356">
        <v>13</v>
      </c>
      <c r="O79" s="356">
        <v>13</v>
      </c>
      <c r="P79" s="356">
        <v>10</v>
      </c>
      <c r="Q79" s="356">
        <v>4</v>
      </c>
      <c r="R79" s="356">
        <v>2</v>
      </c>
      <c r="S79" s="356">
        <v>15</v>
      </c>
      <c r="T79" s="356">
        <v>11</v>
      </c>
      <c r="U79" s="356">
        <v>5</v>
      </c>
      <c r="V79" s="356">
        <v>10</v>
      </c>
      <c r="W79" s="356">
        <v>7</v>
      </c>
      <c r="X79" s="356">
        <v>4</v>
      </c>
      <c r="Y79" s="356">
        <v>3</v>
      </c>
      <c r="Z79" s="356">
        <v>3</v>
      </c>
      <c r="AA79" s="356">
        <v>12</v>
      </c>
      <c r="AB79" s="356">
        <v>9</v>
      </c>
      <c r="AC79" s="356">
        <v>11</v>
      </c>
      <c r="AD79" s="356">
        <v>5</v>
      </c>
      <c r="AE79" s="356">
        <v>7</v>
      </c>
      <c r="AF79" s="356">
        <v>5</v>
      </c>
      <c r="AG79" s="356">
        <v>2</v>
      </c>
      <c r="AH79" s="356">
        <v>6</v>
      </c>
      <c r="AI79" s="356">
        <v>1</v>
      </c>
      <c r="AJ79" s="356">
        <v>1</v>
      </c>
      <c r="AK79" s="356">
        <v>5</v>
      </c>
      <c r="AL79" s="356">
        <v>0</v>
      </c>
      <c r="AM79" s="356">
        <v>11</v>
      </c>
      <c r="AN79" s="356">
        <v>5</v>
      </c>
      <c r="AO79" s="356">
        <v>5</v>
      </c>
      <c r="AP79" s="356">
        <v>10</v>
      </c>
      <c r="AQ79" s="356">
        <v>15</v>
      </c>
      <c r="AR79" s="356">
        <v>10</v>
      </c>
      <c r="AS79" s="356">
        <v>9</v>
      </c>
      <c r="AT79" s="356">
        <v>2</v>
      </c>
      <c r="AU79" s="356">
        <v>7</v>
      </c>
      <c r="AV79" s="356">
        <v>15</v>
      </c>
      <c r="AW79" s="356">
        <v>10</v>
      </c>
      <c r="AX79" s="356">
        <v>2</v>
      </c>
      <c r="AY79" s="356">
        <v>3</v>
      </c>
      <c r="AZ79" s="356">
        <v>7</v>
      </c>
      <c r="BA79" s="356">
        <v>9</v>
      </c>
      <c r="BB79" s="356">
        <v>9</v>
      </c>
      <c r="BD79" s="353">
        <f t="shared" si="4"/>
        <v>64</v>
      </c>
      <c r="BE79" s="353">
        <f t="shared" si="5"/>
        <v>110</v>
      </c>
      <c r="BF79" s="353">
        <f t="shared" si="6"/>
        <v>73</v>
      </c>
      <c r="BG79" s="353">
        <f t="shared" si="7"/>
        <v>96</v>
      </c>
    </row>
    <row r="80" spans="2:59">
      <c r="B80" s="354">
        <v>72</v>
      </c>
      <c r="C80" s="743" t="s">
        <v>632</v>
      </c>
      <c r="D80" s="744" t="s">
        <v>632</v>
      </c>
      <c r="E80" s="744" t="s">
        <v>632</v>
      </c>
      <c r="F80" s="355">
        <v>1186963621</v>
      </c>
      <c r="G80" s="356">
        <v>14</v>
      </c>
      <c r="H80" s="356">
        <v>4</v>
      </c>
      <c r="I80" s="356">
        <v>8</v>
      </c>
      <c r="J80" s="356">
        <v>6</v>
      </c>
      <c r="K80" s="356">
        <v>5</v>
      </c>
      <c r="L80" s="356">
        <v>0</v>
      </c>
      <c r="M80" s="356">
        <v>15</v>
      </c>
      <c r="N80" s="356">
        <v>0</v>
      </c>
      <c r="O80" s="356">
        <v>11</v>
      </c>
      <c r="P80" s="356">
        <v>11</v>
      </c>
      <c r="Q80" s="356">
        <v>7</v>
      </c>
      <c r="R80" s="356">
        <v>2</v>
      </c>
      <c r="S80" s="356">
        <v>14</v>
      </c>
      <c r="T80" s="356">
        <v>12</v>
      </c>
      <c r="U80" s="356">
        <v>9</v>
      </c>
      <c r="V80" s="356">
        <v>5</v>
      </c>
      <c r="W80" s="356">
        <v>3</v>
      </c>
      <c r="X80" s="356">
        <v>2</v>
      </c>
      <c r="Y80" s="356">
        <v>3</v>
      </c>
      <c r="Z80" s="356">
        <v>14</v>
      </c>
      <c r="AA80" s="356">
        <v>0</v>
      </c>
      <c r="AB80" s="356">
        <v>9</v>
      </c>
      <c r="AC80" s="356">
        <v>6</v>
      </c>
      <c r="AD80" s="356">
        <v>15</v>
      </c>
      <c r="AE80" s="356">
        <v>7</v>
      </c>
      <c r="AF80" s="356">
        <v>11</v>
      </c>
      <c r="AG80" s="356">
        <v>8</v>
      </c>
      <c r="AH80" s="356">
        <v>4</v>
      </c>
      <c r="AI80" s="356">
        <v>12</v>
      </c>
      <c r="AJ80" s="356">
        <v>7</v>
      </c>
      <c r="AK80" s="356">
        <v>2</v>
      </c>
      <c r="AL80" s="356">
        <v>1</v>
      </c>
      <c r="AM80" s="356">
        <v>3</v>
      </c>
      <c r="AN80" s="356">
        <v>14</v>
      </c>
      <c r="AO80" s="356">
        <v>7</v>
      </c>
      <c r="AP80" s="356">
        <v>5</v>
      </c>
      <c r="AQ80" s="356">
        <v>7</v>
      </c>
      <c r="AR80" s="356">
        <v>1</v>
      </c>
      <c r="AS80" s="356">
        <v>13</v>
      </c>
      <c r="AT80" s="356">
        <v>10</v>
      </c>
      <c r="AU80" s="356">
        <v>3</v>
      </c>
      <c r="AV80" s="356">
        <v>7</v>
      </c>
      <c r="AW80" s="356">
        <v>5</v>
      </c>
      <c r="AX80" s="356">
        <v>11</v>
      </c>
      <c r="AY80" s="356">
        <v>14</v>
      </c>
      <c r="AZ80" s="356">
        <v>7</v>
      </c>
      <c r="BA80" s="356">
        <v>1</v>
      </c>
      <c r="BB80" s="356">
        <v>1</v>
      </c>
      <c r="BD80" s="353">
        <f t="shared" si="4"/>
        <v>83</v>
      </c>
      <c r="BE80" s="353">
        <f t="shared" si="5"/>
        <v>93</v>
      </c>
      <c r="BF80" s="353">
        <f t="shared" si="6"/>
        <v>84</v>
      </c>
      <c r="BG80" s="353">
        <f t="shared" si="7"/>
        <v>79</v>
      </c>
    </row>
    <row r="81" spans="2:59">
      <c r="B81" s="354">
        <v>73</v>
      </c>
      <c r="C81" s="743" t="s">
        <v>631</v>
      </c>
      <c r="D81" s="744" t="s">
        <v>631</v>
      </c>
      <c r="E81" s="744" t="s">
        <v>631</v>
      </c>
      <c r="F81" s="355">
        <v>1095511362</v>
      </c>
      <c r="G81" s="356">
        <v>1</v>
      </c>
      <c r="H81" s="356">
        <v>14</v>
      </c>
      <c r="I81" s="356">
        <v>7</v>
      </c>
      <c r="J81" s="356">
        <v>13</v>
      </c>
      <c r="K81" s="356">
        <v>11</v>
      </c>
      <c r="L81" s="356">
        <v>10</v>
      </c>
      <c r="M81" s="356">
        <v>14</v>
      </c>
      <c r="N81" s="356">
        <v>8</v>
      </c>
      <c r="O81" s="356">
        <v>10</v>
      </c>
      <c r="P81" s="356">
        <v>7</v>
      </c>
      <c r="Q81" s="356">
        <v>1</v>
      </c>
      <c r="R81" s="356">
        <v>11</v>
      </c>
      <c r="S81" s="356">
        <v>6</v>
      </c>
      <c r="T81" s="356">
        <v>3</v>
      </c>
      <c r="U81" s="356">
        <v>3</v>
      </c>
      <c r="V81" s="356">
        <v>7</v>
      </c>
      <c r="W81" s="356">
        <v>2</v>
      </c>
      <c r="X81" s="356">
        <v>6</v>
      </c>
      <c r="Y81" s="356">
        <v>7</v>
      </c>
      <c r="Z81" s="356">
        <v>12</v>
      </c>
      <c r="AA81" s="356">
        <v>1</v>
      </c>
      <c r="AB81" s="356">
        <v>7</v>
      </c>
      <c r="AC81" s="356">
        <v>12</v>
      </c>
      <c r="AD81" s="356">
        <v>2</v>
      </c>
      <c r="AE81" s="356">
        <v>11</v>
      </c>
      <c r="AF81" s="356">
        <v>0</v>
      </c>
      <c r="AG81" s="356">
        <v>6</v>
      </c>
      <c r="AH81" s="356">
        <v>12</v>
      </c>
      <c r="AI81" s="356">
        <v>15</v>
      </c>
      <c r="AJ81" s="356">
        <v>5</v>
      </c>
      <c r="AK81" s="356">
        <v>2</v>
      </c>
      <c r="AL81" s="356">
        <v>2</v>
      </c>
      <c r="AM81" s="356">
        <v>7</v>
      </c>
      <c r="AN81" s="356">
        <v>3</v>
      </c>
      <c r="AO81" s="356">
        <v>7</v>
      </c>
      <c r="AP81" s="356">
        <v>15</v>
      </c>
      <c r="AQ81" s="356">
        <v>6</v>
      </c>
      <c r="AR81" s="356">
        <v>2</v>
      </c>
      <c r="AS81" s="356">
        <v>11</v>
      </c>
      <c r="AT81" s="356">
        <v>12</v>
      </c>
      <c r="AU81" s="356">
        <v>12</v>
      </c>
      <c r="AV81" s="356">
        <v>9</v>
      </c>
      <c r="AW81" s="356">
        <v>12</v>
      </c>
      <c r="AX81" s="356">
        <v>5</v>
      </c>
      <c r="AY81" s="356">
        <v>4</v>
      </c>
      <c r="AZ81" s="356">
        <v>9</v>
      </c>
      <c r="BA81" s="356">
        <v>15</v>
      </c>
      <c r="BB81" s="356">
        <v>3</v>
      </c>
      <c r="BD81" s="353">
        <f t="shared" si="4"/>
        <v>82</v>
      </c>
      <c r="BE81" s="353">
        <f t="shared" si="5"/>
        <v>86</v>
      </c>
      <c r="BF81" s="353">
        <f t="shared" si="6"/>
        <v>97</v>
      </c>
      <c r="BG81" s="353">
        <f t="shared" si="7"/>
        <v>85</v>
      </c>
    </row>
    <row r="82" spans="2:59">
      <c r="B82" s="354">
        <v>74</v>
      </c>
      <c r="C82" s="743" t="s">
        <v>630</v>
      </c>
      <c r="D82" s="744" t="s">
        <v>630</v>
      </c>
      <c r="E82" s="744" t="s">
        <v>630</v>
      </c>
      <c r="F82" s="355">
        <v>1127343913</v>
      </c>
      <c r="G82" s="356">
        <v>9</v>
      </c>
      <c r="H82" s="356">
        <v>12</v>
      </c>
      <c r="I82" s="356">
        <v>3</v>
      </c>
      <c r="J82" s="356">
        <v>14</v>
      </c>
      <c r="K82" s="356">
        <v>0</v>
      </c>
      <c r="L82" s="356">
        <v>5</v>
      </c>
      <c r="M82" s="356">
        <v>9</v>
      </c>
      <c r="N82" s="356">
        <v>15</v>
      </c>
      <c r="O82" s="356">
        <v>6</v>
      </c>
      <c r="P82" s="356">
        <v>4</v>
      </c>
      <c r="Q82" s="356">
        <v>3</v>
      </c>
      <c r="R82" s="356">
        <v>0</v>
      </c>
      <c r="S82" s="356">
        <v>2</v>
      </c>
      <c r="T82" s="356">
        <v>6</v>
      </c>
      <c r="U82" s="356">
        <v>3</v>
      </c>
      <c r="V82" s="356">
        <v>5</v>
      </c>
      <c r="W82" s="356">
        <v>7</v>
      </c>
      <c r="X82" s="356">
        <v>2</v>
      </c>
      <c r="Y82" s="356">
        <v>5</v>
      </c>
      <c r="Z82" s="356">
        <v>7</v>
      </c>
      <c r="AA82" s="356">
        <v>10</v>
      </c>
      <c r="AB82" s="356">
        <v>4</v>
      </c>
      <c r="AC82" s="356">
        <v>3</v>
      </c>
      <c r="AD82" s="356">
        <v>15</v>
      </c>
      <c r="AE82" s="356">
        <v>2</v>
      </c>
      <c r="AF82" s="356">
        <v>2</v>
      </c>
      <c r="AG82" s="356">
        <v>2</v>
      </c>
      <c r="AH82" s="356">
        <v>1</v>
      </c>
      <c r="AI82" s="356">
        <v>2</v>
      </c>
      <c r="AJ82" s="356">
        <v>8</v>
      </c>
      <c r="AK82" s="356">
        <v>6</v>
      </c>
      <c r="AL82" s="356">
        <v>3</v>
      </c>
      <c r="AM82" s="356">
        <v>2</v>
      </c>
      <c r="AN82" s="356">
        <v>8</v>
      </c>
      <c r="AO82" s="356">
        <v>6</v>
      </c>
      <c r="AP82" s="356">
        <v>2</v>
      </c>
      <c r="AQ82" s="356">
        <v>12</v>
      </c>
      <c r="AR82" s="356">
        <v>1</v>
      </c>
      <c r="AS82" s="356">
        <v>1</v>
      </c>
      <c r="AT82" s="356">
        <v>5</v>
      </c>
      <c r="AU82" s="356">
        <v>4</v>
      </c>
      <c r="AV82" s="356">
        <v>2</v>
      </c>
      <c r="AW82" s="356">
        <v>13</v>
      </c>
      <c r="AX82" s="356">
        <v>14</v>
      </c>
      <c r="AY82" s="356">
        <v>7</v>
      </c>
      <c r="AZ82" s="356">
        <v>7</v>
      </c>
      <c r="BA82" s="356">
        <v>1</v>
      </c>
      <c r="BB82" s="356">
        <v>2</v>
      </c>
      <c r="BD82" s="353">
        <f t="shared" si="4"/>
        <v>54</v>
      </c>
      <c r="BE82" s="353">
        <f t="shared" si="5"/>
        <v>63</v>
      </c>
      <c r="BF82" s="353">
        <f t="shared" si="6"/>
        <v>55</v>
      </c>
      <c r="BG82" s="353">
        <f t="shared" si="7"/>
        <v>54</v>
      </c>
    </row>
    <row r="83" spans="2:59">
      <c r="B83" s="354">
        <v>75</v>
      </c>
      <c r="C83" s="743" t="s">
        <v>629</v>
      </c>
      <c r="D83" s="744" t="s">
        <v>629</v>
      </c>
      <c r="E83" s="744" t="s">
        <v>629</v>
      </c>
      <c r="F83" s="355">
        <v>1099368086</v>
      </c>
      <c r="G83" s="356">
        <v>3</v>
      </c>
      <c r="H83" s="356">
        <v>9</v>
      </c>
      <c r="I83" s="356">
        <v>5</v>
      </c>
      <c r="J83" s="356">
        <v>0</v>
      </c>
      <c r="K83" s="356">
        <v>8</v>
      </c>
      <c r="L83" s="356">
        <v>2</v>
      </c>
      <c r="M83" s="356">
        <v>7</v>
      </c>
      <c r="N83" s="356">
        <v>6</v>
      </c>
      <c r="O83" s="356">
        <v>15</v>
      </c>
      <c r="P83" s="356">
        <v>0</v>
      </c>
      <c r="Q83" s="356">
        <v>4</v>
      </c>
      <c r="R83" s="356">
        <v>4</v>
      </c>
      <c r="S83" s="356">
        <v>3</v>
      </c>
      <c r="T83" s="356">
        <v>12</v>
      </c>
      <c r="U83" s="356">
        <v>7</v>
      </c>
      <c r="V83" s="356">
        <v>0</v>
      </c>
      <c r="W83" s="356">
        <v>11</v>
      </c>
      <c r="X83" s="356">
        <v>9</v>
      </c>
      <c r="Y83" s="356">
        <v>7</v>
      </c>
      <c r="Z83" s="356">
        <v>10</v>
      </c>
      <c r="AA83" s="356">
        <v>8</v>
      </c>
      <c r="AB83" s="356">
        <v>6</v>
      </c>
      <c r="AC83" s="356">
        <v>5</v>
      </c>
      <c r="AD83" s="356">
        <v>2</v>
      </c>
      <c r="AE83" s="356">
        <v>1</v>
      </c>
      <c r="AF83" s="356">
        <v>7</v>
      </c>
      <c r="AG83" s="356">
        <v>1</v>
      </c>
      <c r="AH83" s="356">
        <v>2</v>
      </c>
      <c r="AI83" s="356">
        <v>2</v>
      </c>
      <c r="AJ83" s="356">
        <v>11</v>
      </c>
      <c r="AK83" s="356">
        <v>2</v>
      </c>
      <c r="AL83" s="356">
        <v>6</v>
      </c>
      <c r="AM83" s="356">
        <v>0</v>
      </c>
      <c r="AN83" s="356">
        <v>13</v>
      </c>
      <c r="AO83" s="356">
        <v>11</v>
      </c>
      <c r="AP83" s="356">
        <v>1</v>
      </c>
      <c r="AQ83" s="356">
        <v>3</v>
      </c>
      <c r="AR83" s="356">
        <v>2</v>
      </c>
      <c r="AS83" s="356">
        <v>7</v>
      </c>
      <c r="AT83" s="356">
        <v>0</v>
      </c>
      <c r="AU83" s="356">
        <v>6</v>
      </c>
      <c r="AV83" s="356">
        <v>3</v>
      </c>
      <c r="AW83" s="356">
        <v>1</v>
      </c>
      <c r="AX83" s="356">
        <v>5</v>
      </c>
      <c r="AY83" s="356">
        <v>6</v>
      </c>
      <c r="AZ83" s="356">
        <v>14</v>
      </c>
      <c r="BA83" s="356">
        <v>2</v>
      </c>
      <c r="BB83" s="356">
        <v>8</v>
      </c>
      <c r="BD83" s="353">
        <f t="shared" si="4"/>
        <v>57</v>
      </c>
      <c r="BE83" s="353">
        <f t="shared" si="5"/>
        <v>66</v>
      </c>
      <c r="BF83" s="353">
        <f t="shared" si="6"/>
        <v>59</v>
      </c>
      <c r="BG83" s="353">
        <f t="shared" si="7"/>
        <v>63</v>
      </c>
    </row>
    <row r="84" spans="2:59">
      <c r="B84" s="354">
        <v>76</v>
      </c>
      <c r="C84" s="743" t="s">
        <v>628</v>
      </c>
      <c r="D84" s="744" t="s">
        <v>628</v>
      </c>
      <c r="E84" s="744" t="s">
        <v>628</v>
      </c>
      <c r="F84" s="355">
        <v>1099368087</v>
      </c>
      <c r="G84" s="356">
        <v>4</v>
      </c>
      <c r="H84" s="356">
        <v>2</v>
      </c>
      <c r="I84" s="356">
        <v>2</v>
      </c>
      <c r="J84" s="356">
        <v>8</v>
      </c>
      <c r="K84" s="356">
        <v>0</v>
      </c>
      <c r="L84" s="356">
        <v>12</v>
      </c>
      <c r="M84" s="356">
        <v>0</v>
      </c>
      <c r="N84" s="356">
        <v>6</v>
      </c>
      <c r="O84" s="356">
        <v>2</v>
      </c>
      <c r="P84" s="356">
        <v>9</v>
      </c>
      <c r="Q84" s="356">
        <v>8</v>
      </c>
      <c r="R84" s="356">
        <v>12</v>
      </c>
      <c r="S84" s="356">
        <v>8</v>
      </c>
      <c r="T84" s="356">
        <v>11</v>
      </c>
      <c r="U84" s="356">
        <v>12</v>
      </c>
      <c r="V84" s="356">
        <v>11</v>
      </c>
      <c r="W84" s="356">
        <v>5</v>
      </c>
      <c r="X84" s="356">
        <v>9</v>
      </c>
      <c r="Y84" s="356">
        <v>7</v>
      </c>
      <c r="Z84" s="356">
        <v>6</v>
      </c>
      <c r="AA84" s="356">
        <v>4</v>
      </c>
      <c r="AB84" s="356">
        <v>15</v>
      </c>
      <c r="AC84" s="356">
        <v>13</v>
      </c>
      <c r="AD84" s="356">
        <v>8</v>
      </c>
      <c r="AE84" s="356">
        <v>4</v>
      </c>
      <c r="AF84" s="356">
        <v>4</v>
      </c>
      <c r="AG84" s="356">
        <v>10</v>
      </c>
      <c r="AH84" s="356">
        <v>13</v>
      </c>
      <c r="AI84" s="356">
        <v>14</v>
      </c>
      <c r="AJ84" s="356">
        <v>12</v>
      </c>
      <c r="AK84" s="356">
        <v>5</v>
      </c>
      <c r="AL84" s="356">
        <v>11</v>
      </c>
      <c r="AM84" s="356">
        <v>0</v>
      </c>
      <c r="AN84" s="356">
        <v>10</v>
      </c>
      <c r="AO84" s="356">
        <v>7</v>
      </c>
      <c r="AP84" s="356">
        <v>6</v>
      </c>
      <c r="AQ84" s="356">
        <v>12</v>
      </c>
      <c r="AR84" s="356">
        <v>3</v>
      </c>
      <c r="AS84" s="356">
        <v>3</v>
      </c>
      <c r="AT84" s="356">
        <v>14</v>
      </c>
      <c r="AU84" s="356">
        <v>8</v>
      </c>
      <c r="AV84" s="356">
        <v>10</v>
      </c>
      <c r="AW84" s="356">
        <v>9</v>
      </c>
      <c r="AX84" s="356">
        <v>6</v>
      </c>
      <c r="AY84" s="356">
        <v>14</v>
      </c>
      <c r="AZ84" s="356">
        <v>15</v>
      </c>
      <c r="BA84" s="356">
        <v>1</v>
      </c>
      <c r="BB84" s="356">
        <v>1</v>
      </c>
      <c r="BD84" s="353">
        <f t="shared" si="4"/>
        <v>76</v>
      </c>
      <c r="BE84" s="353">
        <f t="shared" si="5"/>
        <v>75</v>
      </c>
      <c r="BF84" s="353">
        <f t="shared" si="6"/>
        <v>77</v>
      </c>
      <c r="BG84" s="353">
        <f t="shared" si="7"/>
        <v>71</v>
      </c>
    </row>
    <row r="85" spans="2:59">
      <c r="B85" s="354">
        <v>77</v>
      </c>
      <c r="C85" s="743" t="s">
        <v>627</v>
      </c>
      <c r="D85" s="744" t="s">
        <v>627</v>
      </c>
      <c r="E85" s="744" t="s">
        <v>627</v>
      </c>
      <c r="F85" s="355">
        <v>1099371066</v>
      </c>
      <c r="G85" s="356">
        <v>11</v>
      </c>
      <c r="H85" s="356">
        <v>5</v>
      </c>
      <c r="I85" s="356">
        <v>6</v>
      </c>
      <c r="J85" s="356">
        <v>13</v>
      </c>
      <c r="K85" s="356">
        <v>14</v>
      </c>
      <c r="L85" s="356">
        <v>13</v>
      </c>
      <c r="M85" s="356">
        <v>11</v>
      </c>
      <c r="N85" s="356">
        <v>12</v>
      </c>
      <c r="O85" s="356">
        <v>15</v>
      </c>
      <c r="P85" s="356">
        <v>13</v>
      </c>
      <c r="Q85" s="356">
        <v>3</v>
      </c>
      <c r="R85" s="356">
        <v>6</v>
      </c>
      <c r="S85" s="356">
        <v>2</v>
      </c>
      <c r="T85" s="356">
        <v>9</v>
      </c>
      <c r="U85" s="356">
        <v>1</v>
      </c>
      <c r="V85" s="356">
        <v>7</v>
      </c>
      <c r="W85" s="356">
        <v>6</v>
      </c>
      <c r="X85" s="356">
        <v>1</v>
      </c>
      <c r="Y85" s="356">
        <v>4</v>
      </c>
      <c r="Z85" s="356">
        <v>11</v>
      </c>
      <c r="AA85" s="356">
        <v>9</v>
      </c>
      <c r="AB85" s="356">
        <v>7</v>
      </c>
      <c r="AC85" s="356">
        <v>14</v>
      </c>
      <c r="AD85" s="356">
        <v>13</v>
      </c>
      <c r="AE85" s="356">
        <v>1</v>
      </c>
      <c r="AF85" s="356">
        <v>13</v>
      </c>
      <c r="AG85" s="356">
        <v>3</v>
      </c>
      <c r="AH85" s="356">
        <v>10</v>
      </c>
      <c r="AI85" s="356">
        <v>7</v>
      </c>
      <c r="AJ85" s="356">
        <v>13</v>
      </c>
      <c r="AK85" s="356">
        <v>10</v>
      </c>
      <c r="AL85" s="356">
        <v>5</v>
      </c>
      <c r="AM85" s="356">
        <v>13</v>
      </c>
      <c r="AN85" s="356">
        <v>3</v>
      </c>
      <c r="AO85" s="356">
        <v>13</v>
      </c>
      <c r="AP85" s="356">
        <v>3</v>
      </c>
      <c r="AQ85" s="356">
        <v>13</v>
      </c>
      <c r="AR85" s="356">
        <v>11</v>
      </c>
      <c r="AS85" s="356">
        <v>11</v>
      </c>
      <c r="AT85" s="356">
        <v>9</v>
      </c>
      <c r="AU85" s="356">
        <v>8</v>
      </c>
      <c r="AV85" s="356">
        <v>13</v>
      </c>
      <c r="AW85" s="356">
        <v>5</v>
      </c>
      <c r="AX85" s="356">
        <v>8</v>
      </c>
      <c r="AY85" s="356">
        <v>14</v>
      </c>
      <c r="AZ85" s="356">
        <v>4</v>
      </c>
      <c r="BA85" s="356">
        <v>8</v>
      </c>
      <c r="BB85" s="356">
        <v>12</v>
      </c>
      <c r="BD85" s="353">
        <f t="shared" si="4"/>
        <v>81</v>
      </c>
      <c r="BE85" s="353">
        <f t="shared" si="5"/>
        <v>113</v>
      </c>
      <c r="BF85" s="353">
        <f t="shared" si="6"/>
        <v>89</v>
      </c>
      <c r="BG85" s="353">
        <f t="shared" si="7"/>
        <v>102</v>
      </c>
    </row>
    <row r="86" spans="2:59">
      <c r="B86" s="354">
        <v>78</v>
      </c>
      <c r="C86" s="743" t="s">
        <v>626</v>
      </c>
      <c r="D86" s="744" t="s">
        <v>626</v>
      </c>
      <c r="E86" s="744" t="s">
        <v>626</v>
      </c>
      <c r="F86" s="355">
        <v>91260179</v>
      </c>
      <c r="G86" s="356">
        <v>2</v>
      </c>
      <c r="H86" s="356">
        <v>0</v>
      </c>
      <c r="I86" s="356">
        <v>5</v>
      </c>
      <c r="J86" s="356">
        <v>8</v>
      </c>
      <c r="K86" s="356">
        <v>11</v>
      </c>
      <c r="L86" s="356">
        <v>4</v>
      </c>
      <c r="M86" s="356">
        <v>2</v>
      </c>
      <c r="N86" s="356">
        <v>3</v>
      </c>
      <c r="O86" s="356">
        <v>10</v>
      </c>
      <c r="P86" s="356">
        <v>2</v>
      </c>
      <c r="Q86" s="356">
        <v>0</v>
      </c>
      <c r="R86" s="356">
        <v>6</v>
      </c>
      <c r="S86" s="356">
        <v>3</v>
      </c>
      <c r="T86" s="356">
        <v>2</v>
      </c>
      <c r="U86" s="356">
        <v>14</v>
      </c>
      <c r="V86" s="356">
        <v>0</v>
      </c>
      <c r="W86" s="356">
        <v>15</v>
      </c>
      <c r="X86" s="356">
        <v>15</v>
      </c>
      <c r="Y86" s="356">
        <v>12</v>
      </c>
      <c r="Z86" s="356">
        <v>13</v>
      </c>
      <c r="AA86" s="356">
        <v>4</v>
      </c>
      <c r="AB86" s="356">
        <v>9</v>
      </c>
      <c r="AC86" s="356">
        <v>13</v>
      </c>
      <c r="AD86" s="356">
        <v>2</v>
      </c>
      <c r="AE86" s="356">
        <v>3</v>
      </c>
      <c r="AF86" s="356">
        <v>8</v>
      </c>
      <c r="AG86" s="356">
        <v>1</v>
      </c>
      <c r="AH86" s="356">
        <v>12</v>
      </c>
      <c r="AI86" s="356">
        <v>9</v>
      </c>
      <c r="AJ86" s="356">
        <v>10</v>
      </c>
      <c r="AK86" s="356">
        <v>6</v>
      </c>
      <c r="AL86" s="356">
        <v>12</v>
      </c>
      <c r="AM86" s="356">
        <v>1</v>
      </c>
      <c r="AN86" s="356">
        <v>0</v>
      </c>
      <c r="AO86" s="356">
        <v>10</v>
      </c>
      <c r="AP86" s="356">
        <v>10</v>
      </c>
      <c r="AQ86" s="356">
        <v>5</v>
      </c>
      <c r="AR86" s="356">
        <v>3</v>
      </c>
      <c r="AS86" s="356">
        <v>9</v>
      </c>
      <c r="AT86" s="356">
        <v>3</v>
      </c>
      <c r="AU86" s="356">
        <v>5</v>
      </c>
      <c r="AV86" s="356">
        <v>1</v>
      </c>
      <c r="AW86" s="356">
        <v>9</v>
      </c>
      <c r="AX86" s="356">
        <v>12</v>
      </c>
      <c r="AY86" s="356">
        <v>6</v>
      </c>
      <c r="AZ86" s="356">
        <v>11</v>
      </c>
      <c r="BA86" s="356">
        <v>12</v>
      </c>
      <c r="BB86" s="356">
        <v>11</v>
      </c>
      <c r="BD86" s="353">
        <f t="shared" si="4"/>
        <v>81</v>
      </c>
      <c r="BE86" s="353">
        <f t="shared" si="5"/>
        <v>74</v>
      </c>
      <c r="BF86" s="353">
        <f t="shared" si="6"/>
        <v>93</v>
      </c>
      <c r="BG86" s="353">
        <f t="shared" si="7"/>
        <v>72</v>
      </c>
    </row>
    <row r="87" spans="2:59">
      <c r="B87" s="354">
        <v>79</v>
      </c>
      <c r="C87" s="743" t="s">
        <v>625</v>
      </c>
      <c r="D87" s="744" t="s">
        <v>625</v>
      </c>
      <c r="E87" s="744" t="s">
        <v>625</v>
      </c>
      <c r="F87" s="355">
        <v>63497901</v>
      </c>
      <c r="G87" s="356">
        <v>0</v>
      </c>
      <c r="H87" s="356">
        <v>12</v>
      </c>
      <c r="I87" s="356">
        <v>2</v>
      </c>
      <c r="J87" s="356">
        <v>13</v>
      </c>
      <c r="K87" s="356">
        <v>13</v>
      </c>
      <c r="L87" s="356">
        <v>12</v>
      </c>
      <c r="M87" s="356">
        <v>9</v>
      </c>
      <c r="N87" s="356">
        <v>14</v>
      </c>
      <c r="O87" s="356">
        <v>4</v>
      </c>
      <c r="P87" s="356">
        <v>1</v>
      </c>
      <c r="Q87" s="356">
        <v>15</v>
      </c>
      <c r="R87" s="356">
        <v>2</v>
      </c>
      <c r="S87" s="356">
        <v>15</v>
      </c>
      <c r="T87" s="356">
        <v>15</v>
      </c>
      <c r="U87" s="356">
        <v>14</v>
      </c>
      <c r="V87" s="356">
        <v>1</v>
      </c>
      <c r="W87" s="356">
        <v>3</v>
      </c>
      <c r="X87" s="356">
        <v>10</v>
      </c>
      <c r="Y87" s="356">
        <v>13</v>
      </c>
      <c r="Z87" s="356">
        <v>11</v>
      </c>
      <c r="AA87" s="356">
        <v>15</v>
      </c>
      <c r="AB87" s="356">
        <v>7</v>
      </c>
      <c r="AC87" s="356">
        <v>5</v>
      </c>
      <c r="AD87" s="356">
        <v>12</v>
      </c>
      <c r="AE87" s="356">
        <v>1</v>
      </c>
      <c r="AF87" s="356">
        <v>3</v>
      </c>
      <c r="AG87" s="356">
        <v>5</v>
      </c>
      <c r="AH87" s="356">
        <v>4</v>
      </c>
      <c r="AI87" s="356">
        <v>5</v>
      </c>
      <c r="AJ87" s="356">
        <v>3</v>
      </c>
      <c r="AK87" s="356">
        <v>13</v>
      </c>
      <c r="AL87" s="356">
        <v>6</v>
      </c>
      <c r="AM87" s="356">
        <v>6</v>
      </c>
      <c r="AN87" s="356">
        <v>5</v>
      </c>
      <c r="AO87" s="356">
        <v>12</v>
      </c>
      <c r="AP87" s="356">
        <v>12</v>
      </c>
      <c r="AQ87" s="356">
        <v>6</v>
      </c>
      <c r="AR87" s="356">
        <v>12</v>
      </c>
      <c r="AS87" s="356">
        <v>4</v>
      </c>
      <c r="AT87" s="356">
        <v>1</v>
      </c>
      <c r="AU87" s="356">
        <v>15</v>
      </c>
      <c r="AV87" s="356">
        <v>13</v>
      </c>
      <c r="AW87" s="356">
        <v>3</v>
      </c>
      <c r="AX87" s="356">
        <v>11</v>
      </c>
      <c r="AY87" s="356">
        <v>9</v>
      </c>
      <c r="AZ87" s="356">
        <v>15</v>
      </c>
      <c r="BA87" s="356">
        <v>8</v>
      </c>
      <c r="BB87" s="356">
        <v>0</v>
      </c>
      <c r="BD87" s="353">
        <f t="shared" si="4"/>
        <v>95</v>
      </c>
      <c r="BE87" s="353">
        <f t="shared" si="5"/>
        <v>92</v>
      </c>
      <c r="BF87" s="353">
        <f t="shared" si="6"/>
        <v>103</v>
      </c>
      <c r="BG87" s="353">
        <f t="shared" si="7"/>
        <v>92</v>
      </c>
    </row>
    <row r="88" spans="2:59">
      <c r="B88" s="354">
        <v>80</v>
      </c>
      <c r="C88" s="743" t="s">
        <v>624</v>
      </c>
      <c r="D88" s="744" t="s">
        <v>624</v>
      </c>
      <c r="E88" s="744" t="s">
        <v>624</v>
      </c>
      <c r="F88" s="355">
        <v>1099372271</v>
      </c>
      <c r="G88" s="356">
        <v>6</v>
      </c>
      <c r="H88" s="356">
        <v>0</v>
      </c>
      <c r="I88" s="356">
        <v>2</v>
      </c>
      <c r="J88" s="356">
        <v>4</v>
      </c>
      <c r="K88" s="356">
        <v>3</v>
      </c>
      <c r="L88" s="356">
        <v>1</v>
      </c>
      <c r="M88" s="356">
        <v>13</v>
      </c>
      <c r="N88" s="356">
        <v>13</v>
      </c>
      <c r="O88" s="356">
        <v>6</v>
      </c>
      <c r="P88" s="356">
        <v>7</v>
      </c>
      <c r="Q88" s="356">
        <v>15</v>
      </c>
      <c r="R88" s="356">
        <v>13</v>
      </c>
      <c r="S88" s="356">
        <v>7</v>
      </c>
      <c r="T88" s="356">
        <v>9</v>
      </c>
      <c r="U88" s="356">
        <v>8</v>
      </c>
      <c r="V88" s="356">
        <v>15</v>
      </c>
      <c r="W88" s="356">
        <v>11</v>
      </c>
      <c r="X88" s="356">
        <v>11</v>
      </c>
      <c r="Y88" s="356">
        <v>2</v>
      </c>
      <c r="Z88" s="356">
        <v>9</v>
      </c>
      <c r="AA88" s="356">
        <v>12</v>
      </c>
      <c r="AB88" s="356">
        <v>6</v>
      </c>
      <c r="AC88" s="356">
        <v>13</v>
      </c>
      <c r="AD88" s="356">
        <v>8</v>
      </c>
      <c r="AE88" s="356">
        <v>13</v>
      </c>
      <c r="AF88" s="356">
        <v>8</v>
      </c>
      <c r="AG88" s="356">
        <v>6</v>
      </c>
      <c r="AH88" s="356">
        <v>14</v>
      </c>
      <c r="AI88" s="356">
        <v>0</v>
      </c>
      <c r="AJ88" s="356">
        <v>5</v>
      </c>
      <c r="AK88" s="356">
        <v>13</v>
      </c>
      <c r="AL88" s="356">
        <v>5</v>
      </c>
      <c r="AM88" s="356">
        <v>2</v>
      </c>
      <c r="AN88" s="356">
        <v>5</v>
      </c>
      <c r="AO88" s="356">
        <v>1</v>
      </c>
      <c r="AP88" s="356">
        <v>3</v>
      </c>
      <c r="AQ88" s="356">
        <v>11</v>
      </c>
      <c r="AR88" s="356">
        <v>7</v>
      </c>
      <c r="AS88" s="356">
        <v>12</v>
      </c>
      <c r="AT88" s="356">
        <v>3</v>
      </c>
      <c r="AU88" s="356">
        <v>2</v>
      </c>
      <c r="AV88" s="356">
        <v>5</v>
      </c>
      <c r="AW88" s="356">
        <v>9</v>
      </c>
      <c r="AX88" s="356">
        <v>10</v>
      </c>
      <c r="AY88" s="356">
        <v>3</v>
      </c>
      <c r="AZ88" s="356">
        <v>0</v>
      </c>
      <c r="BA88" s="356">
        <v>4</v>
      </c>
      <c r="BB88" s="356">
        <v>6</v>
      </c>
      <c r="BD88" s="353">
        <f t="shared" si="4"/>
        <v>94</v>
      </c>
      <c r="BE88" s="353">
        <f t="shared" si="5"/>
        <v>76</v>
      </c>
      <c r="BF88" s="353">
        <f t="shared" si="6"/>
        <v>98</v>
      </c>
      <c r="BG88" s="353">
        <f t="shared" si="7"/>
        <v>70</v>
      </c>
    </row>
    <row r="89" spans="2:59">
      <c r="B89" s="354">
        <v>81</v>
      </c>
      <c r="C89" s="743" t="s">
        <v>623</v>
      </c>
      <c r="D89" s="744" t="s">
        <v>623</v>
      </c>
      <c r="E89" s="744" t="s">
        <v>623</v>
      </c>
      <c r="F89" s="355" t="s">
        <v>622</v>
      </c>
      <c r="G89" s="356">
        <v>10</v>
      </c>
      <c r="H89" s="356">
        <v>2</v>
      </c>
      <c r="I89" s="356">
        <v>9</v>
      </c>
      <c r="J89" s="356">
        <v>6</v>
      </c>
      <c r="K89" s="356">
        <v>8</v>
      </c>
      <c r="L89" s="356">
        <v>4</v>
      </c>
      <c r="M89" s="356">
        <v>9</v>
      </c>
      <c r="N89" s="356">
        <v>5</v>
      </c>
      <c r="O89" s="356">
        <v>1</v>
      </c>
      <c r="P89" s="356">
        <v>14</v>
      </c>
      <c r="Q89" s="356">
        <v>10</v>
      </c>
      <c r="R89" s="356">
        <v>11</v>
      </c>
      <c r="S89" s="356">
        <v>3</v>
      </c>
      <c r="T89" s="356">
        <v>2</v>
      </c>
      <c r="U89" s="356">
        <v>3</v>
      </c>
      <c r="V89" s="356">
        <v>12</v>
      </c>
      <c r="W89" s="356">
        <v>9</v>
      </c>
      <c r="X89" s="356">
        <v>12</v>
      </c>
      <c r="Y89" s="356">
        <v>3</v>
      </c>
      <c r="Z89" s="356">
        <v>3</v>
      </c>
      <c r="AA89" s="356">
        <v>2</v>
      </c>
      <c r="AB89" s="356">
        <v>2</v>
      </c>
      <c r="AC89" s="356">
        <v>3</v>
      </c>
      <c r="AD89" s="356">
        <v>7</v>
      </c>
      <c r="AE89" s="356">
        <v>12</v>
      </c>
      <c r="AF89" s="356">
        <v>1</v>
      </c>
      <c r="AG89" s="356">
        <v>1</v>
      </c>
      <c r="AH89" s="356">
        <v>9</v>
      </c>
      <c r="AI89" s="356">
        <v>8</v>
      </c>
      <c r="AJ89" s="356">
        <v>3</v>
      </c>
      <c r="AK89" s="356">
        <v>0</v>
      </c>
      <c r="AL89" s="356">
        <v>3</v>
      </c>
      <c r="AM89" s="356">
        <v>15</v>
      </c>
      <c r="AN89" s="356">
        <v>2</v>
      </c>
      <c r="AO89" s="356">
        <v>12</v>
      </c>
      <c r="AP89" s="356">
        <v>0</v>
      </c>
      <c r="AQ89" s="356">
        <v>3</v>
      </c>
      <c r="AR89" s="356">
        <v>10</v>
      </c>
      <c r="AS89" s="356">
        <v>0</v>
      </c>
      <c r="AT89" s="356">
        <v>9</v>
      </c>
      <c r="AU89" s="356">
        <v>15</v>
      </c>
      <c r="AV89" s="356">
        <v>4</v>
      </c>
      <c r="AW89" s="356">
        <v>6</v>
      </c>
      <c r="AX89" s="356">
        <v>13</v>
      </c>
      <c r="AY89" s="356">
        <v>13</v>
      </c>
      <c r="AZ89" s="356">
        <v>2</v>
      </c>
      <c r="BA89" s="356">
        <v>14</v>
      </c>
      <c r="BB89" s="356">
        <v>13</v>
      </c>
      <c r="BD89" s="353">
        <f t="shared" si="4"/>
        <v>56</v>
      </c>
      <c r="BE89" s="353">
        <f t="shared" si="5"/>
        <v>99</v>
      </c>
      <c r="BF89" s="353">
        <f t="shared" si="6"/>
        <v>70</v>
      </c>
      <c r="BG89" s="353">
        <f t="shared" si="7"/>
        <v>89</v>
      </c>
    </row>
    <row r="90" spans="2:59">
      <c r="B90" s="354">
        <v>82</v>
      </c>
      <c r="C90" s="743" t="s">
        <v>621</v>
      </c>
      <c r="D90" s="744" t="s">
        <v>621</v>
      </c>
      <c r="E90" s="744" t="s">
        <v>621</v>
      </c>
      <c r="F90" s="355">
        <v>1099364807</v>
      </c>
      <c r="G90" s="356">
        <v>1</v>
      </c>
      <c r="H90" s="356">
        <v>5</v>
      </c>
      <c r="I90" s="356">
        <v>7</v>
      </c>
      <c r="J90" s="356">
        <v>13</v>
      </c>
      <c r="K90" s="356">
        <v>15</v>
      </c>
      <c r="L90" s="356">
        <v>7</v>
      </c>
      <c r="M90" s="356">
        <v>1</v>
      </c>
      <c r="N90" s="356">
        <v>10</v>
      </c>
      <c r="O90" s="356">
        <v>12</v>
      </c>
      <c r="P90" s="356">
        <v>3</v>
      </c>
      <c r="Q90" s="356">
        <v>5</v>
      </c>
      <c r="R90" s="356">
        <v>4</v>
      </c>
      <c r="S90" s="356">
        <v>10</v>
      </c>
      <c r="T90" s="356">
        <v>2</v>
      </c>
      <c r="U90" s="356">
        <v>12</v>
      </c>
      <c r="V90" s="356">
        <v>15</v>
      </c>
      <c r="W90" s="356">
        <v>5</v>
      </c>
      <c r="X90" s="356">
        <v>11</v>
      </c>
      <c r="Y90" s="356">
        <v>6</v>
      </c>
      <c r="Z90" s="356">
        <v>15</v>
      </c>
      <c r="AA90" s="356">
        <v>11</v>
      </c>
      <c r="AB90" s="356">
        <v>4</v>
      </c>
      <c r="AC90" s="356">
        <v>15</v>
      </c>
      <c r="AD90" s="356">
        <v>9</v>
      </c>
      <c r="AE90" s="356">
        <v>8</v>
      </c>
      <c r="AF90" s="356">
        <v>1</v>
      </c>
      <c r="AG90" s="356">
        <v>8</v>
      </c>
      <c r="AH90" s="356">
        <v>0</v>
      </c>
      <c r="AI90" s="356">
        <v>9</v>
      </c>
      <c r="AJ90" s="356">
        <v>5</v>
      </c>
      <c r="AK90" s="356">
        <v>3</v>
      </c>
      <c r="AL90" s="356">
        <v>2</v>
      </c>
      <c r="AM90" s="356">
        <v>1</v>
      </c>
      <c r="AN90" s="356">
        <v>15</v>
      </c>
      <c r="AO90" s="356">
        <v>9</v>
      </c>
      <c r="AP90" s="356">
        <v>7</v>
      </c>
      <c r="AQ90" s="356">
        <v>14</v>
      </c>
      <c r="AR90" s="356">
        <v>14</v>
      </c>
      <c r="AS90" s="356">
        <v>13</v>
      </c>
      <c r="AT90" s="356">
        <v>5</v>
      </c>
      <c r="AU90" s="356">
        <v>4</v>
      </c>
      <c r="AV90" s="356">
        <v>13</v>
      </c>
      <c r="AW90" s="356">
        <v>12</v>
      </c>
      <c r="AX90" s="356">
        <v>0</v>
      </c>
      <c r="AY90" s="356">
        <v>2</v>
      </c>
      <c r="AZ90" s="356">
        <v>1</v>
      </c>
      <c r="BA90" s="356">
        <v>15</v>
      </c>
      <c r="BB90" s="356">
        <v>11</v>
      </c>
      <c r="BD90" s="353">
        <f t="shared" si="4"/>
        <v>91</v>
      </c>
      <c r="BE90" s="353">
        <f t="shared" si="5"/>
        <v>92</v>
      </c>
      <c r="BF90" s="353">
        <f t="shared" si="6"/>
        <v>106</v>
      </c>
      <c r="BG90" s="353">
        <f t="shared" si="7"/>
        <v>91</v>
      </c>
    </row>
    <row r="91" spans="2:59">
      <c r="B91" s="354">
        <v>83</v>
      </c>
      <c r="C91" s="743" t="s">
        <v>620</v>
      </c>
      <c r="D91" s="744" t="s">
        <v>620</v>
      </c>
      <c r="E91" s="744" t="s">
        <v>620</v>
      </c>
      <c r="F91" s="355">
        <v>1099363268</v>
      </c>
      <c r="G91" s="356">
        <v>0</v>
      </c>
      <c r="H91" s="356">
        <v>11</v>
      </c>
      <c r="I91" s="356">
        <v>7</v>
      </c>
      <c r="J91" s="356">
        <v>7</v>
      </c>
      <c r="K91" s="356">
        <v>0</v>
      </c>
      <c r="L91" s="356">
        <v>13</v>
      </c>
      <c r="M91" s="356">
        <v>14</v>
      </c>
      <c r="N91" s="356">
        <v>7</v>
      </c>
      <c r="O91" s="356">
        <v>9</v>
      </c>
      <c r="P91" s="356">
        <v>13</v>
      </c>
      <c r="Q91" s="356">
        <v>7</v>
      </c>
      <c r="R91" s="356">
        <v>7</v>
      </c>
      <c r="S91" s="356">
        <v>10</v>
      </c>
      <c r="T91" s="356">
        <v>15</v>
      </c>
      <c r="U91" s="356">
        <v>10</v>
      </c>
      <c r="V91" s="356">
        <v>4</v>
      </c>
      <c r="W91" s="356">
        <v>14</v>
      </c>
      <c r="X91" s="356">
        <v>8</v>
      </c>
      <c r="Y91" s="356">
        <v>3</v>
      </c>
      <c r="Z91" s="356">
        <v>4</v>
      </c>
      <c r="AA91" s="356">
        <v>13</v>
      </c>
      <c r="AB91" s="356">
        <v>7</v>
      </c>
      <c r="AC91" s="356">
        <v>10</v>
      </c>
      <c r="AD91" s="356">
        <v>1</v>
      </c>
      <c r="AE91" s="356">
        <v>2</v>
      </c>
      <c r="AF91" s="356">
        <v>9</v>
      </c>
      <c r="AG91" s="356">
        <v>1</v>
      </c>
      <c r="AH91" s="356">
        <v>8</v>
      </c>
      <c r="AI91" s="356">
        <v>13</v>
      </c>
      <c r="AJ91" s="356">
        <v>11</v>
      </c>
      <c r="AK91" s="356">
        <v>15</v>
      </c>
      <c r="AL91" s="356">
        <v>10</v>
      </c>
      <c r="AM91" s="356">
        <v>2</v>
      </c>
      <c r="AN91" s="356">
        <v>13</v>
      </c>
      <c r="AO91" s="356">
        <v>2</v>
      </c>
      <c r="AP91" s="356">
        <v>10</v>
      </c>
      <c r="AQ91" s="356">
        <v>12</v>
      </c>
      <c r="AR91" s="356">
        <v>0</v>
      </c>
      <c r="AS91" s="356">
        <v>0</v>
      </c>
      <c r="AT91" s="356">
        <v>4</v>
      </c>
      <c r="AU91" s="356">
        <v>11</v>
      </c>
      <c r="AV91" s="356">
        <v>8</v>
      </c>
      <c r="AW91" s="356">
        <v>12</v>
      </c>
      <c r="AX91" s="356">
        <v>9</v>
      </c>
      <c r="AY91" s="356">
        <v>5</v>
      </c>
      <c r="AZ91" s="356">
        <v>0</v>
      </c>
      <c r="BA91" s="356">
        <v>1</v>
      </c>
      <c r="BB91" s="356">
        <v>2</v>
      </c>
      <c r="BD91" s="353">
        <f t="shared" si="4"/>
        <v>81</v>
      </c>
      <c r="BE91" s="353">
        <f t="shared" si="5"/>
        <v>91</v>
      </c>
      <c r="BF91" s="353">
        <f t="shared" si="6"/>
        <v>82</v>
      </c>
      <c r="BG91" s="353">
        <f t="shared" si="7"/>
        <v>91</v>
      </c>
    </row>
    <row r="92" spans="2:59">
      <c r="B92" s="354">
        <v>84</v>
      </c>
      <c r="C92" s="743" t="s">
        <v>619</v>
      </c>
      <c r="D92" s="744" t="s">
        <v>619</v>
      </c>
      <c r="E92" s="744" t="s">
        <v>619</v>
      </c>
      <c r="F92" s="355">
        <v>1099367597</v>
      </c>
      <c r="G92" s="356">
        <v>0</v>
      </c>
      <c r="H92" s="356">
        <v>1</v>
      </c>
      <c r="I92" s="356">
        <v>7</v>
      </c>
      <c r="J92" s="356">
        <v>4</v>
      </c>
      <c r="K92" s="356">
        <v>1</v>
      </c>
      <c r="L92" s="356">
        <v>13</v>
      </c>
      <c r="M92" s="356">
        <v>13</v>
      </c>
      <c r="N92" s="356">
        <v>3</v>
      </c>
      <c r="O92" s="356">
        <v>12</v>
      </c>
      <c r="P92" s="356">
        <v>11</v>
      </c>
      <c r="Q92" s="356">
        <v>10</v>
      </c>
      <c r="R92" s="356">
        <v>4</v>
      </c>
      <c r="S92" s="356">
        <v>4</v>
      </c>
      <c r="T92" s="356">
        <v>13</v>
      </c>
      <c r="U92" s="356">
        <v>13</v>
      </c>
      <c r="V92" s="356">
        <v>8</v>
      </c>
      <c r="W92" s="356">
        <v>5</v>
      </c>
      <c r="X92" s="356">
        <v>13</v>
      </c>
      <c r="Y92" s="356">
        <v>2</v>
      </c>
      <c r="Z92" s="356">
        <v>14</v>
      </c>
      <c r="AA92" s="356">
        <v>3</v>
      </c>
      <c r="AB92" s="356">
        <v>10</v>
      </c>
      <c r="AC92" s="356">
        <v>10</v>
      </c>
      <c r="AD92" s="356">
        <v>2</v>
      </c>
      <c r="AE92" s="356">
        <v>11</v>
      </c>
      <c r="AF92" s="356">
        <v>10</v>
      </c>
      <c r="AG92" s="356">
        <v>7</v>
      </c>
      <c r="AH92" s="356">
        <v>15</v>
      </c>
      <c r="AI92" s="356">
        <v>6</v>
      </c>
      <c r="AJ92" s="356">
        <v>14</v>
      </c>
      <c r="AK92" s="356">
        <v>3</v>
      </c>
      <c r="AL92" s="356">
        <v>5</v>
      </c>
      <c r="AM92" s="356">
        <v>4</v>
      </c>
      <c r="AN92" s="356">
        <v>11</v>
      </c>
      <c r="AO92" s="356">
        <v>13</v>
      </c>
      <c r="AP92" s="356">
        <v>3</v>
      </c>
      <c r="AQ92" s="356">
        <v>10</v>
      </c>
      <c r="AR92" s="356">
        <v>7</v>
      </c>
      <c r="AS92" s="356">
        <v>0</v>
      </c>
      <c r="AT92" s="356">
        <v>11</v>
      </c>
      <c r="AU92" s="356">
        <v>11</v>
      </c>
      <c r="AV92" s="356">
        <v>14</v>
      </c>
      <c r="AW92" s="356">
        <v>1</v>
      </c>
      <c r="AX92" s="356">
        <v>13</v>
      </c>
      <c r="AY92" s="356">
        <v>2</v>
      </c>
      <c r="AZ92" s="356">
        <v>10</v>
      </c>
      <c r="BA92" s="356">
        <v>2</v>
      </c>
      <c r="BB92" s="356">
        <v>6</v>
      </c>
      <c r="BD92" s="353">
        <f t="shared" si="4"/>
        <v>79</v>
      </c>
      <c r="BE92" s="353">
        <f t="shared" si="5"/>
        <v>69</v>
      </c>
      <c r="BF92" s="353">
        <f t="shared" si="6"/>
        <v>81</v>
      </c>
      <c r="BG92" s="353">
        <f t="shared" si="7"/>
        <v>69</v>
      </c>
    </row>
    <row r="93" spans="2:59">
      <c r="B93" s="354">
        <v>85</v>
      </c>
      <c r="C93" s="743" t="s">
        <v>618</v>
      </c>
      <c r="D93" s="744" t="s">
        <v>618</v>
      </c>
      <c r="E93" s="744" t="s">
        <v>618</v>
      </c>
      <c r="F93" s="355">
        <v>37712238</v>
      </c>
      <c r="G93" s="356">
        <v>6</v>
      </c>
      <c r="H93" s="356">
        <v>7</v>
      </c>
      <c r="I93" s="356">
        <v>7</v>
      </c>
      <c r="J93" s="356">
        <v>13</v>
      </c>
      <c r="K93" s="356">
        <v>7</v>
      </c>
      <c r="L93" s="356">
        <v>10</v>
      </c>
      <c r="M93" s="356">
        <v>3</v>
      </c>
      <c r="N93" s="356">
        <v>7</v>
      </c>
      <c r="O93" s="356">
        <v>13</v>
      </c>
      <c r="P93" s="356">
        <v>2</v>
      </c>
      <c r="Q93" s="356">
        <v>7</v>
      </c>
      <c r="R93" s="356">
        <v>3</v>
      </c>
      <c r="S93" s="356">
        <v>4</v>
      </c>
      <c r="T93" s="356">
        <v>1</v>
      </c>
      <c r="U93" s="356">
        <v>2</v>
      </c>
      <c r="V93" s="356">
        <v>3</v>
      </c>
      <c r="W93" s="356">
        <v>4</v>
      </c>
      <c r="X93" s="356">
        <v>5</v>
      </c>
      <c r="Y93" s="356">
        <v>2</v>
      </c>
      <c r="Z93" s="356">
        <v>9</v>
      </c>
      <c r="AA93" s="356">
        <v>5</v>
      </c>
      <c r="AB93" s="356">
        <v>11</v>
      </c>
      <c r="AC93" s="356">
        <v>3</v>
      </c>
      <c r="AD93" s="356">
        <v>9</v>
      </c>
      <c r="AE93" s="356">
        <v>5</v>
      </c>
      <c r="AF93" s="356">
        <v>0</v>
      </c>
      <c r="AG93" s="356">
        <v>6</v>
      </c>
      <c r="AH93" s="356">
        <v>12</v>
      </c>
      <c r="AI93" s="356">
        <v>11</v>
      </c>
      <c r="AJ93" s="356">
        <v>8</v>
      </c>
      <c r="AK93" s="356">
        <v>3</v>
      </c>
      <c r="AL93" s="356">
        <v>8</v>
      </c>
      <c r="AM93" s="356">
        <v>0</v>
      </c>
      <c r="AN93" s="356">
        <v>14</v>
      </c>
      <c r="AO93" s="356">
        <v>15</v>
      </c>
      <c r="AP93" s="356">
        <v>14</v>
      </c>
      <c r="AQ93" s="356">
        <v>2</v>
      </c>
      <c r="AR93" s="356">
        <v>13</v>
      </c>
      <c r="AS93" s="356">
        <v>8</v>
      </c>
      <c r="AT93" s="356">
        <v>14</v>
      </c>
      <c r="AU93" s="356">
        <v>0</v>
      </c>
      <c r="AV93" s="356">
        <v>14</v>
      </c>
      <c r="AW93" s="356">
        <v>5</v>
      </c>
      <c r="AX93" s="356">
        <v>5</v>
      </c>
      <c r="AY93" s="356">
        <v>3</v>
      </c>
      <c r="AZ93" s="356">
        <v>7</v>
      </c>
      <c r="BA93" s="356">
        <v>6</v>
      </c>
      <c r="BB93" s="356">
        <v>15</v>
      </c>
      <c r="BD93" s="353">
        <f t="shared" si="4"/>
        <v>61</v>
      </c>
      <c r="BE93" s="353">
        <f t="shared" si="5"/>
        <v>60</v>
      </c>
      <c r="BF93" s="353">
        <f t="shared" si="6"/>
        <v>67</v>
      </c>
      <c r="BG93" s="353">
        <f t="shared" si="7"/>
        <v>54</v>
      </c>
    </row>
    <row r="94" spans="2:59">
      <c r="B94" s="354">
        <v>86</v>
      </c>
      <c r="C94" s="743" t="s">
        <v>617</v>
      </c>
      <c r="D94" s="744" t="s">
        <v>617</v>
      </c>
      <c r="E94" s="744" t="s">
        <v>617</v>
      </c>
      <c r="F94" s="355">
        <v>1098705602</v>
      </c>
      <c r="G94" s="356">
        <v>1</v>
      </c>
      <c r="H94" s="356">
        <v>5</v>
      </c>
      <c r="I94" s="356">
        <v>13</v>
      </c>
      <c r="J94" s="356">
        <v>14</v>
      </c>
      <c r="K94" s="356">
        <v>9</v>
      </c>
      <c r="L94" s="356">
        <v>2</v>
      </c>
      <c r="M94" s="356">
        <v>6</v>
      </c>
      <c r="N94" s="356">
        <v>8</v>
      </c>
      <c r="O94" s="356">
        <v>1</v>
      </c>
      <c r="P94" s="356">
        <v>9</v>
      </c>
      <c r="Q94" s="356">
        <v>5</v>
      </c>
      <c r="R94" s="356">
        <v>12</v>
      </c>
      <c r="S94" s="356">
        <v>0</v>
      </c>
      <c r="T94" s="356">
        <v>7</v>
      </c>
      <c r="U94" s="356">
        <v>5</v>
      </c>
      <c r="V94" s="356">
        <v>0</v>
      </c>
      <c r="W94" s="356">
        <v>9</v>
      </c>
      <c r="X94" s="356">
        <v>1</v>
      </c>
      <c r="Y94" s="356">
        <v>8</v>
      </c>
      <c r="Z94" s="356">
        <v>14</v>
      </c>
      <c r="AA94" s="356">
        <v>9</v>
      </c>
      <c r="AB94" s="356">
        <v>11</v>
      </c>
      <c r="AC94" s="356">
        <v>15</v>
      </c>
      <c r="AD94" s="356">
        <v>1</v>
      </c>
      <c r="AE94" s="356">
        <v>0</v>
      </c>
      <c r="AF94" s="356">
        <v>4</v>
      </c>
      <c r="AG94" s="356">
        <v>6</v>
      </c>
      <c r="AH94" s="356">
        <v>1</v>
      </c>
      <c r="AI94" s="356">
        <v>6</v>
      </c>
      <c r="AJ94" s="356">
        <v>7</v>
      </c>
      <c r="AK94" s="356">
        <v>1</v>
      </c>
      <c r="AL94" s="356">
        <v>5</v>
      </c>
      <c r="AM94" s="356">
        <v>0</v>
      </c>
      <c r="AN94" s="356">
        <v>12</v>
      </c>
      <c r="AO94" s="356">
        <v>12</v>
      </c>
      <c r="AP94" s="356">
        <v>3</v>
      </c>
      <c r="AQ94" s="356">
        <v>5</v>
      </c>
      <c r="AR94" s="356">
        <v>14</v>
      </c>
      <c r="AS94" s="356">
        <v>15</v>
      </c>
      <c r="AT94" s="356">
        <v>6</v>
      </c>
      <c r="AU94" s="356">
        <v>13</v>
      </c>
      <c r="AV94" s="356">
        <v>4</v>
      </c>
      <c r="AW94" s="356">
        <v>4</v>
      </c>
      <c r="AX94" s="356">
        <v>5</v>
      </c>
      <c r="AY94" s="356">
        <v>7</v>
      </c>
      <c r="AZ94" s="356">
        <v>15</v>
      </c>
      <c r="BA94" s="356">
        <v>15</v>
      </c>
      <c r="BB94" s="356">
        <v>1</v>
      </c>
      <c r="BD94" s="353">
        <f t="shared" si="4"/>
        <v>90</v>
      </c>
      <c r="BE94" s="353">
        <f t="shared" si="5"/>
        <v>60</v>
      </c>
      <c r="BF94" s="353">
        <f t="shared" si="6"/>
        <v>105</v>
      </c>
      <c r="BG94" s="353">
        <f t="shared" si="7"/>
        <v>59</v>
      </c>
    </row>
    <row r="95" spans="2:59">
      <c r="B95" s="354">
        <v>87</v>
      </c>
      <c r="C95" s="743" t="s">
        <v>616</v>
      </c>
      <c r="D95" s="744" t="s">
        <v>616</v>
      </c>
      <c r="E95" s="744" t="s">
        <v>616</v>
      </c>
      <c r="F95" s="355">
        <v>1098796923</v>
      </c>
      <c r="G95" s="356">
        <v>8</v>
      </c>
      <c r="H95" s="356">
        <v>11</v>
      </c>
      <c r="I95" s="356">
        <v>3</v>
      </c>
      <c r="J95" s="356">
        <v>2</v>
      </c>
      <c r="K95" s="356">
        <v>7</v>
      </c>
      <c r="L95" s="356">
        <v>11</v>
      </c>
      <c r="M95" s="356">
        <v>4</v>
      </c>
      <c r="N95" s="356">
        <v>1</v>
      </c>
      <c r="O95" s="356">
        <v>2</v>
      </c>
      <c r="P95" s="356">
        <v>3</v>
      </c>
      <c r="Q95" s="356">
        <v>7</v>
      </c>
      <c r="R95" s="356">
        <v>11</v>
      </c>
      <c r="S95" s="356">
        <v>5</v>
      </c>
      <c r="T95" s="356">
        <v>0</v>
      </c>
      <c r="U95" s="356">
        <v>7</v>
      </c>
      <c r="V95" s="356">
        <v>5</v>
      </c>
      <c r="W95" s="356">
        <v>0</v>
      </c>
      <c r="X95" s="356">
        <v>5</v>
      </c>
      <c r="Y95" s="356">
        <v>9</v>
      </c>
      <c r="Z95" s="356">
        <v>11</v>
      </c>
      <c r="AA95" s="356">
        <v>7</v>
      </c>
      <c r="AB95" s="356">
        <v>2</v>
      </c>
      <c r="AC95" s="356">
        <v>5</v>
      </c>
      <c r="AD95" s="356">
        <v>14</v>
      </c>
      <c r="AE95" s="356">
        <v>10</v>
      </c>
      <c r="AF95" s="356">
        <v>1</v>
      </c>
      <c r="AG95" s="356">
        <v>12</v>
      </c>
      <c r="AH95" s="356">
        <v>1</v>
      </c>
      <c r="AI95" s="356">
        <v>10</v>
      </c>
      <c r="AJ95" s="356">
        <v>4</v>
      </c>
      <c r="AK95" s="356">
        <v>11</v>
      </c>
      <c r="AL95" s="356">
        <v>14</v>
      </c>
      <c r="AM95" s="356">
        <v>9</v>
      </c>
      <c r="AN95" s="356">
        <v>1</v>
      </c>
      <c r="AO95" s="356">
        <v>4</v>
      </c>
      <c r="AP95" s="356">
        <v>2</v>
      </c>
      <c r="AQ95" s="356">
        <v>8</v>
      </c>
      <c r="AR95" s="356">
        <v>8</v>
      </c>
      <c r="AS95" s="356">
        <v>1</v>
      </c>
      <c r="AT95" s="356">
        <v>12</v>
      </c>
      <c r="AU95" s="356">
        <v>10</v>
      </c>
      <c r="AV95" s="356">
        <v>0</v>
      </c>
      <c r="AW95" s="356">
        <v>9</v>
      </c>
      <c r="AX95" s="356">
        <v>11</v>
      </c>
      <c r="AY95" s="356">
        <v>4</v>
      </c>
      <c r="AZ95" s="356">
        <v>15</v>
      </c>
      <c r="BA95" s="356">
        <v>8</v>
      </c>
      <c r="BB95" s="356">
        <v>2</v>
      </c>
      <c r="BD95" s="353">
        <f t="shared" si="4"/>
        <v>72</v>
      </c>
      <c r="BE95" s="353">
        <f t="shared" si="5"/>
        <v>80</v>
      </c>
      <c r="BF95" s="353">
        <f t="shared" si="6"/>
        <v>80</v>
      </c>
      <c r="BG95" s="353">
        <f t="shared" si="7"/>
        <v>72</v>
      </c>
    </row>
    <row r="96" spans="2:59">
      <c r="B96" s="354">
        <v>88</v>
      </c>
      <c r="C96" s="743" t="s">
        <v>615</v>
      </c>
      <c r="D96" s="744" t="s">
        <v>615</v>
      </c>
      <c r="E96" s="744" t="s">
        <v>615</v>
      </c>
      <c r="F96" s="355">
        <v>1005199831</v>
      </c>
      <c r="G96" s="356">
        <v>1</v>
      </c>
      <c r="H96" s="356">
        <v>2</v>
      </c>
      <c r="I96" s="356">
        <v>12</v>
      </c>
      <c r="J96" s="356">
        <v>8</v>
      </c>
      <c r="K96" s="356">
        <v>9</v>
      </c>
      <c r="L96" s="356">
        <v>8</v>
      </c>
      <c r="M96" s="356">
        <v>4</v>
      </c>
      <c r="N96" s="356">
        <v>12</v>
      </c>
      <c r="O96" s="356">
        <v>7</v>
      </c>
      <c r="P96" s="356">
        <v>8</v>
      </c>
      <c r="Q96" s="356">
        <v>13</v>
      </c>
      <c r="R96" s="356">
        <v>0</v>
      </c>
      <c r="S96" s="356">
        <v>11</v>
      </c>
      <c r="T96" s="356">
        <v>4</v>
      </c>
      <c r="U96" s="356">
        <v>10</v>
      </c>
      <c r="V96" s="356">
        <v>14</v>
      </c>
      <c r="W96" s="356">
        <v>6</v>
      </c>
      <c r="X96" s="356">
        <v>10</v>
      </c>
      <c r="Y96" s="356">
        <v>1</v>
      </c>
      <c r="Z96" s="356">
        <v>10</v>
      </c>
      <c r="AA96" s="356">
        <v>15</v>
      </c>
      <c r="AB96" s="356">
        <v>6</v>
      </c>
      <c r="AC96" s="356">
        <v>1</v>
      </c>
      <c r="AD96" s="356">
        <v>2</v>
      </c>
      <c r="AE96" s="356">
        <v>11</v>
      </c>
      <c r="AF96" s="356">
        <v>3</v>
      </c>
      <c r="AG96" s="356">
        <v>4</v>
      </c>
      <c r="AH96" s="356">
        <v>7</v>
      </c>
      <c r="AI96" s="356">
        <v>15</v>
      </c>
      <c r="AJ96" s="356">
        <v>10</v>
      </c>
      <c r="AK96" s="356">
        <v>1</v>
      </c>
      <c r="AL96" s="356">
        <v>6</v>
      </c>
      <c r="AM96" s="356">
        <v>3</v>
      </c>
      <c r="AN96" s="356">
        <v>15</v>
      </c>
      <c r="AO96" s="356">
        <v>15</v>
      </c>
      <c r="AP96" s="356">
        <v>14</v>
      </c>
      <c r="AQ96" s="356">
        <v>6</v>
      </c>
      <c r="AR96" s="356">
        <v>4</v>
      </c>
      <c r="AS96" s="356">
        <v>10</v>
      </c>
      <c r="AT96" s="356">
        <v>9</v>
      </c>
      <c r="AU96" s="356">
        <v>14</v>
      </c>
      <c r="AV96" s="356">
        <v>2</v>
      </c>
      <c r="AW96" s="356">
        <v>15</v>
      </c>
      <c r="AX96" s="356">
        <v>6</v>
      </c>
      <c r="AY96" s="356">
        <v>2</v>
      </c>
      <c r="AZ96" s="356">
        <v>3</v>
      </c>
      <c r="BA96" s="356">
        <v>1</v>
      </c>
      <c r="BB96" s="356">
        <v>9</v>
      </c>
      <c r="BD96" s="353">
        <f t="shared" si="4"/>
        <v>86</v>
      </c>
      <c r="BE96" s="353">
        <f t="shared" si="5"/>
        <v>100</v>
      </c>
      <c r="BF96" s="353">
        <f t="shared" si="6"/>
        <v>87</v>
      </c>
      <c r="BG96" s="353">
        <f t="shared" si="7"/>
        <v>99</v>
      </c>
    </row>
    <row r="97" spans="2:59">
      <c r="B97" s="354">
        <v>89</v>
      </c>
      <c r="C97" s="743" t="s">
        <v>614</v>
      </c>
      <c r="D97" s="744" t="s">
        <v>614</v>
      </c>
      <c r="E97" s="744" t="s">
        <v>614</v>
      </c>
      <c r="F97" s="355">
        <v>2821881</v>
      </c>
      <c r="G97" s="356">
        <v>5</v>
      </c>
      <c r="H97" s="356">
        <v>8</v>
      </c>
      <c r="I97" s="356">
        <v>15</v>
      </c>
      <c r="J97" s="356">
        <v>2</v>
      </c>
      <c r="K97" s="356">
        <v>0</v>
      </c>
      <c r="L97" s="356">
        <v>3</v>
      </c>
      <c r="M97" s="356">
        <v>5</v>
      </c>
      <c r="N97" s="356">
        <v>5</v>
      </c>
      <c r="O97" s="356">
        <v>3</v>
      </c>
      <c r="P97" s="356">
        <v>14</v>
      </c>
      <c r="Q97" s="356">
        <v>7</v>
      </c>
      <c r="R97" s="356">
        <v>8</v>
      </c>
      <c r="S97" s="356">
        <v>10</v>
      </c>
      <c r="T97" s="356">
        <v>0</v>
      </c>
      <c r="U97" s="356">
        <v>4</v>
      </c>
      <c r="V97" s="356">
        <v>4</v>
      </c>
      <c r="W97" s="356">
        <v>13</v>
      </c>
      <c r="X97" s="356">
        <v>15</v>
      </c>
      <c r="Y97" s="356">
        <v>12</v>
      </c>
      <c r="Z97" s="356">
        <v>3</v>
      </c>
      <c r="AA97" s="356">
        <v>13</v>
      </c>
      <c r="AB97" s="356">
        <v>8</v>
      </c>
      <c r="AC97" s="356">
        <v>0</v>
      </c>
      <c r="AD97" s="356">
        <v>5</v>
      </c>
      <c r="AE97" s="356">
        <v>2</v>
      </c>
      <c r="AF97" s="356">
        <v>3</v>
      </c>
      <c r="AG97" s="356">
        <v>0</v>
      </c>
      <c r="AH97" s="356">
        <v>2</v>
      </c>
      <c r="AI97" s="356">
        <v>11</v>
      </c>
      <c r="AJ97" s="356">
        <v>4</v>
      </c>
      <c r="AK97" s="356">
        <v>5</v>
      </c>
      <c r="AL97" s="356">
        <v>3</v>
      </c>
      <c r="AM97" s="356">
        <v>1</v>
      </c>
      <c r="AN97" s="356">
        <v>10</v>
      </c>
      <c r="AO97" s="356">
        <v>5</v>
      </c>
      <c r="AP97" s="356">
        <v>3</v>
      </c>
      <c r="AQ97" s="356">
        <v>15</v>
      </c>
      <c r="AR97" s="356">
        <v>4</v>
      </c>
      <c r="AS97" s="356">
        <v>5</v>
      </c>
      <c r="AT97" s="356">
        <v>11</v>
      </c>
      <c r="AU97" s="356">
        <v>11</v>
      </c>
      <c r="AV97" s="356">
        <v>1</v>
      </c>
      <c r="AW97" s="356">
        <v>4</v>
      </c>
      <c r="AX97" s="356">
        <v>2</v>
      </c>
      <c r="AY97" s="356">
        <v>11</v>
      </c>
      <c r="AZ97" s="356">
        <v>15</v>
      </c>
      <c r="BA97" s="356">
        <v>5</v>
      </c>
      <c r="BB97" s="356">
        <v>13</v>
      </c>
      <c r="BD97" s="353">
        <f t="shared" si="4"/>
        <v>62</v>
      </c>
      <c r="BE97" s="353">
        <f t="shared" si="5"/>
        <v>95</v>
      </c>
      <c r="BF97" s="353">
        <f t="shared" si="6"/>
        <v>67</v>
      </c>
      <c r="BG97" s="353">
        <f t="shared" si="7"/>
        <v>90</v>
      </c>
    </row>
    <row r="98" spans="2:59">
      <c r="B98" s="354">
        <v>90</v>
      </c>
      <c r="C98" s="743" t="s">
        <v>613</v>
      </c>
      <c r="D98" s="744" t="s">
        <v>613</v>
      </c>
      <c r="E98" s="744" t="s">
        <v>613</v>
      </c>
      <c r="F98" s="355">
        <v>1010015180</v>
      </c>
      <c r="G98" s="356">
        <v>11</v>
      </c>
      <c r="H98" s="356">
        <v>8</v>
      </c>
      <c r="I98" s="356">
        <v>10</v>
      </c>
      <c r="J98" s="356">
        <v>12</v>
      </c>
      <c r="K98" s="356">
        <v>7</v>
      </c>
      <c r="L98" s="356">
        <v>15</v>
      </c>
      <c r="M98" s="356">
        <v>0</v>
      </c>
      <c r="N98" s="356">
        <v>0</v>
      </c>
      <c r="O98" s="356">
        <v>12</v>
      </c>
      <c r="P98" s="356">
        <v>15</v>
      </c>
      <c r="Q98" s="356">
        <v>9</v>
      </c>
      <c r="R98" s="356">
        <v>8</v>
      </c>
      <c r="S98" s="356">
        <v>4</v>
      </c>
      <c r="T98" s="356">
        <v>2</v>
      </c>
      <c r="U98" s="356">
        <v>10</v>
      </c>
      <c r="V98" s="356">
        <v>4</v>
      </c>
      <c r="W98" s="356">
        <v>0</v>
      </c>
      <c r="X98" s="356">
        <v>14</v>
      </c>
      <c r="Y98" s="356">
        <v>12</v>
      </c>
      <c r="Z98" s="356">
        <v>8</v>
      </c>
      <c r="AA98" s="356">
        <v>9</v>
      </c>
      <c r="AB98" s="356">
        <v>0</v>
      </c>
      <c r="AC98" s="356">
        <v>14</v>
      </c>
      <c r="AD98" s="356">
        <v>14</v>
      </c>
      <c r="AE98" s="356">
        <v>5</v>
      </c>
      <c r="AF98" s="356">
        <v>15</v>
      </c>
      <c r="AG98" s="356">
        <v>7</v>
      </c>
      <c r="AH98" s="356">
        <v>10</v>
      </c>
      <c r="AI98" s="356">
        <v>11</v>
      </c>
      <c r="AJ98" s="356">
        <v>14</v>
      </c>
      <c r="AK98" s="356">
        <v>0</v>
      </c>
      <c r="AL98" s="356">
        <v>4</v>
      </c>
      <c r="AM98" s="356">
        <v>1</v>
      </c>
      <c r="AN98" s="356">
        <v>7</v>
      </c>
      <c r="AO98" s="356">
        <v>15</v>
      </c>
      <c r="AP98" s="356">
        <v>7</v>
      </c>
      <c r="AQ98" s="356">
        <v>1</v>
      </c>
      <c r="AR98" s="356">
        <v>15</v>
      </c>
      <c r="AS98" s="356">
        <v>7</v>
      </c>
      <c r="AT98" s="356">
        <v>5</v>
      </c>
      <c r="AU98" s="356">
        <v>5</v>
      </c>
      <c r="AV98" s="356">
        <v>0</v>
      </c>
      <c r="AW98" s="356">
        <v>3</v>
      </c>
      <c r="AX98" s="356">
        <v>5</v>
      </c>
      <c r="AY98" s="356">
        <v>7</v>
      </c>
      <c r="AZ98" s="356">
        <v>2</v>
      </c>
      <c r="BA98" s="356">
        <v>13</v>
      </c>
      <c r="BB98" s="356">
        <v>13</v>
      </c>
      <c r="BD98" s="353">
        <f t="shared" si="4"/>
        <v>87</v>
      </c>
      <c r="BE98" s="353">
        <f t="shared" si="5"/>
        <v>73</v>
      </c>
      <c r="BF98" s="353">
        <f t="shared" si="6"/>
        <v>100</v>
      </c>
      <c r="BG98" s="353">
        <f t="shared" si="7"/>
        <v>62</v>
      </c>
    </row>
    <row r="99" spans="2:59">
      <c r="B99" s="354">
        <v>91</v>
      </c>
      <c r="C99" s="743" t="s">
        <v>612</v>
      </c>
      <c r="D99" s="744" t="s">
        <v>612</v>
      </c>
      <c r="E99" s="744" t="s">
        <v>612</v>
      </c>
      <c r="F99" s="355">
        <v>1055345793</v>
      </c>
      <c r="G99" s="356">
        <v>2</v>
      </c>
      <c r="H99" s="356">
        <v>13</v>
      </c>
      <c r="I99" s="356">
        <v>15</v>
      </c>
      <c r="J99" s="356">
        <v>10</v>
      </c>
      <c r="K99" s="356">
        <v>5</v>
      </c>
      <c r="L99" s="356">
        <v>5</v>
      </c>
      <c r="M99" s="356">
        <v>6</v>
      </c>
      <c r="N99" s="356">
        <v>12</v>
      </c>
      <c r="O99" s="356">
        <v>0</v>
      </c>
      <c r="P99" s="356">
        <v>12</v>
      </c>
      <c r="Q99" s="356">
        <v>11</v>
      </c>
      <c r="R99" s="356">
        <v>9</v>
      </c>
      <c r="S99" s="356">
        <v>7</v>
      </c>
      <c r="T99" s="356">
        <v>15</v>
      </c>
      <c r="U99" s="356">
        <v>6</v>
      </c>
      <c r="V99" s="356">
        <v>2</v>
      </c>
      <c r="W99" s="356">
        <v>10</v>
      </c>
      <c r="X99" s="356">
        <v>1</v>
      </c>
      <c r="Y99" s="356">
        <v>1</v>
      </c>
      <c r="Z99" s="356">
        <v>1</v>
      </c>
      <c r="AA99" s="356">
        <v>1</v>
      </c>
      <c r="AB99" s="356">
        <v>8</v>
      </c>
      <c r="AC99" s="356">
        <v>10</v>
      </c>
      <c r="AD99" s="356">
        <v>12</v>
      </c>
      <c r="AE99" s="356">
        <v>8</v>
      </c>
      <c r="AF99" s="356">
        <v>3</v>
      </c>
      <c r="AG99" s="356">
        <v>1</v>
      </c>
      <c r="AH99" s="356">
        <v>11</v>
      </c>
      <c r="AI99" s="356">
        <v>0</v>
      </c>
      <c r="AJ99" s="356">
        <v>15</v>
      </c>
      <c r="AK99" s="356">
        <v>0</v>
      </c>
      <c r="AL99" s="356">
        <v>13</v>
      </c>
      <c r="AM99" s="356">
        <v>14</v>
      </c>
      <c r="AN99" s="356">
        <v>8</v>
      </c>
      <c r="AO99" s="356">
        <v>4</v>
      </c>
      <c r="AP99" s="356">
        <v>9</v>
      </c>
      <c r="AQ99" s="356">
        <v>7</v>
      </c>
      <c r="AR99" s="356">
        <v>15</v>
      </c>
      <c r="AS99" s="356">
        <v>13</v>
      </c>
      <c r="AT99" s="356">
        <v>10</v>
      </c>
      <c r="AU99" s="356">
        <v>14</v>
      </c>
      <c r="AV99" s="356">
        <v>14</v>
      </c>
      <c r="AW99" s="356">
        <v>7</v>
      </c>
      <c r="AX99" s="356">
        <v>8</v>
      </c>
      <c r="AY99" s="356">
        <v>5</v>
      </c>
      <c r="AZ99" s="356">
        <v>6</v>
      </c>
      <c r="BA99" s="356">
        <v>8</v>
      </c>
      <c r="BB99" s="356">
        <v>9</v>
      </c>
      <c r="BD99" s="353">
        <f t="shared" si="4"/>
        <v>74</v>
      </c>
      <c r="BE99" s="353">
        <f t="shared" si="5"/>
        <v>73</v>
      </c>
      <c r="BF99" s="353">
        <f t="shared" si="6"/>
        <v>82</v>
      </c>
      <c r="BG99" s="353">
        <f t="shared" si="7"/>
        <v>71</v>
      </c>
    </row>
    <row r="100" spans="2:59">
      <c r="B100" s="354">
        <v>92</v>
      </c>
      <c r="C100" s="743" t="s">
        <v>611</v>
      </c>
      <c r="D100" s="744" t="s">
        <v>611</v>
      </c>
      <c r="E100" s="744" t="s">
        <v>611</v>
      </c>
      <c r="F100" s="355">
        <v>1099368189</v>
      </c>
      <c r="G100" s="356">
        <v>0</v>
      </c>
      <c r="H100" s="356">
        <v>0</v>
      </c>
      <c r="I100" s="356">
        <v>2</v>
      </c>
      <c r="J100" s="356">
        <v>11</v>
      </c>
      <c r="K100" s="356">
        <v>12</v>
      </c>
      <c r="L100" s="356">
        <v>0</v>
      </c>
      <c r="M100" s="356">
        <v>5</v>
      </c>
      <c r="N100" s="356">
        <v>13</v>
      </c>
      <c r="O100" s="356">
        <v>4</v>
      </c>
      <c r="P100" s="356">
        <v>11</v>
      </c>
      <c r="Q100" s="356">
        <v>3</v>
      </c>
      <c r="R100" s="356">
        <v>3</v>
      </c>
      <c r="S100" s="356">
        <v>15</v>
      </c>
      <c r="T100" s="356">
        <v>9</v>
      </c>
      <c r="U100" s="356">
        <v>0</v>
      </c>
      <c r="V100" s="356">
        <v>1</v>
      </c>
      <c r="W100" s="356">
        <v>10</v>
      </c>
      <c r="X100" s="356">
        <v>5</v>
      </c>
      <c r="Y100" s="356">
        <v>12</v>
      </c>
      <c r="Z100" s="356">
        <v>3</v>
      </c>
      <c r="AA100" s="356">
        <v>8</v>
      </c>
      <c r="AB100" s="356">
        <v>12</v>
      </c>
      <c r="AC100" s="356">
        <v>8</v>
      </c>
      <c r="AD100" s="356">
        <v>15</v>
      </c>
      <c r="AE100" s="356">
        <v>11</v>
      </c>
      <c r="AF100" s="356">
        <v>2</v>
      </c>
      <c r="AG100" s="356">
        <v>15</v>
      </c>
      <c r="AH100" s="356">
        <v>0</v>
      </c>
      <c r="AI100" s="356">
        <v>12</v>
      </c>
      <c r="AJ100" s="356">
        <v>11</v>
      </c>
      <c r="AK100" s="356">
        <v>3</v>
      </c>
      <c r="AL100" s="356">
        <v>3</v>
      </c>
      <c r="AM100" s="356">
        <v>9</v>
      </c>
      <c r="AN100" s="356">
        <v>14</v>
      </c>
      <c r="AO100" s="356">
        <v>9</v>
      </c>
      <c r="AP100" s="356">
        <v>12</v>
      </c>
      <c r="AQ100" s="356">
        <v>12</v>
      </c>
      <c r="AR100" s="356">
        <v>12</v>
      </c>
      <c r="AS100" s="356">
        <v>14</v>
      </c>
      <c r="AT100" s="356">
        <v>11</v>
      </c>
      <c r="AU100" s="356">
        <v>2</v>
      </c>
      <c r="AV100" s="356">
        <v>6</v>
      </c>
      <c r="AW100" s="356">
        <v>4</v>
      </c>
      <c r="AX100" s="356">
        <v>2</v>
      </c>
      <c r="AY100" s="356">
        <v>8</v>
      </c>
      <c r="AZ100" s="356">
        <v>13</v>
      </c>
      <c r="BA100" s="356">
        <v>9</v>
      </c>
      <c r="BB100" s="356">
        <v>1</v>
      </c>
      <c r="BD100" s="353">
        <f t="shared" si="4"/>
        <v>75</v>
      </c>
      <c r="BE100" s="353">
        <f t="shared" si="5"/>
        <v>103</v>
      </c>
      <c r="BF100" s="353">
        <f t="shared" si="6"/>
        <v>84</v>
      </c>
      <c r="BG100" s="353">
        <f t="shared" si="7"/>
        <v>103</v>
      </c>
    </row>
    <row r="101" spans="2:59">
      <c r="B101" s="354">
        <v>93</v>
      </c>
      <c r="C101" s="743" t="s">
        <v>610</v>
      </c>
      <c r="D101" s="744" t="s">
        <v>610</v>
      </c>
      <c r="E101" s="744" t="s">
        <v>610</v>
      </c>
      <c r="F101" s="355">
        <v>13562851</v>
      </c>
      <c r="G101" s="356">
        <v>11</v>
      </c>
      <c r="H101" s="356">
        <v>15</v>
      </c>
      <c r="I101" s="356">
        <v>15</v>
      </c>
      <c r="J101" s="356">
        <v>6</v>
      </c>
      <c r="K101" s="356">
        <v>0</v>
      </c>
      <c r="L101" s="356">
        <v>9</v>
      </c>
      <c r="M101" s="356">
        <v>1</v>
      </c>
      <c r="N101" s="356">
        <v>11</v>
      </c>
      <c r="O101" s="356">
        <v>3</v>
      </c>
      <c r="P101" s="356">
        <v>15</v>
      </c>
      <c r="Q101" s="356">
        <v>13</v>
      </c>
      <c r="R101" s="356">
        <v>15</v>
      </c>
      <c r="S101" s="356">
        <v>14</v>
      </c>
      <c r="T101" s="356">
        <v>3</v>
      </c>
      <c r="U101" s="356">
        <v>13</v>
      </c>
      <c r="V101" s="356">
        <v>15</v>
      </c>
      <c r="W101" s="356">
        <v>7</v>
      </c>
      <c r="X101" s="356">
        <v>12</v>
      </c>
      <c r="Y101" s="356">
        <v>11</v>
      </c>
      <c r="Z101" s="356">
        <v>5</v>
      </c>
      <c r="AA101" s="356">
        <v>4</v>
      </c>
      <c r="AB101" s="356">
        <v>11</v>
      </c>
      <c r="AC101" s="356">
        <v>7</v>
      </c>
      <c r="AD101" s="356">
        <v>2</v>
      </c>
      <c r="AE101" s="356">
        <v>4</v>
      </c>
      <c r="AF101" s="356">
        <v>1</v>
      </c>
      <c r="AG101" s="356">
        <v>1</v>
      </c>
      <c r="AH101" s="356">
        <v>11</v>
      </c>
      <c r="AI101" s="356">
        <v>15</v>
      </c>
      <c r="AJ101" s="356">
        <v>13</v>
      </c>
      <c r="AK101" s="356">
        <v>5</v>
      </c>
      <c r="AL101" s="356">
        <v>6</v>
      </c>
      <c r="AM101" s="356">
        <v>8</v>
      </c>
      <c r="AN101" s="356">
        <v>14</v>
      </c>
      <c r="AO101" s="356">
        <v>3</v>
      </c>
      <c r="AP101" s="356">
        <v>3</v>
      </c>
      <c r="AQ101" s="356">
        <v>11</v>
      </c>
      <c r="AR101" s="356">
        <v>14</v>
      </c>
      <c r="AS101" s="356">
        <v>5</v>
      </c>
      <c r="AT101" s="356">
        <v>7</v>
      </c>
      <c r="AU101" s="356">
        <v>5</v>
      </c>
      <c r="AV101" s="356">
        <v>1</v>
      </c>
      <c r="AW101" s="356">
        <v>6</v>
      </c>
      <c r="AX101" s="356">
        <v>5</v>
      </c>
      <c r="AY101" s="356">
        <v>10</v>
      </c>
      <c r="AZ101" s="356">
        <v>14</v>
      </c>
      <c r="BA101" s="356">
        <v>9</v>
      </c>
      <c r="BB101" s="356">
        <v>0</v>
      </c>
      <c r="BD101" s="353">
        <f t="shared" si="4"/>
        <v>80</v>
      </c>
      <c r="BE101" s="353">
        <f t="shared" si="5"/>
        <v>92</v>
      </c>
      <c r="BF101" s="353">
        <f t="shared" si="6"/>
        <v>89</v>
      </c>
      <c r="BG101" s="353">
        <f t="shared" si="7"/>
        <v>81</v>
      </c>
    </row>
    <row r="102" spans="2:59">
      <c r="B102" s="354">
        <v>94</v>
      </c>
      <c r="C102" s="743" t="s">
        <v>609</v>
      </c>
      <c r="D102" s="744" t="s">
        <v>609</v>
      </c>
      <c r="E102" s="744" t="s">
        <v>609</v>
      </c>
      <c r="F102" s="355">
        <v>63430020</v>
      </c>
      <c r="G102" s="356">
        <v>15</v>
      </c>
      <c r="H102" s="356">
        <v>3</v>
      </c>
      <c r="I102" s="356">
        <v>1</v>
      </c>
      <c r="J102" s="356">
        <v>15</v>
      </c>
      <c r="K102" s="356">
        <v>11</v>
      </c>
      <c r="L102" s="356">
        <v>10</v>
      </c>
      <c r="M102" s="356">
        <v>4</v>
      </c>
      <c r="N102" s="356">
        <v>8</v>
      </c>
      <c r="O102" s="356">
        <v>12</v>
      </c>
      <c r="P102" s="356">
        <v>11</v>
      </c>
      <c r="Q102" s="356">
        <v>7</v>
      </c>
      <c r="R102" s="356">
        <v>13</v>
      </c>
      <c r="S102" s="356">
        <v>6</v>
      </c>
      <c r="T102" s="356">
        <v>5</v>
      </c>
      <c r="U102" s="356">
        <v>7</v>
      </c>
      <c r="V102" s="356">
        <v>4</v>
      </c>
      <c r="W102" s="356">
        <v>10</v>
      </c>
      <c r="X102" s="356">
        <v>6</v>
      </c>
      <c r="Y102" s="356">
        <v>13</v>
      </c>
      <c r="Z102" s="356">
        <v>3</v>
      </c>
      <c r="AA102" s="356">
        <v>13</v>
      </c>
      <c r="AB102" s="356">
        <v>3</v>
      </c>
      <c r="AC102" s="356">
        <v>6</v>
      </c>
      <c r="AD102" s="356">
        <v>13</v>
      </c>
      <c r="AE102" s="356">
        <v>7</v>
      </c>
      <c r="AF102" s="356">
        <v>5</v>
      </c>
      <c r="AG102" s="356">
        <v>3</v>
      </c>
      <c r="AH102" s="356">
        <v>6</v>
      </c>
      <c r="AI102" s="356">
        <v>11</v>
      </c>
      <c r="AJ102" s="356">
        <v>0</v>
      </c>
      <c r="AK102" s="356">
        <v>11</v>
      </c>
      <c r="AL102" s="356">
        <v>15</v>
      </c>
      <c r="AM102" s="356">
        <v>7</v>
      </c>
      <c r="AN102" s="356">
        <v>12</v>
      </c>
      <c r="AO102" s="356">
        <v>7</v>
      </c>
      <c r="AP102" s="356">
        <v>6</v>
      </c>
      <c r="AQ102" s="356">
        <v>9</v>
      </c>
      <c r="AR102" s="356">
        <v>8</v>
      </c>
      <c r="AS102" s="356">
        <v>10</v>
      </c>
      <c r="AT102" s="356">
        <v>8</v>
      </c>
      <c r="AU102" s="356">
        <v>3</v>
      </c>
      <c r="AV102" s="356">
        <v>5</v>
      </c>
      <c r="AW102" s="356">
        <v>5</v>
      </c>
      <c r="AX102" s="356">
        <v>10</v>
      </c>
      <c r="AY102" s="356">
        <v>3</v>
      </c>
      <c r="AZ102" s="356">
        <v>15</v>
      </c>
      <c r="BA102" s="356">
        <v>12</v>
      </c>
      <c r="BB102" s="356">
        <v>6</v>
      </c>
      <c r="BD102" s="353">
        <f t="shared" si="4"/>
        <v>74</v>
      </c>
      <c r="BE102" s="353">
        <f t="shared" si="5"/>
        <v>107</v>
      </c>
      <c r="BF102" s="353">
        <f t="shared" si="6"/>
        <v>86</v>
      </c>
      <c r="BG102" s="353">
        <f t="shared" si="7"/>
        <v>92</v>
      </c>
    </row>
    <row r="103" spans="2:59">
      <c r="B103" s="354">
        <v>95</v>
      </c>
      <c r="C103" s="743" t="s">
        <v>608</v>
      </c>
      <c r="D103" s="744" t="s">
        <v>608</v>
      </c>
      <c r="E103" s="744" t="s">
        <v>608</v>
      </c>
      <c r="F103" s="355">
        <v>28150647</v>
      </c>
      <c r="G103" s="356">
        <v>14</v>
      </c>
      <c r="H103" s="356">
        <v>8</v>
      </c>
      <c r="I103" s="356">
        <v>7</v>
      </c>
      <c r="J103" s="356">
        <v>8</v>
      </c>
      <c r="K103" s="356">
        <v>4</v>
      </c>
      <c r="L103" s="356">
        <v>3</v>
      </c>
      <c r="M103" s="356">
        <v>11</v>
      </c>
      <c r="N103" s="356">
        <v>13</v>
      </c>
      <c r="O103" s="356">
        <v>14</v>
      </c>
      <c r="P103" s="356">
        <v>3</v>
      </c>
      <c r="Q103" s="356">
        <v>7</v>
      </c>
      <c r="R103" s="356">
        <v>5</v>
      </c>
      <c r="S103" s="356">
        <v>10</v>
      </c>
      <c r="T103" s="356">
        <v>3</v>
      </c>
      <c r="U103" s="356">
        <v>9</v>
      </c>
      <c r="V103" s="356">
        <v>9</v>
      </c>
      <c r="W103" s="356">
        <v>12</v>
      </c>
      <c r="X103" s="356">
        <v>12</v>
      </c>
      <c r="Y103" s="356">
        <v>10</v>
      </c>
      <c r="Z103" s="356">
        <v>10</v>
      </c>
      <c r="AA103" s="356">
        <v>8</v>
      </c>
      <c r="AB103" s="356">
        <v>10</v>
      </c>
      <c r="AC103" s="356">
        <v>13</v>
      </c>
      <c r="AD103" s="356">
        <v>5</v>
      </c>
      <c r="AE103" s="356">
        <v>4</v>
      </c>
      <c r="AF103" s="356">
        <v>1</v>
      </c>
      <c r="AG103" s="356">
        <v>11</v>
      </c>
      <c r="AH103" s="356">
        <v>2</v>
      </c>
      <c r="AI103" s="356">
        <v>2</v>
      </c>
      <c r="AJ103" s="356">
        <v>13</v>
      </c>
      <c r="AK103" s="356">
        <v>10</v>
      </c>
      <c r="AL103" s="356">
        <v>14</v>
      </c>
      <c r="AM103" s="356">
        <v>1</v>
      </c>
      <c r="AN103" s="356">
        <v>9</v>
      </c>
      <c r="AO103" s="356">
        <v>7</v>
      </c>
      <c r="AP103" s="356">
        <v>6</v>
      </c>
      <c r="AQ103" s="356">
        <v>14</v>
      </c>
      <c r="AR103" s="356">
        <v>9</v>
      </c>
      <c r="AS103" s="356">
        <v>10</v>
      </c>
      <c r="AT103" s="356">
        <v>13</v>
      </c>
      <c r="AU103" s="356">
        <v>9</v>
      </c>
      <c r="AV103" s="356">
        <v>7</v>
      </c>
      <c r="AW103" s="356">
        <v>4</v>
      </c>
      <c r="AX103" s="356">
        <v>10</v>
      </c>
      <c r="AY103" s="356">
        <v>15</v>
      </c>
      <c r="AZ103" s="356">
        <v>1</v>
      </c>
      <c r="BA103" s="356">
        <v>13</v>
      </c>
      <c r="BB103" s="356">
        <v>6</v>
      </c>
      <c r="BD103" s="353">
        <f t="shared" si="4"/>
        <v>99</v>
      </c>
      <c r="BE103" s="353">
        <f t="shared" si="5"/>
        <v>107</v>
      </c>
      <c r="BF103" s="353">
        <f t="shared" si="6"/>
        <v>112</v>
      </c>
      <c r="BG103" s="353">
        <f t="shared" si="7"/>
        <v>93</v>
      </c>
    </row>
    <row r="104" spans="2:59" ht="15.75" customHeight="1">
      <c r="B104" s="354">
        <v>96</v>
      </c>
      <c r="C104" s="743" t="s">
        <v>607</v>
      </c>
      <c r="D104" s="744"/>
      <c r="E104" s="744"/>
      <c r="F104" s="357">
        <v>1099347857</v>
      </c>
      <c r="G104" s="356">
        <v>5</v>
      </c>
      <c r="H104" s="356">
        <v>2</v>
      </c>
      <c r="I104" s="356">
        <v>6</v>
      </c>
      <c r="J104" s="356">
        <v>15</v>
      </c>
      <c r="K104" s="356">
        <v>15</v>
      </c>
      <c r="L104" s="356">
        <v>15</v>
      </c>
      <c r="M104" s="356">
        <v>12</v>
      </c>
      <c r="N104" s="356">
        <v>6</v>
      </c>
      <c r="O104" s="356">
        <v>7</v>
      </c>
      <c r="P104" s="356">
        <v>1</v>
      </c>
      <c r="Q104" s="356">
        <v>4</v>
      </c>
      <c r="R104" s="356">
        <v>10</v>
      </c>
      <c r="S104" s="356">
        <v>4</v>
      </c>
      <c r="T104" s="356">
        <v>2</v>
      </c>
      <c r="U104" s="356">
        <v>7</v>
      </c>
      <c r="V104" s="356">
        <v>14</v>
      </c>
      <c r="W104" s="356">
        <v>13</v>
      </c>
      <c r="X104" s="356">
        <v>13</v>
      </c>
      <c r="Y104" s="356">
        <v>7</v>
      </c>
      <c r="Z104" s="356">
        <v>13</v>
      </c>
      <c r="AA104" s="356">
        <v>9</v>
      </c>
      <c r="AB104" s="356">
        <v>0</v>
      </c>
      <c r="AC104" s="356">
        <v>14</v>
      </c>
      <c r="AD104" s="356">
        <v>15</v>
      </c>
      <c r="AE104" s="356">
        <v>15</v>
      </c>
      <c r="AF104" s="356">
        <v>12</v>
      </c>
      <c r="AG104" s="356">
        <v>3</v>
      </c>
      <c r="AH104" s="356">
        <v>0</v>
      </c>
      <c r="AI104" s="356">
        <v>13</v>
      </c>
      <c r="AJ104" s="356">
        <v>7</v>
      </c>
      <c r="AK104" s="356">
        <v>3</v>
      </c>
      <c r="AL104" s="356">
        <v>1</v>
      </c>
      <c r="AM104" s="356">
        <v>5</v>
      </c>
      <c r="AN104" s="356">
        <v>2</v>
      </c>
      <c r="AO104" s="356">
        <v>10</v>
      </c>
      <c r="AP104" s="356">
        <v>12</v>
      </c>
      <c r="AQ104" s="356">
        <v>11</v>
      </c>
      <c r="AR104" s="356">
        <v>3</v>
      </c>
      <c r="AS104" s="356">
        <v>10</v>
      </c>
      <c r="AT104" s="356">
        <v>0</v>
      </c>
      <c r="AU104" s="356">
        <v>10</v>
      </c>
      <c r="AV104" s="356">
        <v>3</v>
      </c>
      <c r="AW104" s="356">
        <v>14</v>
      </c>
      <c r="AX104" s="356">
        <v>1</v>
      </c>
      <c r="AY104" s="356">
        <v>1</v>
      </c>
      <c r="AZ104" s="356">
        <v>0</v>
      </c>
      <c r="BA104" s="356">
        <v>4</v>
      </c>
      <c r="BB104" s="356">
        <v>4</v>
      </c>
      <c r="BD104" s="353">
        <f t="shared" si="4"/>
        <v>90</v>
      </c>
      <c r="BE104" s="353">
        <f t="shared" si="5"/>
        <v>108</v>
      </c>
      <c r="BF104" s="353">
        <f t="shared" si="6"/>
        <v>94</v>
      </c>
      <c r="BG104" s="353">
        <f t="shared" si="7"/>
        <v>103</v>
      </c>
    </row>
    <row r="105" spans="2:59" ht="15.75" customHeight="1">
      <c r="B105" s="354">
        <v>97</v>
      </c>
      <c r="C105" s="743" t="s">
        <v>606</v>
      </c>
      <c r="D105" s="744"/>
      <c r="E105" s="744"/>
      <c r="F105" s="357">
        <v>5550867</v>
      </c>
      <c r="G105" s="356">
        <v>8</v>
      </c>
      <c r="H105" s="356">
        <v>11</v>
      </c>
      <c r="I105" s="356">
        <v>0</v>
      </c>
      <c r="J105" s="356">
        <v>2</v>
      </c>
      <c r="K105" s="356">
        <v>10</v>
      </c>
      <c r="L105" s="356">
        <v>15</v>
      </c>
      <c r="M105" s="356">
        <v>5</v>
      </c>
      <c r="N105" s="356">
        <v>2</v>
      </c>
      <c r="O105" s="356">
        <v>4</v>
      </c>
      <c r="P105" s="356">
        <v>12</v>
      </c>
      <c r="Q105" s="356">
        <v>5</v>
      </c>
      <c r="R105" s="356">
        <v>9</v>
      </c>
      <c r="S105" s="356">
        <v>12</v>
      </c>
      <c r="T105" s="356">
        <v>15</v>
      </c>
      <c r="U105" s="356">
        <v>8</v>
      </c>
      <c r="V105" s="356">
        <v>1</v>
      </c>
      <c r="W105" s="356">
        <v>9</v>
      </c>
      <c r="X105" s="356">
        <v>13</v>
      </c>
      <c r="Y105" s="356">
        <v>0</v>
      </c>
      <c r="Z105" s="356">
        <v>6</v>
      </c>
      <c r="AA105" s="356">
        <v>15</v>
      </c>
      <c r="AB105" s="356">
        <v>9</v>
      </c>
      <c r="AC105" s="356">
        <v>10</v>
      </c>
      <c r="AD105" s="356">
        <v>11</v>
      </c>
      <c r="AE105" s="356">
        <v>1</v>
      </c>
      <c r="AF105" s="356">
        <v>11</v>
      </c>
      <c r="AG105" s="356">
        <v>15</v>
      </c>
      <c r="AH105" s="356">
        <v>7</v>
      </c>
      <c r="AI105" s="356">
        <v>15</v>
      </c>
      <c r="AJ105" s="356">
        <v>15</v>
      </c>
      <c r="AK105" s="356">
        <v>0</v>
      </c>
      <c r="AL105" s="356">
        <v>7</v>
      </c>
      <c r="AM105" s="356">
        <v>7</v>
      </c>
      <c r="AN105" s="356">
        <v>9</v>
      </c>
      <c r="AO105" s="356">
        <v>14</v>
      </c>
      <c r="AP105" s="356">
        <v>14</v>
      </c>
      <c r="AQ105" s="356">
        <v>2</v>
      </c>
      <c r="AR105" s="356">
        <v>11</v>
      </c>
      <c r="AS105" s="356">
        <v>13</v>
      </c>
      <c r="AT105" s="356">
        <v>7</v>
      </c>
      <c r="AU105" s="356">
        <v>7</v>
      </c>
      <c r="AV105" s="356">
        <v>12</v>
      </c>
      <c r="AW105" s="356">
        <v>6</v>
      </c>
      <c r="AX105" s="356">
        <v>9</v>
      </c>
      <c r="AY105" s="356">
        <v>13</v>
      </c>
      <c r="AZ105" s="356">
        <v>8</v>
      </c>
      <c r="BA105" s="356">
        <v>1</v>
      </c>
      <c r="BB105" s="356">
        <v>5</v>
      </c>
      <c r="BD105" s="353">
        <f t="shared" si="4"/>
        <v>76</v>
      </c>
      <c r="BE105" s="353">
        <f t="shared" si="5"/>
        <v>103</v>
      </c>
      <c r="BF105" s="353">
        <f t="shared" si="6"/>
        <v>77</v>
      </c>
      <c r="BG105" s="353">
        <f t="shared" si="7"/>
        <v>95</v>
      </c>
    </row>
    <row r="106" spans="2:59">
      <c r="B106" s="354">
        <v>98</v>
      </c>
      <c r="C106" s="743" t="s">
        <v>605</v>
      </c>
      <c r="D106" s="744" t="s">
        <v>605</v>
      </c>
      <c r="E106" s="744" t="s">
        <v>605</v>
      </c>
      <c r="F106" s="357">
        <v>1095934306</v>
      </c>
      <c r="G106" s="356">
        <v>5</v>
      </c>
      <c r="H106" s="356">
        <v>15</v>
      </c>
      <c r="I106" s="356">
        <v>6</v>
      </c>
      <c r="J106" s="356">
        <v>0</v>
      </c>
      <c r="K106" s="356">
        <v>9</v>
      </c>
      <c r="L106" s="356">
        <v>1</v>
      </c>
      <c r="M106" s="356">
        <v>11</v>
      </c>
      <c r="N106" s="356">
        <v>13</v>
      </c>
      <c r="O106" s="356">
        <v>0</v>
      </c>
      <c r="P106" s="356">
        <v>10</v>
      </c>
      <c r="Q106" s="356">
        <v>4</v>
      </c>
      <c r="R106" s="356">
        <v>13</v>
      </c>
      <c r="S106" s="356">
        <v>12</v>
      </c>
      <c r="T106" s="356">
        <v>3</v>
      </c>
      <c r="U106" s="356">
        <v>3</v>
      </c>
      <c r="V106" s="356">
        <v>6</v>
      </c>
      <c r="W106" s="356">
        <v>0</v>
      </c>
      <c r="X106" s="356">
        <v>8</v>
      </c>
      <c r="Y106" s="356">
        <v>15</v>
      </c>
      <c r="Z106" s="356">
        <v>1</v>
      </c>
      <c r="AA106" s="356">
        <v>2</v>
      </c>
      <c r="AB106" s="356">
        <v>4</v>
      </c>
      <c r="AC106" s="356">
        <v>10</v>
      </c>
      <c r="AD106" s="356">
        <v>6</v>
      </c>
      <c r="AE106" s="356">
        <v>3</v>
      </c>
      <c r="AF106" s="356">
        <v>1</v>
      </c>
      <c r="AG106" s="356">
        <v>13</v>
      </c>
      <c r="AH106" s="356">
        <v>15</v>
      </c>
      <c r="AI106" s="356">
        <v>15</v>
      </c>
      <c r="AJ106" s="356">
        <v>7</v>
      </c>
      <c r="AK106" s="356">
        <v>7</v>
      </c>
      <c r="AL106" s="356">
        <v>1</v>
      </c>
      <c r="AM106" s="356">
        <v>9</v>
      </c>
      <c r="AN106" s="356">
        <v>13</v>
      </c>
      <c r="AO106" s="356">
        <v>3</v>
      </c>
      <c r="AP106" s="356">
        <v>12</v>
      </c>
      <c r="AQ106" s="356">
        <v>15</v>
      </c>
      <c r="AR106" s="356">
        <v>13</v>
      </c>
      <c r="AS106" s="356">
        <v>5</v>
      </c>
      <c r="AT106" s="356">
        <v>9</v>
      </c>
      <c r="AU106" s="356">
        <v>12</v>
      </c>
      <c r="AV106" s="356">
        <v>13</v>
      </c>
      <c r="AW106" s="356">
        <v>0</v>
      </c>
      <c r="AX106" s="356">
        <v>9</v>
      </c>
      <c r="AY106" s="356">
        <v>5</v>
      </c>
      <c r="AZ106" s="356">
        <v>2</v>
      </c>
      <c r="BA106" s="356">
        <v>5</v>
      </c>
      <c r="BB106" s="356">
        <v>9</v>
      </c>
      <c r="BD106" s="353">
        <f t="shared" si="4"/>
        <v>77</v>
      </c>
      <c r="BE106" s="353">
        <f t="shared" si="5"/>
        <v>87</v>
      </c>
      <c r="BF106" s="353">
        <f t="shared" si="6"/>
        <v>82</v>
      </c>
      <c r="BG106" s="353">
        <f t="shared" si="7"/>
        <v>82</v>
      </c>
    </row>
    <row r="107" spans="2:59">
      <c r="B107" s="354">
        <v>99</v>
      </c>
      <c r="C107" s="743" t="s">
        <v>604</v>
      </c>
      <c r="D107" s="744" t="s">
        <v>604</v>
      </c>
      <c r="E107" s="744" t="s">
        <v>604</v>
      </c>
      <c r="F107" s="357">
        <v>1097116510</v>
      </c>
      <c r="G107" s="356">
        <v>8</v>
      </c>
      <c r="H107" s="356">
        <v>14</v>
      </c>
      <c r="I107" s="356">
        <v>9</v>
      </c>
      <c r="J107" s="356">
        <v>6</v>
      </c>
      <c r="K107" s="356">
        <v>8</v>
      </c>
      <c r="L107" s="356">
        <v>13</v>
      </c>
      <c r="M107" s="356">
        <v>0</v>
      </c>
      <c r="N107" s="356">
        <v>1</v>
      </c>
      <c r="O107" s="356">
        <v>7</v>
      </c>
      <c r="P107" s="356">
        <v>12</v>
      </c>
      <c r="Q107" s="356">
        <v>15</v>
      </c>
      <c r="R107" s="356">
        <v>9</v>
      </c>
      <c r="S107" s="356">
        <v>0</v>
      </c>
      <c r="T107" s="356">
        <v>0</v>
      </c>
      <c r="U107" s="356">
        <v>15</v>
      </c>
      <c r="V107" s="356">
        <v>14</v>
      </c>
      <c r="W107" s="356">
        <v>6</v>
      </c>
      <c r="X107" s="356">
        <v>1</v>
      </c>
      <c r="Y107" s="356">
        <v>8</v>
      </c>
      <c r="Z107" s="356">
        <v>14</v>
      </c>
      <c r="AA107" s="356">
        <v>8</v>
      </c>
      <c r="AB107" s="356">
        <v>5</v>
      </c>
      <c r="AC107" s="356">
        <v>13</v>
      </c>
      <c r="AD107" s="356">
        <v>15</v>
      </c>
      <c r="AE107" s="356">
        <v>1</v>
      </c>
      <c r="AF107" s="356">
        <v>3</v>
      </c>
      <c r="AG107" s="356">
        <v>0</v>
      </c>
      <c r="AH107" s="356">
        <v>2</v>
      </c>
      <c r="AI107" s="356">
        <v>14</v>
      </c>
      <c r="AJ107" s="356">
        <v>10</v>
      </c>
      <c r="AK107" s="356">
        <v>3</v>
      </c>
      <c r="AL107" s="356">
        <v>1</v>
      </c>
      <c r="AM107" s="356">
        <v>10</v>
      </c>
      <c r="AN107" s="356">
        <v>2</v>
      </c>
      <c r="AO107" s="356">
        <v>7</v>
      </c>
      <c r="AP107" s="356">
        <v>13</v>
      </c>
      <c r="AQ107" s="356">
        <v>3</v>
      </c>
      <c r="AR107" s="356">
        <v>6</v>
      </c>
      <c r="AS107" s="356">
        <v>4</v>
      </c>
      <c r="AT107" s="356">
        <v>2</v>
      </c>
      <c r="AU107" s="356">
        <v>13</v>
      </c>
      <c r="AV107" s="356">
        <v>1</v>
      </c>
      <c r="AW107" s="356">
        <v>14</v>
      </c>
      <c r="AX107" s="356">
        <v>10</v>
      </c>
      <c r="AY107" s="356">
        <v>1</v>
      </c>
      <c r="AZ107" s="356">
        <v>11</v>
      </c>
      <c r="BA107" s="356">
        <v>10</v>
      </c>
      <c r="BB107" s="356">
        <v>3</v>
      </c>
      <c r="BD107" s="353">
        <f t="shared" si="4"/>
        <v>88</v>
      </c>
      <c r="BE107" s="353">
        <f t="shared" si="5"/>
        <v>79</v>
      </c>
      <c r="BF107" s="353">
        <f t="shared" si="6"/>
        <v>98</v>
      </c>
      <c r="BG107" s="353">
        <f t="shared" si="7"/>
        <v>71</v>
      </c>
    </row>
    <row r="108" spans="2:59">
      <c r="B108" s="354">
        <v>100</v>
      </c>
      <c r="C108" s="743" t="s">
        <v>603</v>
      </c>
      <c r="D108" s="744" t="s">
        <v>603</v>
      </c>
      <c r="E108" s="744" t="s">
        <v>603</v>
      </c>
      <c r="F108" s="357">
        <v>1099375343</v>
      </c>
      <c r="G108" s="356">
        <v>8</v>
      </c>
      <c r="H108" s="356">
        <v>4</v>
      </c>
      <c r="I108" s="356">
        <v>8</v>
      </c>
      <c r="J108" s="356">
        <v>10</v>
      </c>
      <c r="K108" s="356">
        <v>11</v>
      </c>
      <c r="L108" s="356">
        <v>0</v>
      </c>
      <c r="M108" s="356">
        <v>0</v>
      </c>
      <c r="N108" s="356">
        <v>12</v>
      </c>
      <c r="O108" s="356">
        <v>14</v>
      </c>
      <c r="P108" s="356">
        <v>15</v>
      </c>
      <c r="Q108" s="356">
        <v>12</v>
      </c>
      <c r="R108" s="356">
        <v>11</v>
      </c>
      <c r="S108" s="356">
        <v>4</v>
      </c>
      <c r="T108" s="356">
        <v>9</v>
      </c>
      <c r="U108" s="356">
        <v>5</v>
      </c>
      <c r="V108" s="356">
        <v>9</v>
      </c>
      <c r="W108" s="356">
        <v>7</v>
      </c>
      <c r="X108" s="356">
        <v>0</v>
      </c>
      <c r="Y108" s="356">
        <v>4</v>
      </c>
      <c r="Z108" s="356">
        <v>3</v>
      </c>
      <c r="AA108" s="356">
        <v>13</v>
      </c>
      <c r="AB108" s="356">
        <v>14</v>
      </c>
      <c r="AC108" s="356">
        <v>3</v>
      </c>
      <c r="AD108" s="356">
        <v>2</v>
      </c>
      <c r="AE108" s="356">
        <v>2</v>
      </c>
      <c r="AF108" s="356">
        <v>15</v>
      </c>
      <c r="AG108" s="356">
        <v>1</v>
      </c>
      <c r="AH108" s="356">
        <v>15</v>
      </c>
      <c r="AI108" s="356">
        <v>11</v>
      </c>
      <c r="AJ108" s="356">
        <v>4</v>
      </c>
      <c r="AK108" s="356">
        <v>7</v>
      </c>
      <c r="AL108" s="356">
        <v>0</v>
      </c>
      <c r="AM108" s="356">
        <v>10</v>
      </c>
      <c r="AN108" s="356">
        <v>9</v>
      </c>
      <c r="AO108" s="356">
        <v>8</v>
      </c>
      <c r="AP108" s="356">
        <v>3</v>
      </c>
      <c r="AQ108" s="356">
        <v>10</v>
      </c>
      <c r="AR108" s="356">
        <v>10</v>
      </c>
      <c r="AS108" s="356">
        <v>7</v>
      </c>
      <c r="AT108" s="356">
        <v>7</v>
      </c>
      <c r="AU108" s="356">
        <v>15</v>
      </c>
      <c r="AV108" s="356">
        <v>0</v>
      </c>
      <c r="AW108" s="356">
        <v>13</v>
      </c>
      <c r="AX108" s="356">
        <v>3</v>
      </c>
      <c r="AY108" s="356">
        <v>7</v>
      </c>
      <c r="AZ108" s="356">
        <v>15</v>
      </c>
      <c r="BA108" s="356">
        <v>8</v>
      </c>
      <c r="BB108" s="356">
        <v>12</v>
      </c>
      <c r="BD108" s="353">
        <f t="shared" si="4"/>
        <v>68</v>
      </c>
      <c r="BE108" s="353">
        <f t="shared" si="5"/>
        <v>112</v>
      </c>
      <c r="BF108" s="353">
        <f t="shared" si="6"/>
        <v>76</v>
      </c>
      <c r="BG108" s="353">
        <f t="shared" si="7"/>
        <v>104</v>
      </c>
    </row>
    <row r="109" spans="2:59">
      <c r="B109" s="354">
        <v>101</v>
      </c>
      <c r="C109" s="743" t="s">
        <v>602</v>
      </c>
      <c r="D109" s="744" t="s">
        <v>602</v>
      </c>
      <c r="E109" s="744" t="s">
        <v>602</v>
      </c>
      <c r="F109" s="357">
        <v>3984740</v>
      </c>
      <c r="G109" s="356">
        <v>13</v>
      </c>
      <c r="H109" s="356">
        <v>14</v>
      </c>
      <c r="I109" s="356">
        <v>15</v>
      </c>
      <c r="J109" s="356">
        <v>3</v>
      </c>
      <c r="K109" s="356">
        <v>10</v>
      </c>
      <c r="L109" s="356">
        <v>1</v>
      </c>
      <c r="M109" s="356">
        <v>15</v>
      </c>
      <c r="N109" s="356">
        <v>14</v>
      </c>
      <c r="O109" s="356">
        <v>9</v>
      </c>
      <c r="P109" s="356">
        <v>3</v>
      </c>
      <c r="Q109" s="356">
        <v>12</v>
      </c>
      <c r="R109" s="356">
        <v>9</v>
      </c>
      <c r="S109" s="356">
        <v>5</v>
      </c>
      <c r="T109" s="356">
        <v>7</v>
      </c>
      <c r="U109" s="356">
        <v>6</v>
      </c>
      <c r="V109" s="356">
        <v>2</v>
      </c>
      <c r="W109" s="356">
        <v>10</v>
      </c>
      <c r="X109" s="356">
        <v>7</v>
      </c>
      <c r="Y109" s="356">
        <v>5</v>
      </c>
      <c r="Z109" s="356">
        <v>3</v>
      </c>
      <c r="AA109" s="356">
        <v>15</v>
      </c>
      <c r="AB109" s="356">
        <v>3</v>
      </c>
      <c r="AC109" s="356">
        <v>8</v>
      </c>
      <c r="AD109" s="356">
        <v>1</v>
      </c>
      <c r="AE109" s="356">
        <v>3</v>
      </c>
      <c r="AF109" s="356">
        <v>0</v>
      </c>
      <c r="AG109" s="356">
        <v>7</v>
      </c>
      <c r="AH109" s="356">
        <v>7</v>
      </c>
      <c r="AI109" s="356">
        <v>15</v>
      </c>
      <c r="AJ109" s="356">
        <v>15</v>
      </c>
      <c r="AK109" s="356">
        <v>10</v>
      </c>
      <c r="AL109" s="356">
        <v>3</v>
      </c>
      <c r="AM109" s="356">
        <v>12</v>
      </c>
      <c r="AN109" s="356">
        <v>13</v>
      </c>
      <c r="AO109" s="356">
        <v>1</v>
      </c>
      <c r="AP109" s="356">
        <v>0</v>
      </c>
      <c r="AQ109" s="356">
        <v>6</v>
      </c>
      <c r="AR109" s="356">
        <v>6</v>
      </c>
      <c r="AS109" s="356">
        <v>12</v>
      </c>
      <c r="AT109" s="356">
        <v>11</v>
      </c>
      <c r="AU109" s="356">
        <v>6</v>
      </c>
      <c r="AV109" s="356">
        <v>12</v>
      </c>
      <c r="AW109" s="356">
        <v>13</v>
      </c>
      <c r="AX109" s="356">
        <v>6</v>
      </c>
      <c r="AY109" s="356">
        <v>1</v>
      </c>
      <c r="AZ109" s="356">
        <v>12</v>
      </c>
      <c r="BA109" s="356">
        <v>14</v>
      </c>
      <c r="BB109" s="356">
        <v>0</v>
      </c>
      <c r="BD109" s="353">
        <f t="shared" si="4"/>
        <v>104</v>
      </c>
      <c r="BE109" s="353">
        <f t="shared" si="5"/>
        <v>105</v>
      </c>
      <c r="BF109" s="353">
        <f t="shared" si="6"/>
        <v>118</v>
      </c>
      <c r="BG109" s="353">
        <f t="shared" si="7"/>
        <v>92</v>
      </c>
    </row>
    <row r="110" spans="2:59">
      <c r="B110" s="354">
        <v>102</v>
      </c>
      <c r="C110" s="743" t="s">
        <v>601</v>
      </c>
      <c r="D110" s="744" t="s">
        <v>601</v>
      </c>
      <c r="E110" s="744" t="s">
        <v>601</v>
      </c>
      <c r="F110" s="357">
        <v>1050918720</v>
      </c>
      <c r="G110" s="356">
        <v>4</v>
      </c>
      <c r="H110" s="356">
        <v>7</v>
      </c>
      <c r="I110" s="356">
        <v>5</v>
      </c>
      <c r="J110" s="356">
        <v>9</v>
      </c>
      <c r="K110" s="356">
        <v>3</v>
      </c>
      <c r="L110" s="356">
        <v>10</v>
      </c>
      <c r="M110" s="356">
        <v>13</v>
      </c>
      <c r="N110" s="356">
        <v>13</v>
      </c>
      <c r="O110" s="356">
        <v>12</v>
      </c>
      <c r="P110" s="356">
        <v>6</v>
      </c>
      <c r="Q110" s="356">
        <v>0</v>
      </c>
      <c r="R110" s="356">
        <v>7</v>
      </c>
      <c r="S110" s="356">
        <v>12</v>
      </c>
      <c r="T110" s="356">
        <v>12</v>
      </c>
      <c r="U110" s="356">
        <v>14</v>
      </c>
      <c r="V110" s="356">
        <v>1</v>
      </c>
      <c r="W110" s="356">
        <v>2</v>
      </c>
      <c r="X110" s="356">
        <v>15</v>
      </c>
      <c r="Y110" s="356">
        <v>2</v>
      </c>
      <c r="Z110" s="356">
        <v>6</v>
      </c>
      <c r="AA110" s="356">
        <v>13</v>
      </c>
      <c r="AB110" s="356">
        <v>10</v>
      </c>
      <c r="AC110" s="356">
        <v>2</v>
      </c>
      <c r="AD110" s="356">
        <v>12</v>
      </c>
      <c r="AE110" s="356">
        <v>10</v>
      </c>
      <c r="AF110" s="356">
        <v>10</v>
      </c>
      <c r="AG110" s="356">
        <v>7</v>
      </c>
      <c r="AH110" s="356">
        <v>11</v>
      </c>
      <c r="AI110" s="356">
        <v>7</v>
      </c>
      <c r="AJ110" s="356">
        <v>4</v>
      </c>
      <c r="AK110" s="356">
        <v>6</v>
      </c>
      <c r="AL110" s="356">
        <v>15</v>
      </c>
      <c r="AM110" s="356">
        <v>11</v>
      </c>
      <c r="AN110" s="356">
        <v>6</v>
      </c>
      <c r="AO110" s="356">
        <v>0</v>
      </c>
      <c r="AP110" s="356">
        <v>8</v>
      </c>
      <c r="AQ110" s="356">
        <v>15</v>
      </c>
      <c r="AR110" s="356">
        <v>14</v>
      </c>
      <c r="AS110" s="356">
        <v>10</v>
      </c>
      <c r="AT110" s="356">
        <v>11</v>
      </c>
      <c r="AU110" s="356">
        <v>1</v>
      </c>
      <c r="AV110" s="356">
        <v>0</v>
      </c>
      <c r="AW110" s="356">
        <v>10</v>
      </c>
      <c r="AX110" s="356">
        <v>3</v>
      </c>
      <c r="AY110" s="356">
        <v>13</v>
      </c>
      <c r="AZ110" s="356">
        <v>5</v>
      </c>
      <c r="BA110" s="356">
        <v>1</v>
      </c>
      <c r="BB110" s="356">
        <v>8</v>
      </c>
      <c r="BD110" s="353">
        <f t="shared" si="4"/>
        <v>69</v>
      </c>
      <c r="BE110" s="353">
        <f t="shared" si="5"/>
        <v>103</v>
      </c>
      <c r="BF110" s="353">
        <f t="shared" si="6"/>
        <v>70</v>
      </c>
      <c r="BG110" s="353">
        <f t="shared" si="7"/>
        <v>99</v>
      </c>
    </row>
    <row r="111" spans="2:59">
      <c r="B111" s="354">
        <v>103</v>
      </c>
      <c r="C111" s="743" t="s">
        <v>600</v>
      </c>
      <c r="D111" s="744" t="s">
        <v>600</v>
      </c>
      <c r="E111" s="744" t="s">
        <v>600</v>
      </c>
      <c r="F111" s="357">
        <v>1050918720</v>
      </c>
      <c r="G111" s="356">
        <v>7</v>
      </c>
      <c r="H111" s="356">
        <v>8</v>
      </c>
      <c r="I111" s="356">
        <v>5</v>
      </c>
      <c r="J111" s="356">
        <v>0</v>
      </c>
      <c r="K111" s="356">
        <v>0</v>
      </c>
      <c r="L111" s="356">
        <v>13</v>
      </c>
      <c r="M111" s="356">
        <v>5</v>
      </c>
      <c r="N111" s="356">
        <v>13</v>
      </c>
      <c r="O111" s="356">
        <v>1</v>
      </c>
      <c r="P111" s="356">
        <v>2</v>
      </c>
      <c r="Q111" s="356">
        <v>0</v>
      </c>
      <c r="R111" s="356">
        <v>15</v>
      </c>
      <c r="S111" s="356">
        <v>4</v>
      </c>
      <c r="T111" s="356">
        <v>4</v>
      </c>
      <c r="U111" s="356">
        <v>2</v>
      </c>
      <c r="V111" s="356">
        <v>14</v>
      </c>
      <c r="W111" s="356">
        <v>4</v>
      </c>
      <c r="X111" s="356">
        <v>0</v>
      </c>
      <c r="Y111" s="356">
        <v>10</v>
      </c>
      <c r="Z111" s="356">
        <v>3</v>
      </c>
      <c r="AA111" s="356">
        <v>9</v>
      </c>
      <c r="AB111" s="356">
        <v>0</v>
      </c>
      <c r="AC111" s="356">
        <v>12</v>
      </c>
      <c r="AD111" s="356">
        <v>9</v>
      </c>
      <c r="AE111" s="356">
        <v>8</v>
      </c>
      <c r="AF111" s="356">
        <v>1</v>
      </c>
      <c r="AG111" s="356">
        <v>3</v>
      </c>
      <c r="AH111" s="356">
        <v>2</v>
      </c>
      <c r="AI111" s="356">
        <v>2</v>
      </c>
      <c r="AJ111" s="356">
        <v>11</v>
      </c>
      <c r="AK111" s="356">
        <v>11</v>
      </c>
      <c r="AL111" s="356">
        <v>8</v>
      </c>
      <c r="AM111" s="356">
        <v>9</v>
      </c>
      <c r="AN111" s="356">
        <v>1</v>
      </c>
      <c r="AO111" s="356">
        <v>0</v>
      </c>
      <c r="AP111" s="356">
        <v>12</v>
      </c>
      <c r="AQ111" s="356">
        <v>14</v>
      </c>
      <c r="AR111" s="356">
        <v>3</v>
      </c>
      <c r="AS111" s="356">
        <v>7</v>
      </c>
      <c r="AT111" s="356">
        <v>10</v>
      </c>
      <c r="AU111" s="356">
        <v>8</v>
      </c>
      <c r="AV111" s="356">
        <v>8</v>
      </c>
      <c r="AW111" s="356">
        <v>9</v>
      </c>
      <c r="AX111" s="356">
        <v>7</v>
      </c>
      <c r="AY111" s="356">
        <v>7</v>
      </c>
      <c r="AZ111" s="356">
        <v>8</v>
      </c>
      <c r="BA111" s="356">
        <v>12</v>
      </c>
      <c r="BB111" s="356">
        <v>4</v>
      </c>
      <c r="BD111" s="353">
        <f t="shared" si="4"/>
        <v>64</v>
      </c>
      <c r="BE111" s="353">
        <f t="shared" si="5"/>
        <v>73</v>
      </c>
      <c r="BF111" s="353">
        <f t="shared" si="6"/>
        <v>76</v>
      </c>
      <c r="BG111" s="353">
        <f t="shared" si="7"/>
        <v>66</v>
      </c>
    </row>
    <row r="112" spans="2:59">
      <c r="B112" s="354">
        <v>104</v>
      </c>
      <c r="C112" s="743" t="s">
        <v>599</v>
      </c>
      <c r="D112" s="744" t="s">
        <v>599</v>
      </c>
      <c r="E112" s="744" t="s">
        <v>599</v>
      </c>
      <c r="F112" s="357">
        <v>28023257</v>
      </c>
      <c r="G112" s="356">
        <v>9</v>
      </c>
      <c r="H112" s="356">
        <v>10</v>
      </c>
      <c r="I112" s="356">
        <v>2</v>
      </c>
      <c r="J112" s="356">
        <v>13</v>
      </c>
      <c r="K112" s="356">
        <v>10</v>
      </c>
      <c r="L112" s="356">
        <v>9</v>
      </c>
      <c r="M112" s="356">
        <v>8</v>
      </c>
      <c r="N112" s="356">
        <v>6</v>
      </c>
      <c r="O112" s="356">
        <v>8</v>
      </c>
      <c r="P112" s="356">
        <v>14</v>
      </c>
      <c r="Q112" s="356">
        <v>5</v>
      </c>
      <c r="R112" s="356">
        <v>14</v>
      </c>
      <c r="S112" s="356">
        <v>15</v>
      </c>
      <c r="T112" s="356">
        <v>0</v>
      </c>
      <c r="U112" s="356">
        <v>8</v>
      </c>
      <c r="V112" s="356">
        <v>3</v>
      </c>
      <c r="W112" s="356">
        <v>4</v>
      </c>
      <c r="X112" s="356">
        <v>0</v>
      </c>
      <c r="Y112" s="356">
        <v>13</v>
      </c>
      <c r="Z112" s="356">
        <v>8</v>
      </c>
      <c r="AA112" s="356">
        <v>12</v>
      </c>
      <c r="AB112" s="356">
        <v>3</v>
      </c>
      <c r="AC112" s="356">
        <v>5</v>
      </c>
      <c r="AD112" s="356">
        <v>14</v>
      </c>
      <c r="AE112" s="356">
        <v>14</v>
      </c>
      <c r="AF112" s="356">
        <v>11</v>
      </c>
      <c r="AG112" s="356">
        <v>9</v>
      </c>
      <c r="AH112" s="356">
        <v>5</v>
      </c>
      <c r="AI112" s="356">
        <v>8</v>
      </c>
      <c r="AJ112" s="356">
        <v>7</v>
      </c>
      <c r="AK112" s="356">
        <v>11</v>
      </c>
      <c r="AL112" s="356">
        <v>12</v>
      </c>
      <c r="AM112" s="356">
        <v>8</v>
      </c>
      <c r="AN112" s="356">
        <v>6</v>
      </c>
      <c r="AO112" s="356">
        <v>8</v>
      </c>
      <c r="AP112" s="356">
        <v>5</v>
      </c>
      <c r="AQ112" s="356">
        <v>0</v>
      </c>
      <c r="AR112" s="356">
        <v>2</v>
      </c>
      <c r="AS112" s="356">
        <v>7</v>
      </c>
      <c r="AT112" s="356">
        <v>1</v>
      </c>
      <c r="AU112" s="356">
        <v>6</v>
      </c>
      <c r="AV112" s="356">
        <v>9</v>
      </c>
      <c r="AW112" s="356">
        <v>4</v>
      </c>
      <c r="AX112" s="356">
        <v>15</v>
      </c>
      <c r="AY112" s="356">
        <v>5</v>
      </c>
      <c r="AZ112" s="356">
        <v>15</v>
      </c>
      <c r="BA112" s="356">
        <v>4</v>
      </c>
      <c r="BB112" s="356">
        <v>5</v>
      </c>
      <c r="BD112" s="353">
        <f t="shared" si="4"/>
        <v>80</v>
      </c>
      <c r="BE112" s="353">
        <f t="shared" si="5"/>
        <v>99</v>
      </c>
      <c r="BF112" s="353">
        <f t="shared" si="6"/>
        <v>84</v>
      </c>
      <c r="BG112" s="353">
        <f t="shared" si="7"/>
        <v>90</v>
      </c>
    </row>
    <row r="113" spans="2:59">
      <c r="B113" s="354">
        <v>105</v>
      </c>
      <c r="C113" s="743" t="s">
        <v>598</v>
      </c>
      <c r="D113" s="744" t="s">
        <v>598</v>
      </c>
      <c r="E113" s="744" t="s">
        <v>598</v>
      </c>
      <c r="F113" s="357">
        <v>28215582</v>
      </c>
      <c r="G113" s="356">
        <v>13</v>
      </c>
      <c r="H113" s="356">
        <v>13</v>
      </c>
      <c r="I113" s="356">
        <v>5</v>
      </c>
      <c r="J113" s="356">
        <v>4</v>
      </c>
      <c r="K113" s="356">
        <v>9</v>
      </c>
      <c r="L113" s="356">
        <v>7</v>
      </c>
      <c r="M113" s="356">
        <v>13</v>
      </c>
      <c r="N113" s="356">
        <v>9</v>
      </c>
      <c r="O113" s="356">
        <v>6</v>
      </c>
      <c r="P113" s="356">
        <v>1</v>
      </c>
      <c r="Q113" s="356">
        <v>1</v>
      </c>
      <c r="R113" s="356">
        <v>1</v>
      </c>
      <c r="S113" s="356">
        <v>4</v>
      </c>
      <c r="T113" s="356">
        <v>12</v>
      </c>
      <c r="U113" s="356">
        <v>2</v>
      </c>
      <c r="V113" s="356">
        <v>14</v>
      </c>
      <c r="W113" s="356">
        <v>15</v>
      </c>
      <c r="X113" s="356">
        <v>14</v>
      </c>
      <c r="Y113" s="356">
        <v>15</v>
      </c>
      <c r="Z113" s="356">
        <v>10</v>
      </c>
      <c r="AA113" s="356">
        <v>4</v>
      </c>
      <c r="AB113" s="356">
        <v>10</v>
      </c>
      <c r="AC113" s="356">
        <v>1</v>
      </c>
      <c r="AD113" s="356">
        <v>12</v>
      </c>
      <c r="AE113" s="356">
        <v>12</v>
      </c>
      <c r="AF113" s="356">
        <v>5</v>
      </c>
      <c r="AG113" s="356">
        <v>9</v>
      </c>
      <c r="AH113" s="356">
        <v>12</v>
      </c>
      <c r="AI113" s="356">
        <v>6</v>
      </c>
      <c r="AJ113" s="356">
        <v>3</v>
      </c>
      <c r="AK113" s="356">
        <v>3</v>
      </c>
      <c r="AL113" s="356">
        <v>14</v>
      </c>
      <c r="AM113" s="356">
        <v>15</v>
      </c>
      <c r="AN113" s="356">
        <v>5</v>
      </c>
      <c r="AO113" s="356">
        <v>1</v>
      </c>
      <c r="AP113" s="356">
        <v>4</v>
      </c>
      <c r="AQ113" s="356">
        <v>5</v>
      </c>
      <c r="AR113" s="356">
        <v>6</v>
      </c>
      <c r="AS113" s="356">
        <v>1</v>
      </c>
      <c r="AT113" s="356">
        <v>6</v>
      </c>
      <c r="AU113" s="356">
        <v>13</v>
      </c>
      <c r="AV113" s="356">
        <v>2</v>
      </c>
      <c r="AW113" s="356">
        <v>7</v>
      </c>
      <c r="AX113" s="356">
        <v>1</v>
      </c>
      <c r="AY113" s="356">
        <v>0</v>
      </c>
      <c r="AZ113" s="356">
        <v>5</v>
      </c>
      <c r="BA113" s="356">
        <v>12</v>
      </c>
      <c r="BB113" s="356">
        <v>14</v>
      </c>
      <c r="BD113" s="353">
        <f t="shared" si="4"/>
        <v>58</v>
      </c>
      <c r="BE113" s="353">
        <f t="shared" si="5"/>
        <v>102</v>
      </c>
      <c r="BF113" s="353">
        <f t="shared" si="6"/>
        <v>70</v>
      </c>
      <c r="BG113" s="353">
        <f t="shared" si="7"/>
        <v>89</v>
      </c>
    </row>
    <row r="114" spans="2:59">
      <c r="B114" s="354">
        <v>106</v>
      </c>
      <c r="C114" s="743" t="s">
        <v>597</v>
      </c>
      <c r="D114" s="744" t="s">
        <v>597</v>
      </c>
      <c r="E114" s="744" t="s">
        <v>597</v>
      </c>
      <c r="F114" s="357">
        <v>1005346610</v>
      </c>
      <c r="G114" s="356">
        <v>12</v>
      </c>
      <c r="H114" s="356">
        <v>1</v>
      </c>
      <c r="I114" s="356">
        <v>7</v>
      </c>
      <c r="J114" s="356">
        <v>15</v>
      </c>
      <c r="K114" s="356">
        <v>10</v>
      </c>
      <c r="L114" s="356">
        <v>10</v>
      </c>
      <c r="M114" s="356">
        <v>1</v>
      </c>
      <c r="N114" s="356">
        <v>0</v>
      </c>
      <c r="O114" s="356">
        <v>4</v>
      </c>
      <c r="P114" s="356">
        <v>14</v>
      </c>
      <c r="Q114" s="356">
        <v>3</v>
      </c>
      <c r="R114" s="356">
        <v>14</v>
      </c>
      <c r="S114" s="356">
        <v>12</v>
      </c>
      <c r="T114" s="356">
        <v>11</v>
      </c>
      <c r="U114" s="356">
        <v>6</v>
      </c>
      <c r="V114" s="356">
        <v>2</v>
      </c>
      <c r="W114" s="356">
        <v>8</v>
      </c>
      <c r="X114" s="356">
        <v>1</v>
      </c>
      <c r="Y114" s="356">
        <v>6</v>
      </c>
      <c r="Z114" s="356">
        <v>0</v>
      </c>
      <c r="AA114" s="356">
        <v>12</v>
      </c>
      <c r="AB114" s="356">
        <v>5</v>
      </c>
      <c r="AC114" s="356">
        <v>5</v>
      </c>
      <c r="AD114" s="356">
        <v>7</v>
      </c>
      <c r="AE114" s="356">
        <v>4</v>
      </c>
      <c r="AF114" s="356">
        <v>3</v>
      </c>
      <c r="AG114" s="356">
        <v>8</v>
      </c>
      <c r="AH114" s="356">
        <v>4</v>
      </c>
      <c r="AI114" s="356">
        <v>7</v>
      </c>
      <c r="AJ114" s="356">
        <v>13</v>
      </c>
      <c r="AK114" s="356">
        <v>4</v>
      </c>
      <c r="AL114" s="356">
        <v>8</v>
      </c>
      <c r="AM114" s="356">
        <v>15</v>
      </c>
      <c r="AN114" s="356">
        <v>1</v>
      </c>
      <c r="AO114" s="356">
        <v>14</v>
      </c>
      <c r="AP114" s="356">
        <v>6</v>
      </c>
      <c r="AQ114" s="356">
        <v>12</v>
      </c>
      <c r="AR114" s="356">
        <v>3</v>
      </c>
      <c r="AS114" s="356">
        <v>4</v>
      </c>
      <c r="AT114" s="356">
        <v>9</v>
      </c>
      <c r="AU114" s="356">
        <v>6</v>
      </c>
      <c r="AV114" s="356">
        <v>14</v>
      </c>
      <c r="AW114" s="356">
        <v>7</v>
      </c>
      <c r="AX114" s="356">
        <v>9</v>
      </c>
      <c r="AY114" s="356">
        <v>2</v>
      </c>
      <c r="AZ114" s="356">
        <v>15</v>
      </c>
      <c r="BA114" s="356">
        <v>2</v>
      </c>
      <c r="BB114" s="356">
        <v>3</v>
      </c>
      <c r="BD114" s="353">
        <f t="shared" si="4"/>
        <v>65</v>
      </c>
      <c r="BE114" s="353">
        <f t="shared" si="5"/>
        <v>104</v>
      </c>
      <c r="BF114" s="353">
        <f t="shared" si="6"/>
        <v>67</v>
      </c>
      <c r="BG114" s="353">
        <f t="shared" si="7"/>
        <v>92</v>
      </c>
    </row>
    <row r="115" spans="2:59">
      <c r="B115" s="354">
        <v>107</v>
      </c>
      <c r="C115" s="743" t="s">
        <v>596</v>
      </c>
      <c r="D115" s="744" t="s">
        <v>596</v>
      </c>
      <c r="E115" s="744" t="s">
        <v>596</v>
      </c>
      <c r="F115" s="357">
        <v>1005345560</v>
      </c>
      <c r="G115" s="356">
        <v>15</v>
      </c>
      <c r="H115" s="356">
        <v>0</v>
      </c>
      <c r="I115" s="356">
        <v>13</v>
      </c>
      <c r="J115" s="356">
        <v>15</v>
      </c>
      <c r="K115" s="356">
        <v>8</v>
      </c>
      <c r="L115" s="356">
        <v>10</v>
      </c>
      <c r="M115" s="356">
        <v>3</v>
      </c>
      <c r="N115" s="356">
        <v>13</v>
      </c>
      <c r="O115" s="356">
        <v>15</v>
      </c>
      <c r="P115" s="356">
        <v>10</v>
      </c>
      <c r="Q115" s="356">
        <v>1</v>
      </c>
      <c r="R115" s="356">
        <v>15</v>
      </c>
      <c r="S115" s="356">
        <v>2</v>
      </c>
      <c r="T115" s="356">
        <v>12</v>
      </c>
      <c r="U115" s="356">
        <v>0</v>
      </c>
      <c r="V115" s="356">
        <v>1</v>
      </c>
      <c r="W115" s="356">
        <v>14</v>
      </c>
      <c r="X115" s="356">
        <v>12</v>
      </c>
      <c r="Y115" s="356">
        <v>8</v>
      </c>
      <c r="Z115" s="356">
        <v>15</v>
      </c>
      <c r="AA115" s="356">
        <v>1</v>
      </c>
      <c r="AB115" s="356">
        <v>2</v>
      </c>
      <c r="AC115" s="356">
        <v>13</v>
      </c>
      <c r="AD115" s="356">
        <v>1</v>
      </c>
      <c r="AE115" s="356">
        <v>0</v>
      </c>
      <c r="AF115" s="356">
        <v>5</v>
      </c>
      <c r="AG115" s="356">
        <v>5</v>
      </c>
      <c r="AH115" s="356">
        <v>5</v>
      </c>
      <c r="AI115" s="356">
        <v>4</v>
      </c>
      <c r="AJ115" s="356">
        <v>0</v>
      </c>
      <c r="AK115" s="356">
        <v>2</v>
      </c>
      <c r="AL115" s="356">
        <v>11</v>
      </c>
      <c r="AM115" s="356">
        <v>11</v>
      </c>
      <c r="AN115" s="356">
        <v>8</v>
      </c>
      <c r="AO115" s="356">
        <v>2</v>
      </c>
      <c r="AP115" s="356">
        <v>15</v>
      </c>
      <c r="AQ115" s="356">
        <v>3</v>
      </c>
      <c r="AR115" s="356">
        <v>13</v>
      </c>
      <c r="AS115" s="356">
        <v>3</v>
      </c>
      <c r="AT115" s="356">
        <v>14</v>
      </c>
      <c r="AU115" s="356">
        <v>0</v>
      </c>
      <c r="AV115" s="356">
        <v>14</v>
      </c>
      <c r="AW115" s="356">
        <v>11</v>
      </c>
      <c r="AX115" s="356">
        <v>9</v>
      </c>
      <c r="AY115" s="356">
        <v>0</v>
      </c>
      <c r="AZ115" s="356">
        <v>2</v>
      </c>
      <c r="BA115" s="356">
        <v>13</v>
      </c>
      <c r="BB115" s="356">
        <v>1</v>
      </c>
      <c r="BD115" s="353">
        <f t="shared" si="4"/>
        <v>61</v>
      </c>
      <c r="BE115" s="353">
        <f t="shared" si="5"/>
        <v>73</v>
      </c>
      <c r="BF115" s="353">
        <f t="shared" si="6"/>
        <v>74</v>
      </c>
      <c r="BG115" s="353">
        <f t="shared" si="7"/>
        <v>58</v>
      </c>
    </row>
    <row r="116" spans="2:59">
      <c r="B116" s="354">
        <v>108</v>
      </c>
      <c r="C116" s="743" t="s">
        <v>595</v>
      </c>
      <c r="D116" s="744" t="s">
        <v>595</v>
      </c>
      <c r="E116" s="744" t="s">
        <v>595</v>
      </c>
      <c r="F116" s="357">
        <v>28205953</v>
      </c>
      <c r="G116" s="356">
        <v>6</v>
      </c>
      <c r="H116" s="356">
        <v>0</v>
      </c>
      <c r="I116" s="356">
        <v>12</v>
      </c>
      <c r="J116" s="356">
        <v>14</v>
      </c>
      <c r="K116" s="356">
        <v>0</v>
      </c>
      <c r="L116" s="356">
        <v>11</v>
      </c>
      <c r="M116" s="356">
        <v>5</v>
      </c>
      <c r="N116" s="356">
        <v>3</v>
      </c>
      <c r="O116" s="356">
        <v>0</v>
      </c>
      <c r="P116" s="356">
        <v>15</v>
      </c>
      <c r="Q116" s="356">
        <v>10</v>
      </c>
      <c r="R116" s="356">
        <v>12</v>
      </c>
      <c r="S116" s="356">
        <v>9</v>
      </c>
      <c r="T116" s="356">
        <v>14</v>
      </c>
      <c r="U116" s="356">
        <v>11</v>
      </c>
      <c r="V116" s="356">
        <v>0</v>
      </c>
      <c r="W116" s="356">
        <v>1</v>
      </c>
      <c r="X116" s="356">
        <v>14</v>
      </c>
      <c r="Y116" s="356">
        <v>7</v>
      </c>
      <c r="Z116" s="356">
        <v>1</v>
      </c>
      <c r="AA116" s="356">
        <v>6</v>
      </c>
      <c r="AB116" s="356">
        <v>4</v>
      </c>
      <c r="AC116" s="356">
        <v>15</v>
      </c>
      <c r="AD116" s="356">
        <v>10</v>
      </c>
      <c r="AE116" s="356">
        <v>12</v>
      </c>
      <c r="AF116" s="356">
        <v>7</v>
      </c>
      <c r="AG116" s="356">
        <v>4</v>
      </c>
      <c r="AH116" s="356">
        <v>4</v>
      </c>
      <c r="AI116" s="356">
        <v>5</v>
      </c>
      <c r="AJ116" s="356">
        <v>1</v>
      </c>
      <c r="AK116" s="356">
        <v>11</v>
      </c>
      <c r="AL116" s="356">
        <v>3</v>
      </c>
      <c r="AM116" s="356">
        <v>6</v>
      </c>
      <c r="AN116" s="356">
        <v>7</v>
      </c>
      <c r="AO116" s="356">
        <v>9</v>
      </c>
      <c r="AP116" s="356">
        <v>2</v>
      </c>
      <c r="AQ116" s="356">
        <v>2</v>
      </c>
      <c r="AR116" s="356">
        <v>9</v>
      </c>
      <c r="AS116" s="356">
        <v>4</v>
      </c>
      <c r="AT116" s="356">
        <v>0</v>
      </c>
      <c r="AU116" s="356">
        <v>2</v>
      </c>
      <c r="AV116" s="356">
        <v>6</v>
      </c>
      <c r="AW116" s="356">
        <v>9</v>
      </c>
      <c r="AX116" s="356">
        <v>10</v>
      </c>
      <c r="AY116" s="356">
        <v>4</v>
      </c>
      <c r="AZ116" s="356">
        <v>5</v>
      </c>
      <c r="BA116" s="356">
        <v>5</v>
      </c>
      <c r="BB116" s="356">
        <v>11</v>
      </c>
      <c r="BD116" s="353">
        <f t="shared" si="4"/>
        <v>97</v>
      </c>
      <c r="BE116" s="353">
        <f t="shared" si="5"/>
        <v>53</v>
      </c>
      <c r="BF116" s="353">
        <f t="shared" si="6"/>
        <v>102</v>
      </c>
      <c r="BG116" s="353">
        <f t="shared" si="7"/>
        <v>47</v>
      </c>
    </row>
    <row r="117" spans="2:59">
      <c r="B117" s="354">
        <v>109</v>
      </c>
      <c r="C117" s="743" t="s">
        <v>594</v>
      </c>
      <c r="D117" s="744" t="s">
        <v>594</v>
      </c>
      <c r="E117" s="744" t="s">
        <v>594</v>
      </c>
      <c r="F117" s="357">
        <v>1141518378</v>
      </c>
      <c r="G117" s="356">
        <v>15</v>
      </c>
      <c r="H117" s="356">
        <v>14</v>
      </c>
      <c r="I117" s="356">
        <v>7</v>
      </c>
      <c r="J117" s="356">
        <v>10</v>
      </c>
      <c r="K117" s="356">
        <v>3</v>
      </c>
      <c r="L117" s="356">
        <v>14</v>
      </c>
      <c r="M117" s="356">
        <v>1</v>
      </c>
      <c r="N117" s="356">
        <v>10</v>
      </c>
      <c r="O117" s="356">
        <v>12</v>
      </c>
      <c r="P117" s="356">
        <v>15</v>
      </c>
      <c r="Q117" s="356">
        <v>3</v>
      </c>
      <c r="R117" s="356">
        <v>3</v>
      </c>
      <c r="S117" s="356">
        <v>3</v>
      </c>
      <c r="T117" s="356">
        <v>1</v>
      </c>
      <c r="U117" s="356">
        <v>13</v>
      </c>
      <c r="V117" s="356">
        <v>5</v>
      </c>
      <c r="W117" s="356">
        <v>13</v>
      </c>
      <c r="X117" s="356">
        <v>7</v>
      </c>
      <c r="Y117" s="356">
        <v>15</v>
      </c>
      <c r="Z117" s="356">
        <v>9</v>
      </c>
      <c r="AA117" s="356">
        <v>2</v>
      </c>
      <c r="AB117" s="356">
        <v>15</v>
      </c>
      <c r="AC117" s="356">
        <v>14</v>
      </c>
      <c r="AD117" s="356">
        <v>4</v>
      </c>
      <c r="AE117" s="356">
        <v>10</v>
      </c>
      <c r="AF117" s="356">
        <v>12</v>
      </c>
      <c r="AG117" s="356">
        <v>0</v>
      </c>
      <c r="AH117" s="356">
        <v>6</v>
      </c>
      <c r="AI117" s="356">
        <v>3</v>
      </c>
      <c r="AJ117" s="356">
        <v>2</v>
      </c>
      <c r="AK117" s="356">
        <v>0</v>
      </c>
      <c r="AL117" s="356">
        <v>14</v>
      </c>
      <c r="AM117" s="356">
        <v>10</v>
      </c>
      <c r="AN117" s="356">
        <v>12</v>
      </c>
      <c r="AO117" s="356">
        <v>15</v>
      </c>
      <c r="AP117" s="356">
        <v>1</v>
      </c>
      <c r="AQ117" s="356">
        <v>4</v>
      </c>
      <c r="AR117" s="356">
        <v>9</v>
      </c>
      <c r="AS117" s="356">
        <v>10</v>
      </c>
      <c r="AT117" s="356">
        <v>10</v>
      </c>
      <c r="AU117" s="356">
        <v>13</v>
      </c>
      <c r="AV117" s="356">
        <v>11</v>
      </c>
      <c r="AW117" s="356">
        <v>15</v>
      </c>
      <c r="AX117" s="356">
        <v>8</v>
      </c>
      <c r="AY117" s="356">
        <v>2</v>
      </c>
      <c r="AZ117" s="356">
        <v>1</v>
      </c>
      <c r="BA117" s="356">
        <v>15</v>
      </c>
      <c r="BB117" s="356">
        <v>13</v>
      </c>
      <c r="BD117" s="353">
        <f t="shared" si="4"/>
        <v>93</v>
      </c>
      <c r="BE117" s="353">
        <f t="shared" si="5"/>
        <v>90</v>
      </c>
      <c r="BF117" s="353">
        <f t="shared" si="6"/>
        <v>108</v>
      </c>
      <c r="BG117" s="353">
        <f t="shared" si="7"/>
        <v>75</v>
      </c>
    </row>
    <row r="118" spans="2:59">
      <c r="B118" s="354">
        <v>110</v>
      </c>
      <c r="C118" s="743" t="s">
        <v>593</v>
      </c>
      <c r="D118" s="744" t="s">
        <v>593</v>
      </c>
      <c r="E118" s="744" t="s">
        <v>593</v>
      </c>
      <c r="F118" s="357">
        <v>1065238054</v>
      </c>
      <c r="G118" s="356">
        <v>3</v>
      </c>
      <c r="H118" s="356">
        <v>2</v>
      </c>
      <c r="I118" s="356">
        <v>14</v>
      </c>
      <c r="J118" s="356">
        <v>9</v>
      </c>
      <c r="K118" s="356">
        <v>10</v>
      </c>
      <c r="L118" s="356">
        <v>12</v>
      </c>
      <c r="M118" s="356">
        <v>6</v>
      </c>
      <c r="N118" s="356">
        <v>10</v>
      </c>
      <c r="O118" s="356">
        <v>0</v>
      </c>
      <c r="P118" s="356">
        <v>6</v>
      </c>
      <c r="Q118" s="356">
        <v>13</v>
      </c>
      <c r="R118" s="356">
        <v>1</v>
      </c>
      <c r="S118" s="356">
        <v>12</v>
      </c>
      <c r="T118" s="356">
        <v>0</v>
      </c>
      <c r="U118" s="356">
        <v>7</v>
      </c>
      <c r="V118" s="356">
        <v>6</v>
      </c>
      <c r="W118" s="356">
        <v>1</v>
      </c>
      <c r="X118" s="356">
        <v>8</v>
      </c>
      <c r="Y118" s="356">
        <v>8</v>
      </c>
      <c r="Z118" s="356">
        <v>13</v>
      </c>
      <c r="AA118" s="356">
        <v>15</v>
      </c>
      <c r="AB118" s="356">
        <v>12</v>
      </c>
      <c r="AC118" s="356">
        <v>9</v>
      </c>
      <c r="AD118" s="356">
        <v>4</v>
      </c>
      <c r="AE118" s="356">
        <v>8</v>
      </c>
      <c r="AF118" s="356">
        <v>6</v>
      </c>
      <c r="AG118" s="356">
        <v>14</v>
      </c>
      <c r="AH118" s="356">
        <v>4</v>
      </c>
      <c r="AI118" s="356">
        <v>15</v>
      </c>
      <c r="AJ118" s="356">
        <v>3</v>
      </c>
      <c r="AK118" s="356">
        <v>7</v>
      </c>
      <c r="AL118" s="356">
        <v>11</v>
      </c>
      <c r="AM118" s="356">
        <v>4</v>
      </c>
      <c r="AN118" s="356">
        <v>14</v>
      </c>
      <c r="AO118" s="356">
        <v>14</v>
      </c>
      <c r="AP118" s="356">
        <v>5</v>
      </c>
      <c r="AQ118" s="356">
        <v>0</v>
      </c>
      <c r="AR118" s="356">
        <v>11</v>
      </c>
      <c r="AS118" s="356">
        <v>11</v>
      </c>
      <c r="AT118" s="356">
        <v>10</v>
      </c>
      <c r="AU118" s="356">
        <v>12</v>
      </c>
      <c r="AV118" s="356">
        <v>5</v>
      </c>
      <c r="AW118" s="356">
        <v>10</v>
      </c>
      <c r="AX118" s="356">
        <v>13</v>
      </c>
      <c r="AY118" s="356">
        <v>1</v>
      </c>
      <c r="AZ118" s="356">
        <v>6</v>
      </c>
      <c r="BA118" s="356">
        <v>11</v>
      </c>
      <c r="BB118" s="356">
        <v>9</v>
      </c>
      <c r="BD118" s="353">
        <f t="shared" si="4"/>
        <v>113</v>
      </c>
      <c r="BE118" s="353">
        <f t="shared" si="5"/>
        <v>81</v>
      </c>
      <c r="BF118" s="353">
        <f t="shared" si="6"/>
        <v>124</v>
      </c>
      <c r="BG118" s="353">
        <f t="shared" si="7"/>
        <v>78</v>
      </c>
    </row>
    <row r="119" spans="2:59">
      <c r="B119" s="354">
        <v>111</v>
      </c>
      <c r="C119" s="743" t="s">
        <v>592</v>
      </c>
      <c r="D119" s="744" t="s">
        <v>592</v>
      </c>
      <c r="E119" s="744" t="s">
        <v>592</v>
      </c>
      <c r="F119" s="357">
        <v>1065234995</v>
      </c>
      <c r="G119" s="356">
        <v>6</v>
      </c>
      <c r="H119" s="356">
        <v>8</v>
      </c>
      <c r="I119" s="356">
        <v>1</v>
      </c>
      <c r="J119" s="356">
        <v>10</v>
      </c>
      <c r="K119" s="356">
        <v>5</v>
      </c>
      <c r="L119" s="356">
        <v>1</v>
      </c>
      <c r="M119" s="356">
        <v>5</v>
      </c>
      <c r="N119" s="356">
        <v>7</v>
      </c>
      <c r="O119" s="356">
        <v>6</v>
      </c>
      <c r="P119" s="356">
        <v>7</v>
      </c>
      <c r="Q119" s="356">
        <v>15</v>
      </c>
      <c r="R119" s="356">
        <v>2</v>
      </c>
      <c r="S119" s="356">
        <v>3</v>
      </c>
      <c r="T119" s="356">
        <v>2</v>
      </c>
      <c r="U119" s="356">
        <v>7</v>
      </c>
      <c r="V119" s="356">
        <v>2</v>
      </c>
      <c r="W119" s="356">
        <v>3</v>
      </c>
      <c r="X119" s="356">
        <v>14</v>
      </c>
      <c r="Y119" s="356">
        <v>9</v>
      </c>
      <c r="Z119" s="356">
        <v>12</v>
      </c>
      <c r="AA119" s="356">
        <v>12</v>
      </c>
      <c r="AB119" s="356">
        <v>11</v>
      </c>
      <c r="AC119" s="356">
        <v>12</v>
      </c>
      <c r="AD119" s="356">
        <v>0</v>
      </c>
      <c r="AE119" s="356">
        <v>5</v>
      </c>
      <c r="AF119" s="356">
        <v>1</v>
      </c>
      <c r="AG119" s="356">
        <v>11</v>
      </c>
      <c r="AH119" s="356">
        <v>9</v>
      </c>
      <c r="AI119" s="356">
        <v>1</v>
      </c>
      <c r="AJ119" s="356">
        <v>2</v>
      </c>
      <c r="AK119" s="356">
        <v>11</v>
      </c>
      <c r="AL119" s="356">
        <v>7</v>
      </c>
      <c r="AM119" s="356">
        <v>4</v>
      </c>
      <c r="AN119" s="356">
        <v>14</v>
      </c>
      <c r="AO119" s="356">
        <v>7</v>
      </c>
      <c r="AP119" s="356">
        <v>10</v>
      </c>
      <c r="AQ119" s="356">
        <v>3</v>
      </c>
      <c r="AR119" s="356">
        <v>13</v>
      </c>
      <c r="AS119" s="356">
        <v>15</v>
      </c>
      <c r="AT119" s="356">
        <v>8</v>
      </c>
      <c r="AU119" s="356">
        <v>15</v>
      </c>
      <c r="AV119" s="356">
        <v>12</v>
      </c>
      <c r="AW119" s="356">
        <v>7</v>
      </c>
      <c r="AX119" s="356">
        <v>13</v>
      </c>
      <c r="AY119" s="356">
        <v>7</v>
      </c>
      <c r="AZ119" s="356">
        <v>8</v>
      </c>
      <c r="BA119" s="356">
        <v>2</v>
      </c>
      <c r="BB119" s="356">
        <v>8</v>
      </c>
      <c r="BD119" s="353">
        <f t="shared" si="4"/>
        <v>100</v>
      </c>
      <c r="BE119" s="353">
        <f t="shared" si="5"/>
        <v>70</v>
      </c>
      <c r="BF119" s="353">
        <f t="shared" si="6"/>
        <v>102</v>
      </c>
      <c r="BG119" s="353">
        <f t="shared" si="7"/>
        <v>64</v>
      </c>
    </row>
    <row r="120" spans="2:59">
      <c r="B120" s="354">
        <v>112</v>
      </c>
      <c r="C120" s="743" t="s">
        <v>591</v>
      </c>
      <c r="D120" s="744" t="s">
        <v>591</v>
      </c>
      <c r="E120" s="744" t="s">
        <v>591</v>
      </c>
      <c r="F120" s="357">
        <v>1098408882</v>
      </c>
      <c r="G120" s="356">
        <v>14</v>
      </c>
      <c r="H120" s="356">
        <v>0</v>
      </c>
      <c r="I120" s="356">
        <v>14</v>
      </c>
      <c r="J120" s="356">
        <v>7</v>
      </c>
      <c r="K120" s="356">
        <v>9</v>
      </c>
      <c r="L120" s="356">
        <v>15</v>
      </c>
      <c r="M120" s="356">
        <v>13</v>
      </c>
      <c r="N120" s="356">
        <v>2</v>
      </c>
      <c r="O120" s="356">
        <v>4</v>
      </c>
      <c r="P120" s="356">
        <v>4</v>
      </c>
      <c r="Q120" s="356">
        <v>5</v>
      </c>
      <c r="R120" s="356">
        <v>6</v>
      </c>
      <c r="S120" s="356">
        <v>15</v>
      </c>
      <c r="T120" s="356">
        <v>11</v>
      </c>
      <c r="U120" s="356">
        <v>2</v>
      </c>
      <c r="V120" s="356">
        <v>10</v>
      </c>
      <c r="W120" s="356">
        <v>2</v>
      </c>
      <c r="X120" s="356">
        <v>2</v>
      </c>
      <c r="Y120" s="356">
        <v>9</v>
      </c>
      <c r="Z120" s="356">
        <v>15</v>
      </c>
      <c r="AA120" s="356">
        <v>6</v>
      </c>
      <c r="AB120" s="356">
        <v>6</v>
      </c>
      <c r="AC120" s="356">
        <v>9</v>
      </c>
      <c r="AD120" s="356">
        <v>13</v>
      </c>
      <c r="AE120" s="356">
        <v>12</v>
      </c>
      <c r="AF120" s="356">
        <v>14</v>
      </c>
      <c r="AG120" s="356">
        <v>0</v>
      </c>
      <c r="AH120" s="356">
        <v>2</v>
      </c>
      <c r="AI120" s="356">
        <v>11</v>
      </c>
      <c r="AJ120" s="356">
        <v>3</v>
      </c>
      <c r="AK120" s="356">
        <v>13</v>
      </c>
      <c r="AL120" s="356">
        <v>10</v>
      </c>
      <c r="AM120" s="356">
        <v>11</v>
      </c>
      <c r="AN120" s="356">
        <v>4</v>
      </c>
      <c r="AO120" s="356">
        <v>15</v>
      </c>
      <c r="AP120" s="356">
        <v>10</v>
      </c>
      <c r="AQ120" s="356">
        <v>12</v>
      </c>
      <c r="AR120" s="356">
        <v>14</v>
      </c>
      <c r="AS120" s="356">
        <v>8</v>
      </c>
      <c r="AT120" s="356">
        <v>15</v>
      </c>
      <c r="AU120" s="356">
        <v>14</v>
      </c>
      <c r="AV120" s="356">
        <v>0</v>
      </c>
      <c r="AW120" s="356">
        <v>9</v>
      </c>
      <c r="AX120" s="356">
        <v>15</v>
      </c>
      <c r="AY120" s="356">
        <v>7</v>
      </c>
      <c r="AZ120" s="356">
        <v>3</v>
      </c>
      <c r="BA120" s="356">
        <v>8</v>
      </c>
      <c r="BB120" s="356">
        <v>13</v>
      </c>
      <c r="BD120" s="353">
        <f t="shared" si="4"/>
        <v>97</v>
      </c>
      <c r="BE120" s="353">
        <f t="shared" si="5"/>
        <v>117</v>
      </c>
      <c r="BF120" s="353">
        <f t="shared" si="6"/>
        <v>105</v>
      </c>
      <c r="BG120" s="353">
        <f t="shared" si="7"/>
        <v>103</v>
      </c>
    </row>
    <row r="121" spans="2:59">
      <c r="B121" s="354">
        <v>113</v>
      </c>
      <c r="C121" s="743" t="s">
        <v>590</v>
      </c>
      <c r="D121" s="744" t="s">
        <v>590</v>
      </c>
      <c r="E121" s="744" t="s">
        <v>590</v>
      </c>
      <c r="F121" s="357">
        <v>1099073920</v>
      </c>
      <c r="G121" s="356">
        <v>2</v>
      </c>
      <c r="H121" s="356">
        <v>9</v>
      </c>
      <c r="I121" s="356">
        <v>9</v>
      </c>
      <c r="J121" s="356">
        <v>7</v>
      </c>
      <c r="K121" s="356">
        <v>14</v>
      </c>
      <c r="L121" s="356">
        <v>12</v>
      </c>
      <c r="M121" s="356">
        <v>5</v>
      </c>
      <c r="N121" s="356">
        <v>6</v>
      </c>
      <c r="O121" s="356">
        <v>0</v>
      </c>
      <c r="P121" s="356">
        <v>9</v>
      </c>
      <c r="Q121" s="356">
        <v>4</v>
      </c>
      <c r="R121" s="356">
        <v>8</v>
      </c>
      <c r="S121" s="356">
        <v>7</v>
      </c>
      <c r="T121" s="356">
        <v>7</v>
      </c>
      <c r="U121" s="356">
        <v>14</v>
      </c>
      <c r="V121" s="356">
        <v>13</v>
      </c>
      <c r="W121" s="356">
        <v>13</v>
      </c>
      <c r="X121" s="356">
        <v>14</v>
      </c>
      <c r="Y121" s="356">
        <v>3</v>
      </c>
      <c r="Z121" s="356">
        <v>9</v>
      </c>
      <c r="AA121" s="356">
        <v>1</v>
      </c>
      <c r="AB121" s="356">
        <v>0</v>
      </c>
      <c r="AC121" s="356">
        <v>14</v>
      </c>
      <c r="AD121" s="356">
        <v>3</v>
      </c>
      <c r="AE121" s="356">
        <v>0</v>
      </c>
      <c r="AF121" s="356">
        <v>12</v>
      </c>
      <c r="AG121" s="356">
        <v>2</v>
      </c>
      <c r="AH121" s="356">
        <v>8</v>
      </c>
      <c r="AI121" s="356">
        <v>12</v>
      </c>
      <c r="AJ121" s="356">
        <v>1</v>
      </c>
      <c r="AK121" s="356">
        <v>15</v>
      </c>
      <c r="AL121" s="356">
        <v>13</v>
      </c>
      <c r="AM121" s="356">
        <v>14</v>
      </c>
      <c r="AN121" s="356">
        <v>7</v>
      </c>
      <c r="AO121" s="356">
        <v>8</v>
      </c>
      <c r="AP121" s="356">
        <v>4</v>
      </c>
      <c r="AQ121" s="356">
        <v>8</v>
      </c>
      <c r="AR121" s="356">
        <v>3</v>
      </c>
      <c r="AS121" s="356">
        <v>10</v>
      </c>
      <c r="AT121" s="356">
        <v>13</v>
      </c>
      <c r="AU121" s="356">
        <v>0</v>
      </c>
      <c r="AV121" s="356">
        <v>7</v>
      </c>
      <c r="AW121" s="356">
        <v>10</v>
      </c>
      <c r="AX121" s="356">
        <v>4</v>
      </c>
      <c r="AY121" s="356">
        <v>12</v>
      </c>
      <c r="AZ121" s="356">
        <v>6</v>
      </c>
      <c r="BA121" s="356">
        <v>15</v>
      </c>
      <c r="BB121" s="356">
        <v>0</v>
      </c>
      <c r="BD121" s="353">
        <f t="shared" si="4"/>
        <v>94</v>
      </c>
      <c r="BE121" s="353">
        <f t="shared" si="5"/>
        <v>83</v>
      </c>
      <c r="BF121" s="353">
        <f t="shared" si="6"/>
        <v>109</v>
      </c>
      <c r="BG121" s="353">
        <f t="shared" si="7"/>
        <v>81</v>
      </c>
    </row>
    <row r="122" spans="2:59">
      <c r="B122" s="354">
        <v>114</v>
      </c>
      <c r="C122" s="743" t="s">
        <v>589</v>
      </c>
      <c r="D122" s="744" t="s">
        <v>589</v>
      </c>
      <c r="E122" s="744" t="s">
        <v>589</v>
      </c>
      <c r="F122" s="357">
        <v>1099366255</v>
      </c>
      <c r="G122" s="356">
        <v>2</v>
      </c>
      <c r="H122" s="356">
        <v>5</v>
      </c>
      <c r="I122" s="356">
        <v>4</v>
      </c>
      <c r="J122" s="356">
        <v>10</v>
      </c>
      <c r="K122" s="356">
        <v>4</v>
      </c>
      <c r="L122" s="356">
        <v>9</v>
      </c>
      <c r="M122" s="356">
        <v>9</v>
      </c>
      <c r="N122" s="356">
        <v>15</v>
      </c>
      <c r="O122" s="356">
        <v>11</v>
      </c>
      <c r="P122" s="356">
        <v>1</v>
      </c>
      <c r="Q122" s="356">
        <v>10</v>
      </c>
      <c r="R122" s="356">
        <v>12</v>
      </c>
      <c r="S122" s="356">
        <v>11</v>
      </c>
      <c r="T122" s="356">
        <v>0</v>
      </c>
      <c r="U122" s="356">
        <v>1</v>
      </c>
      <c r="V122" s="356">
        <v>9</v>
      </c>
      <c r="W122" s="356">
        <v>1</v>
      </c>
      <c r="X122" s="356">
        <v>6</v>
      </c>
      <c r="Y122" s="356">
        <v>13</v>
      </c>
      <c r="Z122" s="356">
        <v>5</v>
      </c>
      <c r="AA122" s="356">
        <v>14</v>
      </c>
      <c r="AB122" s="356">
        <v>10</v>
      </c>
      <c r="AC122" s="356">
        <v>15</v>
      </c>
      <c r="AD122" s="356">
        <v>1</v>
      </c>
      <c r="AE122" s="356">
        <v>2</v>
      </c>
      <c r="AF122" s="356">
        <v>3</v>
      </c>
      <c r="AG122" s="356">
        <v>3</v>
      </c>
      <c r="AH122" s="356">
        <v>7</v>
      </c>
      <c r="AI122" s="356">
        <v>4</v>
      </c>
      <c r="AJ122" s="356">
        <v>6</v>
      </c>
      <c r="AK122" s="356">
        <v>3</v>
      </c>
      <c r="AL122" s="356">
        <v>12</v>
      </c>
      <c r="AM122" s="356">
        <v>0</v>
      </c>
      <c r="AN122" s="356">
        <v>10</v>
      </c>
      <c r="AO122" s="356">
        <v>15</v>
      </c>
      <c r="AP122" s="356">
        <v>6</v>
      </c>
      <c r="AQ122" s="356">
        <v>11</v>
      </c>
      <c r="AR122" s="356">
        <v>1</v>
      </c>
      <c r="AS122" s="356">
        <v>7</v>
      </c>
      <c r="AT122" s="356">
        <v>2</v>
      </c>
      <c r="AU122" s="356">
        <v>4</v>
      </c>
      <c r="AV122" s="356">
        <v>12</v>
      </c>
      <c r="AW122" s="356">
        <v>6</v>
      </c>
      <c r="AX122" s="356">
        <v>4</v>
      </c>
      <c r="AY122" s="356">
        <v>7</v>
      </c>
      <c r="AZ122" s="356">
        <v>0</v>
      </c>
      <c r="BA122" s="356">
        <v>9</v>
      </c>
      <c r="BB122" s="356">
        <v>3</v>
      </c>
      <c r="BD122" s="353">
        <f t="shared" si="4"/>
        <v>86</v>
      </c>
      <c r="BE122" s="353">
        <f t="shared" si="5"/>
        <v>71</v>
      </c>
      <c r="BF122" s="353">
        <f t="shared" si="6"/>
        <v>95</v>
      </c>
      <c r="BG122" s="353">
        <f t="shared" si="7"/>
        <v>69</v>
      </c>
    </row>
    <row r="123" spans="2:59">
      <c r="B123" s="354">
        <v>115</v>
      </c>
      <c r="C123" s="743" t="s">
        <v>588</v>
      </c>
      <c r="D123" s="744" t="s">
        <v>588</v>
      </c>
      <c r="E123" s="744" t="s">
        <v>588</v>
      </c>
      <c r="F123" s="357">
        <v>1099368728</v>
      </c>
      <c r="G123" s="356">
        <v>1</v>
      </c>
      <c r="H123" s="356">
        <v>8</v>
      </c>
      <c r="I123" s="356">
        <v>15</v>
      </c>
      <c r="J123" s="356">
        <v>1</v>
      </c>
      <c r="K123" s="356">
        <v>5</v>
      </c>
      <c r="L123" s="356">
        <v>9</v>
      </c>
      <c r="M123" s="356">
        <v>12</v>
      </c>
      <c r="N123" s="356">
        <v>11</v>
      </c>
      <c r="O123" s="356">
        <v>8</v>
      </c>
      <c r="P123" s="356">
        <v>14</v>
      </c>
      <c r="Q123" s="356">
        <v>2</v>
      </c>
      <c r="R123" s="356">
        <v>4</v>
      </c>
      <c r="S123" s="356">
        <v>9</v>
      </c>
      <c r="T123" s="356">
        <v>15</v>
      </c>
      <c r="U123" s="356">
        <v>9</v>
      </c>
      <c r="V123" s="356">
        <v>14</v>
      </c>
      <c r="W123" s="356">
        <v>0</v>
      </c>
      <c r="X123" s="356">
        <v>9</v>
      </c>
      <c r="Y123" s="356">
        <v>7</v>
      </c>
      <c r="Z123" s="356">
        <v>13</v>
      </c>
      <c r="AA123" s="356">
        <v>8</v>
      </c>
      <c r="AB123" s="356">
        <v>6</v>
      </c>
      <c r="AC123" s="356">
        <v>2</v>
      </c>
      <c r="AD123" s="356">
        <v>8</v>
      </c>
      <c r="AE123" s="356">
        <v>7</v>
      </c>
      <c r="AF123" s="356">
        <v>1</v>
      </c>
      <c r="AG123" s="356">
        <v>6</v>
      </c>
      <c r="AH123" s="356">
        <v>9</v>
      </c>
      <c r="AI123" s="356">
        <v>15</v>
      </c>
      <c r="AJ123" s="356">
        <v>10</v>
      </c>
      <c r="AK123" s="356">
        <v>11</v>
      </c>
      <c r="AL123" s="356">
        <v>10</v>
      </c>
      <c r="AM123" s="356">
        <v>7</v>
      </c>
      <c r="AN123" s="356">
        <v>13</v>
      </c>
      <c r="AO123" s="356">
        <v>5</v>
      </c>
      <c r="AP123" s="356">
        <v>2</v>
      </c>
      <c r="AQ123" s="356">
        <v>11</v>
      </c>
      <c r="AR123" s="356">
        <v>4</v>
      </c>
      <c r="AS123" s="356">
        <v>3</v>
      </c>
      <c r="AT123" s="356">
        <v>4</v>
      </c>
      <c r="AU123" s="356">
        <v>12</v>
      </c>
      <c r="AV123" s="356">
        <v>13</v>
      </c>
      <c r="AW123" s="356">
        <v>8</v>
      </c>
      <c r="AX123" s="356">
        <v>6</v>
      </c>
      <c r="AY123" s="356">
        <v>8</v>
      </c>
      <c r="AZ123" s="356">
        <v>6</v>
      </c>
      <c r="BA123" s="356">
        <v>10</v>
      </c>
      <c r="BB123" s="356">
        <v>13</v>
      </c>
      <c r="BD123" s="353">
        <f t="shared" si="4"/>
        <v>80</v>
      </c>
      <c r="BE123" s="353">
        <f t="shared" si="5"/>
        <v>91</v>
      </c>
      <c r="BF123" s="353">
        <f t="shared" si="6"/>
        <v>90</v>
      </c>
      <c r="BG123" s="353">
        <f t="shared" si="7"/>
        <v>90</v>
      </c>
    </row>
    <row r="124" spans="2:59">
      <c r="B124" s="354">
        <v>116</v>
      </c>
      <c r="C124" s="743" t="s">
        <v>585</v>
      </c>
      <c r="D124" s="744" t="s">
        <v>585</v>
      </c>
      <c r="E124" s="744" t="s">
        <v>585</v>
      </c>
      <c r="F124" s="357">
        <v>1099368028</v>
      </c>
      <c r="G124" s="356">
        <v>3</v>
      </c>
      <c r="H124" s="356">
        <v>8</v>
      </c>
      <c r="I124" s="356">
        <v>4</v>
      </c>
      <c r="J124" s="356">
        <v>11</v>
      </c>
      <c r="K124" s="356">
        <v>10</v>
      </c>
      <c r="L124" s="356">
        <v>10</v>
      </c>
      <c r="M124" s="356">
        <v>4</v>
      </c>
      <c r="N124" s="356">
        <v>12</v>
      </c>
      <c r="O124" s="356">
        <v>0</v>
      </c>
      <c r="P124" s="356">
        <v>4</v>
      </c>
      <c r="Q124" s="356">
        <v>4</v>
      </c>
      <c r="R124" s="356">
        <v>5</v>
      </c>
      <c r="S124" s="356">
        <v>7</v>
      </c>
      <c r="T124" s="356">
        <v>10</v>
      </c>
      <c r="U124" s="356">
        <v>3</v>
      </c>
      <c r="V124" s="356">
        <v>6</v>
      </c>
      <c r="W124" s="356">
        <v>15</v>
      </c>
      <c r="X124" s="356">
        <v>10</v>
      </c>
      <c r="Y124" s="356">
        <v>0</v>
      </c>
      <c r="Z124" s="356">
        <v>13</v>
      </c>
      <c r="AA124" s="356">
        <v>6</v>
      </c>
      <c r="AB124" s="356">
        <v>12</v>
      </c>
      <c r="AC124" s="356">
        <v>6</v>
      </c>
      <c r="AD124" s="356">
        <v>0</v>
      </c>
      <c r="AE124" s="356">
        <v>9</v>
      </c>
      <c r="AF124" s="356">
        <v>3</v>
      </c>
      <c r="AG124" s="356">
        <v>3</v>
      </c>
      <c r="AH124" s="356">
        <v>9</v>
      </c>
      <c r="AI124" s="356">
        <v>1</v>
      </c>
      <c r="AJ124" s="356">
        <v>15</v>
      </c>
      <c r="AK124" s="356">
        <v>6</v>
      </c>
      <c r="AL124" s="356">
        <v>14</v>
      </c>
      <c r="AM124" s="356">
        <v>8</v>
      </c>
      <c r="AN124" s="356">
        <v>2</v>
      </c>
      <c r="AO124" s="356">
        <v>5</v>
      </c>
      <c r="AP124" s="356">
        <v>12</v>
      </c>
      <c r="AQ124" s="356">
        <v>12</v>
      </c>
      <c r="AR124" s="356">
        <v>8</v>
      </c>
      <c r="AS124" s="356">
        <v>10</v>
      </c>
      <c r="AT124" s="356">
        <v>6</v>
      </c>
      <c r="AU124" s="356">
        <v>10</v>
      </c>
      <c r="AV124" s="356">
        <v>0</v>
      </c>
      <c r="AW124" s="356">
        <v>15</v>
      </c>
      <c r="AX124" s="356">
        <v>4</v>
      </c>
      <c r="AY124" s="356">
        <v>7</v>
      </c>
      <c r="AZ124" s="356">
        <v>8</v>
      </c>
      <c r="BA124" s="356">
        <v>12</v>
      </c>
      <c r="BB124" s="356">
        <v>13</v>
      </c>
      <c r="BD124" s="353">
        <f t="shared" si="4"/>
        <v>60</v>
      </c>
      <c r="BE124" s="353">
        <f t="shared" si="5"/>
        <v>88</v>
      </c>
      <c r="BF124" s="353">
        <f t="shared" si="6"/>
        <v>72</v>
      </c>
      <c r="BG124" s="353">
        <f t="shared" si="7"/>
        <v>85</v>
      </c>
    </row>
    <row r="125" spans="2:59">
      <c r="B125" s="354">
        <v>117</v>
      </c>
      <c r="C125" s="743" t="s">
        <v>584</v>
      </c>
      <c r="D125" s="744" t="s">
        <v>584</v>
      </c>
      <c r="E125" s="744" t="s">
        <v>584</v>
      </c>
      <c r="F125" s="357">
        <v>30207976</v>
      </c>
      <c r="G125" s="356">
        <v>12</v>
      </c>
      <c r="H125" s="356">
        <v>15</v>
      </c>
      <c r="I125" s="356">
        <v>7</v>
      </c>
      <c r="J125" s="356">
        <v>5</v>
      </c>
      <c r="K125" s="356">
        <v>5</v>
      </c>
      <c r="L125" s="356">
        <v>9</v>
      </c>
      <c r="M125" s="356">
        <v>11</v>
      </c>
      <c r="N125" s="356">
        <v>11</v>
      </c>
      <c r="O125" s="356">
        <v>2</v>
      </c>
      <c r="P125" s="356">
        <v>10</v>
      </c>
      <c r="Q125" s="356">
        <v>0</v>
      </c>
      <c r="R125" s="356">
        <v>8</v>
      </c>
      <c r="S125" s="356">
        <v>5</v>
      </c>
      <c r="T125" s="356">
        <v>1</v>
      </c>
      <c r="U125" s="356">
        <v>15</v>
      </c>
      <c r="V125" s="356">
        <v>8</v>
      </c>
      <c r="W125" s="356">
        <v>7</v>
      </c>
      <c r="X125" s="356">
        <v>11</v>
      </c>
      <c r="Y125" s="356">
        <v>12</v>
      </c>
      <c r="Z125" s="356">
        <v>15</v>
      </c>
      <c r="AA125" s="356">
        <v>2</v>
      </c>
      <c r="AB125" s="356">
        <v>2</v>
      </c>
      <c r="AC125" s="356">
        <v>6</v>
      </c>
      <c r="AD125" s="356">
        <v>2</v>
      </c>
      <c r="AE125" s="356">
        <v>12</v>
      </c>
      <c r="AF125" s="356">
        <v>14</v>
      </c>
      <c r="AG125" s="356">
        <v>6</v>
      </c>
      <c r="AH125" s="356">
        <v>4</v>
      </c>
      <c r="AI125" s="356">
        <v>6</v>
      </c>
      <c r="AJ125" s="356">
        <v>11</v>
      </c>
      <c r="AK125" s="356">
        <v>8</v>
      </c>
      <c r="AL125" s="356">
        <v>2</v>
      </c>
      <c r="AM125" s="356">
        <v>4</v>
      </c>
      <c r="AN125" s="356">
        <v>3</v>
      </c>
      <c r="AO125" s="356">
        <v>7</v>
      </c>
      <c r="AP125" s="356">
        <v>13</v>
      </c>
      <c r="AQ125" s="356">
        <v>8</v>
      </c>
      <c r="AR125" s="356">
        <v>6</v>
      </c>
      <c r="AS125" s="356">
        <v>12</v>
      </c>
      <c r="AT125" s="356">
        <v>9</v>
      </c>
      <c r="AU125" s="356">
        <v>7</v>
      </c>
      <c r="AV125" s="356">
        <v>15</v>
      </c>
      <c r="AW125" s="356">
        <v>7</v>
      </c>
      <c r="AX125" s="356">
        <v>14</v>
      </c>
      <c r="AY125" s="356">
        <v>9</v>
      </c>
      <c r="AZ125" s="356">
        <v>10</v>
      </c>
      <c r="BA125" s="356">
        <v>10</v>
      </c>
      <c r="BB125" s="356">
        <v>9</v>
      </c>
      <c r="BD125" s="353">
        <f t="shared" si="4"/>
        <v>91</v>
      </c>
      <c r="BE125" s="353">
        <f t="shared" si="5"/>
        <v>79</v>
      </c>
      <c r="BF125" s="353">
        <f t="shared" si="6"/>
        <v>101</v>
      </c>
      <c r="BG125" s="353">
        <f t="shared" si="7"/>
        <v>67</v>
      </c>
    </row>
    <row r="126" spans="2:59">
      <c r="B126" s="354">
        <v>118</v>
      </c>
      <c r="C126" s="743" t="s">
        <v>583</v>
      </c>
      <c r="D126" s="744" t="s">
        <v>583</v>
      </c>
      <c r="E126" s="744" t="s">
        <v>583</v>
      </c>
      <c r="F126" s="357">
        <v>30207976</v>
      </c>
      <c r="G126" s="356">
        <v>13</v>
      </c>
      <c r="H126" s="356">
        <v>12</v>
      </c>
      <c r="I126" s="356">
        <v>0</v>
      </c>
      <c r="J126" s="356">
        <v>2</v>
      </c>
      <c r="K126" s="356">
        <v>4</v>
      </c>
      <c r="L126" s="356">
        <v>2</v>
      </c>
      <c r="M126" s="356">
        <v>12</v>
      </c>
      <c r="N126" s="356">
        <v>1</v>
      </c>
      <c r="O126" s="356">
        <v>9</v>
      </c>
      <c r="P126" s="356">
        <v>10</v>
      </c>
      <c r="Q126" s="356">
        <v>7</v>
      </c>
      <c r="R126" s="356">
        <v>7</v>
      </c>
      <c r="S126" s="356">
        <v>0</v>
      </c>
      <c r="T126" s="356">
        <v>9</v>
      </c>
      <c r="U126" s="356">
        <v>15</v>
      </c>
      <c r="V126" s="356">
        <v>12</v>
      </c>
      <c r="W126" s="356">
        <v>15</v>
      </c>
      <c r="X126" s="356">
        <v>0</v>
      </c>
      <c r="Y126" s="356">
        <v>9</v>
      </c>
      <c r="Z126" s="356">
        <v>13</v>
      </c>
      <c r="AA126" s="356">
        <v>8</v>
      </c>
      <c r="AB126" s="356">
        <v>12</v>
      </c>
      <c r="AC126" s="356">
        <v>2</v>
      </c>
      <c r="AD126" s="356">
        <v>3</v>
      </c>
      <c r="AE126" s="356">
        <v>0</v>
      </c>
      <c r="AF126" s="356">
        <v>14</v>
      </c>
      <c r="AG126" s="356">
        <v>12</v>
      </c>
      <c r="AH126" s="356">
        <v>8</v>
      </c>
      <c r="AI126" s="356">
        <v>11</v>
      </c>
      <c r="AJ126" s="356">
        <v>5</v>
      </c>
      <c r="AK126" s="356">
        <v>10</v>
      </c>
      <c r="AL126" s="356">
        <v>15</v>
      </c>
      <c r="AM126" s="356">
        <v>5</v>
      </c>
      <c r="AN126" s="356">
        <v>1</v>
      </c>
      <c r="AO126" s="356">
        <v>8</v>
      </c>
      <c r="AP126" s="356">
        <v>7</v>
      </c>
      <c r="AQ126" s="356">
        <v>8</v>
      </c>
      <c r="AR126" s="356">
        <v>11</v>
      </c>
      <c r="AS126" s="356">
        <v>11</v>
      </c>
      <c r="AT126" s="356">
        <v>9</v>
      </c>
      <c r="AU126" s="356">
        <v>8</v>
      </c>
      <c r="AV126" s="356">
        <v>9</v>
      </c>
      <c r="AW126" s="356">
        <v>11</v>
      </c>
      <c r="AX126" s="356">
        <v>15</v>
      </c>
      <c r="AY126" s="356">
        <v>9</v>
      </c>
      <c r="AZ126" s="356">
        <v>7</v>
      </c>
      <c r="BA126" s="356">
        <v>11</v>
      </c>
      <c r="BB126" s="356">
        <v>13</v>
      </c>
      <c r="BD126" s="353">
        <f t="shared" si="4"/>
        <v>97</v>
      </c>
      <c r="BE126" s="353">
        <f t="shared" si="5"/>
        <v>90</v>
      </c>
      <c r="BF126" s="353">
        <f t="shared" si="6"/>
        <v>108</v>
      </c>
      <c r="BG126" s="353">
        <f t="shared" si="7"/>
        <v>77</v>
      </c>
    </row>
    <row r="127" spans="2:59">
      <c r="B127" s="354">
        <v>119</v>
      </c>
      <c r="C127" s="743" t="s">
        <v>587</v>
      </c>
      <c r="D127" s="744" t="s">
        <v>587</v>
      </c>
      <c r="E127" s="744" t="s">
        <v>587</v>
      </c>
      <c r="F127" s="357">
        <v>30207976</v>
      </c>
      <c r="G127" s="356">
        <v>10</v>
      </c>
      <c r="H127" s="356">
        <v>1</v>
      </c>
      <c r="I127" s="356">
        <v>0</v>
      </c>
      <c r="J127" s="356">
        <v>10</v>
      </c>
      <c r="K127" s="356">
        <v>5</v>
      </c>
      <c r="L127" s="356">
        <v>13</v>
      </c>
      <c r="M127" s="356">
        <v>9</v>
      </c>
      <c r="N127" s="356">
        <v>7</v>
      </c>
      <c r="O127" s="356">
        <v>4</v>
      </c>
      <c r="P127" s="356">
        <v>0</v>
      </c>
      <c r="Q127" s="356">
        <v>9</v>
      </c>
      <c r="R127" s="356">
        <v>7</v>
      </c>
      <c r="S127" s="356">
        <v>7</v>
      </c>
      <c r="T127" s="356">
        <v>4</v>
      </c>
      <c r="U127" s="356">
        <v>14</v>
      </c>
      <c r="V127" s="356">
        <v>6</v>
      </c>
      <c r="W127" s="356">
        <v>2</v>
      </c>
      <c r="X127" s="356">
        <v>9</v>
      </c>
      <c r="Y127" s="356">
        <v>13</v>
      </c>
      <c r="Z127" s="356">
        <v>4</v>
      </c>
      <c r="AA127" s="356">
        <v>8</v>
      </c>
      <c r="AB127" s="356">
        <v>11</v>
      </c>
      <c r="AC127" s="356">
        <v>3</v>
      </c>
      <c r="AD127" s="356">
        <v>9</v>
      </c>
      <c r="AE127" s="356">
        <v>5</v>
      </c>
      <c r="AF127" s="356">
        <v>7</v>
      </c>
      <c r="AG127" s="356">
        <v>8</v>
      </c>
      <c r="AH127" s="356">
        <v>8</v>
      </c>
      <c r="AI127" s="356">
        <v>8</v>
      </c>
      <c r="AJ127" s="356">
        <v>15</v>
      </c>
      <c r="AK127" s="356">
        <v>8</v>
      </c>
      <c r="AL127" s="356">
        <v>10</v>
      </c>
      <c r="AM127" s="356">
        <v>15</v>
      </c>
      <c r="AN127" s="356">
        <v>4</v>
      </c>
      <c r="AO127" s="356">
        <v>0</v>
      </c>
      <c r="AP127" s="356">
        <v>2</v>
      </c>
      <c r="AQ127" s="356">
        <v>9</v>
      </c>
      <c r="AR127" s="356">
        <v>11</v>
      </c>
      <c r="AS127" s="356">
        <v>14</v>
      </c>
      <c r="AT127" s="356">
        <v>9</v>
      </c>
      <c r="AU127" s="356">
        <v>1</v>
      </c>
      <c r="AV127" s="356">
        <v>0</v>
      </c>
      <c r="AW127" s="356">
        <v>6</v>
      </c>
      <c r="AX127" s="356">
        <v>12</v>
      </c>
      <c r="AY127" s="356">
        <v>5</v>
      </c>
      <c r="AZ127" s="356">
        <v>2</v>
      </c>
      <c r="BA127" s="356">
        <v>7</v>
      </c>
      <c r="BB127" s="356">
        <v>8</v>
      </c>
      <c r="BD127" s="353">
        <f t="shared" si="4"/>
        <v>84</v>
      </c>
      <c r="BE127" s="353">
        <f t="shared" si="5"/>
        <v>79</v>
      </c>
      <c r="BF127" s="353">
        <f t="shared" si="6"/>
        <v>91</v>
      </c>
      <c r="BG127" s="353">
        <f t="shared" si="7"/>
        <v>69</v>
      </c>
    </row>
    <row r="128" spans="2:59">
      <c r="B128" s="354">
        <v>120</v>
      </c>
      <c r="C128" s="743" t="s">
        <v>586</v>
      </c>
      <c r="D128" s="744" t="s">
        <v>586</v>
      </c>
      <c r="E128" s="744" t="s">
        <v>586</v>
      </c>
      <c r="F128" s="357">
        <v>30207976</v>
      </c>
      <c r="G128" s="356">
        <v>6</v>
      </c>
      <c r="H128" s="356">
        <v>12</v>
      </c>
      <c r="I128" s="356">
        <v>15</v>
      </c>
      <c r="J128" s="356">
        <v>2</v>
      </c>
      <c r="K128" s="356">
        <v>10</v>
      </c>
      <c r="L128" s="356">
        <v>9</v>
      </c>
      <c r="M128" s="356">
        <v>1</v>
      </c>
      <c r="N128" s="356">
        <v>14</v>
      </c>
      <c r="O128" s="356">
        <v>3</v>
      </c>
      <c r="P128" s="356">
        <v>12</v>
      </c>
      <c r="Q128" s="356">
        <v>13</v>
      </c>
      <c r="R128" s="356">
        <v>1</v>
      </c>
      <c r="S128" s="356">
        <v>6</v>
      </c>
      <c r="T128" s="356">
        <v>13</v>
      </c>
      <c r="U128" s="356">
        <v>7</v>
      </c>
      <c r="V128" s="356">
        <v>7</v>
      </c>
      <c r="W128" s="356">
        <v>7</v>
      </c>
      <c r="X128" s="356">
        <v>0</v>
      </c>
      <c r="Y128" s="356">
        <v>8</v>
      </c>
      <c r="Z128" s="356">
        <v>6</v>
      </c>
      <c r="AA128" s="356">
        <v>15</v>
      </c>
      <c r="AB128" s="356">
        <v>2</v>
      </c>
      <c r="AC128" s="356">
        <v>11</v>
      </c>
      <c r="AD128" s="356">
        <v>10</v>
      </c>
      <c r="AE128" s="356">
        <v>0</v>
      </c>
      <c r="AF128" s="356">
        <v>12</v>
      </c>
      <c r="AG128" s="356">
        <v>1</v>
      </c>
      <c r="AH128" s="356">
        <v>12</v>
      </c>
      <c r="AI128" s="356">
        <v>12</v>
      </c>
      <c r="AJ128" s="356">
        <v>2</v>
      </c>
      <c r="AK128" s="356">
        <v>8</v>
      </c>
      <c r="AL128" s="356">
        <v>7</v>
      </c>
      <c r="AM128" s="356">
        <v>4</v>
      </c>
      <c r="AN128" s="356">
        <v>14</v>
      </c>
      <c r="AO128" s="356">
        <v>5</v>
      </c>
      <c r="AP128" s="356">
        <v>10</v>
      </c>
      <c r="AQ128" s="356">
        <v>6</v>
      </c>
      <c r="AR128" s="356">
        <v>9</v>
      </c>
      <c r="AS128" s="356">
        <v>10</v>
      </c>
      <c r="AT128" s="356">
        <v>13</v>
      </c>
      <c r="AU128" s="356">
        <v>10</v>
      </c>
      <c r="AV128" s="356">
        <v>6</v>
      </c>
      <c r="AW128" s="356">
        <v>14</v>
      </c>
      <c r="AX128" s="356">
        <v>3</v>
      </c>
      <c r="AY128" s="356">
        <v>9</v>
      </c>
      <c r="AZ128" s="356">
        <v>1</v>
      </c>
      <c r="BA128" s="356">
        <v>5</v>
      </c>
      <c r="BB128" s="356">
        <v>8</v>
      </c>
      <c r="BD128" s="353">
        <f t="shared" si="4"/>
        <v>93</v>
      </c>
      <c r="BE128" s="353">
        <f t="shared" si="5"/>
        <v>88</v>
      </c>
      <c r="BF128" s="353">
        <f t="shared" si="6"/>
        <v>98</v>
      </c>
      <c r="BG128" s="353">
        <f t="shared" si="7"/>
        <v>82</v>
      </c>
    </row>
    <row r="129" spans="2:59">
      <c r="B129" s="354">
        <v>121</v>
      </c>
      <c r="C129" s="743" t="s">
        <v>585</v>
      </c>
      <c r="D129" s="744" t="s">
        <v>585</v>
      </c>
      <c r="E129" s="744" t="s">
        <v>585</v>
      </c>
      <c r="F129" s="357">
        <v>60350195</v>
      </c>
      <c r="G129" s="356">
        <v>3</v>
      </c>
      <c r="H129" s="356">
        <v>6</v>
      </c>
      <c r="I129" s="356">
        <v>9</v>
      </c>
      <c r="J129" s="356">
        <v>0</v>
      </c>
      <c r="K129" s="356">
        <v>5</v>
      </c>
      <c r="L129" s="356">
        <v>14</v>
      </c>
      <c r="M129" s="356">
        <v>14</v>
      </c>
      <c r="N129" s="356">
        <v>5</v>
      </c>
      <c r="O129" s="356">
        <v>1</v>
      </c>
      <c r="P129" s="356">
        <v>15</v>
      </c>
      <c r="Q129" s="356">
        <v>15</v>
      </c>
      <c r="R129" s="356">
        <v>6</v>
      </c>
      <c r="S129" s="356">
        <v>14</v>
      </c>
      <c r="T129" s="356">
        <v>8</v>
      </c>
      <c r="U129" s="356">
        <v>13</v>
      </c>
      <c r="V129" s="356">
        <v>7</v>
      </c>
      <c r="W129" s="356">
        <v>1</v>
      </c>
      <c r="X129" s="356">
        <v>9</v>
      </c>
      <c r="Y129" s="356">
        <v>10</v>
      </c>
      <c r="Z129" s="356">
        <v>15</v>
      </c>
      <c r="AA129" s="356">
        <v>12</v>
      </c>
      <c r="AB129" s="356">
        <v>15</v>
      </c>
      <c r="AC129" s="356">
        <v>15</v>
      </c>
      <c r="AD129" s="356">
        <v>2</v>
      </c>
      <c r="AE129" s="356">
        <v>3</v>
      </c>
      <c r="AF129" s="356">
        <v>5</v>
      </c>
      <c r="AG129" s="356">
        <v>6</v>
      </c>
      <c r="AH129" s="356">
        <v>7</v>
      </c>
      <c r="AI129" s="356">
        <v>11</v>
      </c>
      <c r="AJ129" s="356">
        <v>14</v>
      </c>
      <c r="AK129" s="356">
        <v>9</v>
      </c>
      <c r="AL129" s="356">
        <v>3</v>
      </c>
      <c r="AM129" s="356">
        <v>2</v>
      </c>
      <c r="AN129" s="356">
        <v>0</v>
      </c>
      <c r="AO129" s="356">
        <v>13</v>
      </c>
      <c r="AP129" s="356">
        <v>1</v>
      </c>
      <c r="AQ129" s="356">
        <v>6</v>
      </c>
      <c r="AR129" s="356">
        <v>14</v>
      </c>
      <c r="AS129" s="356">
        <v>10</v>
      </c>
      <c r="AT129" s="356">
        <v>14</v>
      </c>
      <c r="AU129" s="356">
        <v>3</v>
      </c>
      <c r="AV129" s="356">
        <v>5</v>
      </c>
      <c r="AW129" s="356">
        <v>11</v>
      </c>
      <c r="AX129" s="356">
        <v>4</v>
      </c>
      <c r="AY129" s="356">
        <v>13</v>
      </c>
      <c r="AZ129" s="356">
        <v>15</v>
      </c>
      <c r="BA129" s="356">
        <v>4</v>
      </c>
      <c r="BB129" s="356">
        <v>3</v>
      </c>
      <c r="BD129" s="353">
        <f t="shared" si="4"/>
        <v>125</v>
      </c>
      <c r="BE129" s="353">
        <f t="shared" si="5"/>
        <v>74</v>
      </c>
      <c r="BF129" s="353">
        <f t="shared" si="6"/>
        <v>129</v>
      </c>
      <c r="BG129" s="353">
        <f t="shared" si="7"/>
        <v>71</v>
      </c>
    </row>
    <row r="130" spans="2:59">
      <c r="B130" s="354">
        <v>122</v>
      </c>
      <c r="C130" s="743" t="s">
        <v>584</v>
      </c>
      <c r="D130" s="744" t="s">
        <v>584</v>
      </c>
      <c r="E130" s="744" t="s">
        <v>584</v>
      </c>
      <c r="F130" s="357">
        <v>1090416006</v>
      </c>
      <c r="G130" s="356">
        <v>14</v>
      </c>
      <c r="H130" s="356">
        <v>13</v>
      </c>
      <c r="I130" s="356">
        <v>8</v>
      </c>
      <c r="J130" s="356">
        <v>10</v>
      </c>
      <c r="K130" s="356">
        <v>8</v>
      </c>
      <c r="L130" s="356">
        <v>7</v>
      </c>
      <c r="M130" s="356">
        <v>6</v>
      </c>
      <c r="N130" s="356">
        <v>2</v>
      </c>
      <c r="O130" s="356">
        <v>1</v>
      </c>
      <c r="P130" s="356">
        <v>14</v>
      </c>
      <c r="Q130" s="356">
        <v>5</v>
      </c>
      <c r="R130" s="356">
        <v>14</v>
      </c>
      <c r="S130" s="356">
        <v>4</v>
      </c>
      <c r="T130" s="356">
        <v>15</v>
      </c>
      <c r="U130" s="356">
        <v>4</v>
      </c>
      <c r="V130" s="356">
        <v>3</v>
      </c>
      <c r="W130" s="356">
        <v>13</v>
      </c>
      <c r="X130" s="356">
        <v>5</v>
      </c>
      <c r="Y130" s="356">
        <v>1</v>
      </c>
      <c r="Z130" s="356">
        <v>11</v>
      </c>
      <c r="AA130" s="356">
        <v>10</v>
      </c>
      <c r="AB130" s="356">
        <v>5</v>
      </c>
      <c r="AC130" s="356">
        <v>6</v>
      </c>
      <c r="AD130" s="356">
        <v>1</v>
      </c>
      <c r="AE130" s="356">
        <v>2</v>
      </c>
      <c r="AF130" s="356">
        <v>15</v>
      </c>
      <c r="AG130" s="356">
        <v>2</v>
      </c>
      <c r="AH130" s="356">
        <v>0</v>
      </c>
      <c r="AI130" s="356">
        <v>10</v>
      </c>
      <c r="AJ130" s="356">
        <v>0</v>
      </c>
      <c r="AK130" s="356">
        <v>8</v>
      </c>
      <c r="AL130" s="356">
        <v>11</v>
      </c>
      <c r="AM130" s="356">
        <v>6</v>
      </c>
      <c r="AN130" s="356">
        <v>8</v>
      </c>
      <c r="AO130" s="356">
        <v>13</v>
      </c>
      <c r="AP130" s="356">
        <v>1</v>
      </c>
      <c r="AQ130" s="356">
        <v>1</v>
      </c>
      <c r="AR130" s="356">
        <v>4</v>
      </c>
      <c r="AS130" s="356">
        <v>14</v>
      </c>
      <c r="AT130" s="356">
        <v>7</v>
      </c>
      <c r="AU130" s="356">
        <v>10</v>
      </c>
      <c r="AV130" s="356">
        <v>1</v>
      </c>
      <c r="AW130" s="356">
        <v>2</v>
      </c>
      <c r="AX130" s="356">
        <v>13</v>
      </c>
      <c r="AY130" s="356">
        <v>15</v>
      </c>
      <c r="AZ130" s="356">
        <v>3</v>
      </c>
      <c r="BA130" s="356">
        <v>15</v>
      </c>
      <c r="BB130" s="356">
        <v>1</v>
      </c>
      <c r="BD130" s="353">
        <f t="shared" si="4"/>
        <v>69</v>
      </c>
      <c r="BE130" s="353">
        <f t="shared" si="5"/>
        <v>94</v>
      </c>
      <c r="BF130" s="353">
        <f t="shared" si="6"/>
        <v>84</v>
      </c>
      <c r="BG130" s="353">
        <f t="shared" si="7"/>
        <v>80</v>
      </c>
    </row>
    <row r="131" spans="2:59">
      <c r="B131" s="354">
        <v>123</v>
      </c>
      <c r="C131" s="743" t="s">
        <v>583</v>
      </c>
      <c r="D131" s="744" t="s">
        <v>583</v>
      </c>
      <c r="E131" s="744" t="s">
        <v>583</v>
      </c>
      <c r="F131" s="357">
        <v>1192784218</v>
      </c>
      <c r="G131" s="356">
        <v>7</v>
      </c>
      <c r="H131" s="356">
        <v>9</v>
      </c>
      <c r="I131" s="356">
        <v>6</v>
      </c>
      <c r="J131" s="356">
        <v>6</v>
      </c>
      <c r="K131" s="356">
        <v>8</v>
      </c>
      <c r="L131" s="356">
        <v>4</v>
      </c>
      <c r="M131" s="356">
        <v>10</v>
      </c>
      <c r="N131" s="356">
        <v>1</v>
      </c>
      <c r="O131" s="356">
        <v>15</v>
      </c>
      <c r="P131" s="356">
        <v>2</v>
      </c>
      <c r="Q131" s="356">
        <v>8</v>
      </c>
      <c r="R131" s="356">
        <v>8</v>
      </c>
      <c r="S131" s="356">
        <v>11</v>
      </c>
      <c r="T131" s="356">
        <v>3</v>
      </c>
      <c r="U131" s="356">
        <v>9</v>
      </c>
      <c r="V131" s="356">
        <v>11</v>
      </c>
      <c r="W131" s="356">
        <v>9</v>
      </c>
      <c r="X131" s="356">
        <v>14</v>
      </c>
      <c r="Y131" s="356">
        <v>0</v>
      </c>
      <c r="Z131" s="356">
        <v>13</v>
      </c>
      <c r="AA131" s="356">
        <v>12</v>
      </c>
      <c r="AB131" s="356">
        <v>0</v>
      </c>
      <c r="AC131" s="356">
        <v>1</v>
      </c>
      <c r="AD131" s="356">
        <v>0</v>
      </c>
      <c r="AE131" s="356">
        <v>9</v>
      </c>
      <c r="AF131" s="356">
        <v>3</v>
      </c>
      <c r="AG131" s="356">
        <v>12</v>
      </c>
      <c r="AH131" s="356">
        <v>15</v>
      </c>
      <c r="AI131" s="356">
        <v>4</v>
      </c>
      <c r="AJ131" s="356">
        <v>13</v>
      </c>
      <c r="AK131" s="356">
        <v>4</v>
      </c>
      <c r="AL131" s="356">
        <v>10</v>
      </c>
      <c r="AM131" s="356">
        <v>9</v>
      </c>
      <c r="AN131" s="356">
        <v>8</v>
      </c>
      <c r="AO131" s="356">
        <v>6</v>
      </c>
      <c r="AP131" s="356">
        <v>8</v>
      </c>
      <c r="AQ131" s="356">
        <v>7</v>
      </c>
      <c r="AR131" s="356">
        <v>15</v>
      </c>
      <c r="AS131" s="356">
        <v>5</v>
      </c>
      <c r="AT131" s="356">
        <v>7</v>
      </c>
      <c r="AU131" s="356">
        <v>8</v>
      </c>
      <c r="AV131" s="356">
        <v>1</v>
      </c>
      <c r="AW131" s="356">
        <v>4</v>
      </c>
      <c r="AX131" s="356">
        <v>1</v>
      </c>
      <c r="AY131" s="356">
        <v>15</v>
      </c>
      <c r="AZ131" s="356">
        <v>8</v>
      </c>
      <c r="BA131" s="356">
        <v>6</v>
      </c>
      <c r="BB131" s="356">
        <v>0</v>
      </c>
      <c r="BD131" s="353">
        <f t="shared" si="4"/>
        <v>65</v>
      </c>
      <c r="BE131" s="353">
        <f t="shared" si="5"/>
        <v>114</v>
      </c>
      <c r="BF131" s="353">
        <f t="shared" si="6"/>
        <v>71</v>
      </c>
      <c r="BG131" s="353">
        <f t="shared" si="7"/>
        <v>107</v>
      </c>
    </row>
    <row r="132" spans="2:59">
      <c r="B132" s="354">
        <v>124</v>
      </c>
      <c r="C132" s="743" t="s">
        <v>582</v>
      </c>
      <c r="D132" s="744" t="s">
        <v>582</v>
      </c>
      <c r="E132" s="744" t="s">
        <v>582</v>
      </c>
      <c r="F132" s="357">
        <v>1007468585</v>
      </c>
      <c r="G132" s="356">
        <v>0</v>
      </c>
      <c r="H132" s="356">
        <v>9</v>
      </c>
      <c r="I132" s="356">
        <v>3</v>
      </c>
      <c r="J132" s="356">
        <v>12</v>
      </c>
      <c r="K132" s="356">
        <v>15</v>
      </c>
      <c r="L132" s="356">
        <v>13</v>
      </c>
      <c r="M132" s="356">
        <v>2</v>
      </c>
      <c r="N132" s="356">
        <v>7</v>
      </c>
      <c r="O132" s="356">
        <v>7</v>
      </c>
      <c r="P132" s="356">
        <v>2</v>
      </c>
      <c r="Q132" s="356">
        <v>13</v>
      </c>
      <c r="R132" s="356">
        <v>1</v>
      </c>
      <c r="S132" s="356">
        <v>12</v>
      </c>
      <c r="T132" s="356">
        <v>1</v>
      </c>
      <c r="U132" s="356">
        <v>2</v>
      </c>
      <c r="V132" s="356">
        <v>9</v>
      </c>
      <c r="W132" s="356">
        <v>4</v>
      </c>
      <c r="X132" s="356">
        <v>12</v>
      </c>
      <c r="Y132" s="356">
        <v>15</v>
      </c>
      <c r="Z132" s="356">
        <v>14</v>
      </c>
      <c r="AA132" s="356">
        <v>13</v>
      </c>
      <c r="AB132" s="356">
        <v>10</v>
      </c>
      <c r="AC132" s="356">
        <v>2</v>
      </c>
      <c r="AD132" s="356">
        <v>11</v>
      </c>
      <c r="AE132" s="356">
        <v>4</v>
      </c>
      <c r="AF132" s="356">
        <v>11</v>
      </c>
      <c r="AG132" s="356">
        <v>1</v>
      </c>
      <c r="AH132" s="356">
        <v>6</v>
      </c>
      <c r="AI132" s="356">
        <v>12</v>
      </c>
      <c r="AJ132" s="356">
        <v>7</v>
      </c>
      <c r="AK132" s="356">
        <v>7</v>
      </c>
      <c r="AL132" s="356">
        <v>5</v>
      </c>
      <c r="AM132" s="356">
        <v>8</v>
      </c>
      <c r="AN132" s="356">
        <v>9</v>
      </c>
      <c r="AO132" s="356">
        <v>4</v>
      </c>
      <c r="AP132" s="356">
        <v>8</v>
      </c>
      <c r="AQ132" s="356">
        <v>7</v>
      </c>
      <c r="AR132" s="356">
        <v>15</v>
      </c>
      <c r="AS132" s="356">
        <v>6</v>
      </c>
      <c r="AT132" s="356">
        <v>13</v>
      </c>
      <c r="AU132" s="356">
        <v>11</v>
      </c>
      <c r="AV132" s="356">
        <v>7</v>
      </c>
      <c r="AW132" s="356">
        <v>5</v>
      </c>
      <c r="AX132" s="356">
        <v>7</v>
      </c>
      <c r="AY132" s="356">
        <v>12</v>
      </c>
      <c r="AZ132" s="356">
        <v>1</v>
      </c>
      <c r="BA132" s="356">
        <v>4</v>
      </c>
      <c r="BB132" s="356">
        <v>1</v>
      </c>
      <c r="BD132" s="353">
        <f t="shared" si="4"/>
        <v>60</v>
      </c>
      <c r="BE132" s="353">
        <f t="shared" si="5"/>
        <v>105</v>
      </c>
      <c r="BF132" s="353">
        <f t="shared" si="6"/>
        <v>64</v>
      </c>
      <c r="BG132" s="353">
        <f t="shared" si="7"/>
        <v>105</v>
      </c>
    </row>
    <row r="133" spans="2:59">
      <c r="B133" s="354">
        <v>125</v>
      </c>
      <c r="C133" s="743" t="s">
        <v>581</v>
      </c>
      <c r="D133" s="744" t="s">
        <v>581</v>
      </c>
      <c r="E133" s="744" t="s">
        <v>581</v>
      </c>
      <c r="F133" s="357">
        <v>1128188413</v>
      </c>
      <c r="G133" s="356">
        <v>11</v>
      </c>
      <c r="H133" s="356">
        <v>5</v>
      </c>
      <c r="I133" s="356">
        <v>15</v>
      </c>
      <c r="J133" s="356">
        <v>13</v>
      </c>
      <c r="K133" s="356">
        <v>11</v>
      </c>
      <c r="L133" s="356">
        <v>15</v>
      </c>
      <c r="M133" s="356">
        <v>2</v>
      </c>
      <c r="N133" s="356">
        <v>0</v>
      </c>
      <c r="O133" s="356">
        <v>8</v>
      </c>
      <c r="P133" s="356">
        <v>7</v>
      </c>
      <c r="Q133" s="356">
        <v>13</v>
      </c>
      <c r="R133" s="356">
        <v>6</v>
      </c>
      <c r="S133" s="356">
        <v>11</v>
      </c>
      <c r="T133" s="356">
        <v>9</v>
      </c>
      <c r="U133" s="356">
        <v>9</v>
      </c>
      <c r="V133" s="356">
        <v>14</v>
      </c>
      <c r="W133" s="356">
        <v>14</v>
      </c>
      <c r="X133" s="356">
        <v>6</v>
      </c>
      <c r="Y133" s="356">
        <v>8</v>
      </c>
      <c r="Z133" s="356">
        <v>9</v>
      </c>
      <c r="AA133" s="356">
        <v>12</v>
      </c>
      <c r="AB133" s="356">
        <v>9</v>
      </c>
      <c r="AC133" s="356">
        <v>15</v>
      </c>
      <c r="AD133" s="356">
        <v>7</v>
      </c>
      <c r="AE133" s="356">
        <v>4</v>
      </c>
      <c r="AF133" s="356">
        <v>15</v>
      </c>
      <c r="AG133" s="356">
        <v>0</v>
      </c>
      <c r="AH133" s="356">
        <v>10</v>
      </c>
      <c r="AI133" s="356">
        <v>4</v>
      </c>
      <c r="AJ133" s="356">
        <v>0</v>
      </c>
      <c r="AK133" s="356">
        <v>7</v>
      </c>
      <c r="AL133" s="356">
        <v>10</v>
      </c>
      <c r="AM133" s="356">
        <v>13</v>
      </c>
      <c r="AN133" s="356">
        <v>15</v>
      </c>
      <c r="AO133" s="356">
        <v>12</v>
      </c>
      <c r="AP133" s="356">
        <v>3</v>
      </c>
      <c r="AQ133" s="356">
        <v>8</v>
      </c>
      <c r="AR133" s="356">
        <v>0</v>
      </c>
      <c r="AS133" s="356">
        <v>11</v>
      </c>
      <c r="AT133" s="356">
        <v>5</v>
      </c>
      <c r="AU133" s="356">
        <v>4</v>
      </c>
      <c r="AV133" s="356">
        <v>4</v>
      </c>
      <c r="AW133" s="356">
        <v>4</v>
      </c>
      <c r="AX133" s="356">
        <v>13</v>
      </c>
      <c r="AY133" s="356">
        <v>10</v>
      </c>
      <c r="AZ133" s="356">
        <v>4</v>
      </c>
      <c r="BA133" s="356">
        <v>10</v>
      </c>
      <c r="BB133" s="356">
        <v>6</v>
      </c>
      <c r="BD133" s="353">
        <f t="shared" si="4"/>
        <v>96</v>
      </c>
      <c r="BE133" s="353">
        <f t="shared" si="5"/>
        <v>110</v>
      </c>
      <c r="BF133" s="353">
        <f t="shared" si="6"/>
        <v>106</v>
      </c>
      <c r="BG133" s="353">
        <f t="shared" si="7"/>
        <v>99</v>
      </c>
    </row>
    <row r="134" spans="2:59">
      <c r="B134" s="354">
        <v>126</v>
      </c>
      <c r="C134" s="743" t="s">
        <v>580</v>
      </c>
      <c r="D134" s="744" t="s">
        <v>580</v>
      </c>
      <c r="E134" s="744" t="s">
        <v>580</v>
      </c>
      <c r="F134" s="357">
        <v>1152937276</v>
      </c>
      <c r="G134" s="356">
        <v>8</v>
      </c>
      <c r="H134" s="356">
        <v>6</v>
      </c>
      <c r="I134" s="356">
        <v>15</v>
      </c>
      <c r="J134" s="356">
        <v>1</v>
      </c>
      <c r="K134" s="356">
        <v>14</v>
      </c>
      <c r="L134" s="356">
        <v>5</v>
      </c>
      <c r="M134" s="356">
        <v>9</v>
      </c>
      <c r="N134" s="356">
        <v>1</v>
      </c>
      <c r="O134" s="356">
        <v>9</v>
      </c>
      <c r="P134" s="356">
        <v>4</v>
      </c>
      <c r="Q134" s="356">
        <v>9</v>
      </c>
      <c r="R134" s="356">
        <v>1</v>
      </c>
      <c r="S134" s="356">
        <v>15</v>
      </c>
      <c r="T134" s="356">
        <v>4</v>
      </c>
      <c r="U134" s="356">
        <v>0</v>
      </c>
      <c r="V134" s="356">
        <v>5</v>
      </c>
      <c r="W134" s="356">
        <v>3</v>
      </c>
      <c r="X134" s="356">
        <v>8</v>
      </c>
      <c r="Y134" s="356">
        <v>2</v>
      </c>
      <c r="Z134" s="356">
        <v>15</v>
      </c>
      <c r="AA134" s="356">
        <v>4</v>
      </c>
      <c r="AB134" s="356">
        <v>15</v>
      </c>
      <c r="AC134" s="356">
        <v>13</v>
      </c>
      <c r="AD134" s="356">
        <v>0</v>
      </c>
      <c r="AE134" s="356">
        <v>9</v>
      </c>
      <c r="AF134" s="356">
        <v>5</v>
      </c>
      <c r="AG134" s="356">
        <v>4</v>
      </c>
      <c r="AH134" s="356">
        <v>5</v>
      </c>
      <c r="AI134" s="356">
        <v>13</v>
      </c>
      <c r="AJ134" s="356">
        <v>1</v>
      </c>
      <c r="AK134" s="356">
        <v>9</v>
      </c>
      <c r="AL134" s="356">
        <v>8</v>
      </c>
      <c r="AM134" s="356">
        <v>11</v>
      </c>
      <c r="AN134" s="356">
        <v>3</v>
      </c>
      <c r="AO134" s="356">
        <v>3</v>
      </c>
      <c r="AP134" s="356">
        <v>8</v>
      </c>
      <c r="AQ134" s="356">
        <v>5</v>
      </c>
      <c r="AR134" s="356">
        <v>11</v>
      </c>
      <c r="AS134" s="356">
        <v>3</v>
      </c>
      <c r="AT134" s="356">
        <v>14</v>
      </c>
      <c r="AU134" s="356">
        <v>5</v>
      </c>
      <c r="AV134" s="356">
        <v>3</v>
      </c>
      <c r="AW134" s="356">
        <v>6</v>
      </c>
      <c r="AX134" s="356">
        <v>10</v>
      </c>
      <c r="AY134" s="356">
        <v>0</v>
      </c>
      <c r="AZ134" s="356">
        <v>2</v>
      </c>
      <c r="BA134" s="356">
        <v>12</v>
      </c>
      <c r="BB134" s="356">
        <v>4</v>
      </c>
      <c r="BD134" s="353">
        <f t="shared" si="4"/>
        <v>73</v>
      </c>
      <c r="BE134" s="353">
        <f t="shared" si="5"/>
        <v>96</v>
      </c>
      <c r="BF134" s="353">
        <f t="shared" si="6"/>
        <v>85</v>
      </c>
      <c r="BG134" s="353">
        <f t="shared" si="7"/>
        <v>88</v>
      </c>
    </row>
    <row r="135" spans="2:59">
      <c r="B135" s="354">
        <v>127</v>
      </c>
      <c r="C135" s="743" t="s">
        <v>579</v>
      </c>
      <c r="D135" s="744" t="s">
        <v>579</v>
      </c>
      <c r="E135" s="744" t="s">
        <v>579</v>
      </c>
      <c r="F135" s="357">
        <v>1099364390</v>
      </c>
      <c r="G135" s="356">
        <v>11</v>
      </c>
      <c r="H135" s="356">
        <v>4</v>
      </c>
      <c r="I135" s="356">
        <v>10</v>
      </c>
      <c r="J135" s="356">
        <v>3</v>
      </c>
      <c r="K135" s="356">
        <v>1</v>
      </c>
      <c r="L135" s="356">
        <v>14</v>
      </c>
      <c r="M135" s="356">
        <v>10</v>
      </c>
      <c r="N135" s="356">
        <v>2</v>
      </c>
      <c r="O135" s="356">
        <v>2</v>
      </c>
      <c r="P135" s="356">
        <v>12</v>
      </c>
      <c r="Q135" s="356">
        <v>13</v>
      </c>
      <c r="R135" s="356">
        <v>13</v>
      </c>
      <c r="S135" s="356">
        <v>1</v>
      </c>
      <c r="T135" s="356">
        <v>3</v>
      </c>
      <c r="U135" s="356">
        <v>1</v>
      </c>
      <c r="V135" s="356">
        <v>4</v>
      </c>
      <c r="W135" s="356">
        <v>8</v>
      </c>
      <c r="X135" s="356">
        <v>6</v>
      </c>
      <c r="Y135" s="356">
        <v>6</v>
      </c>
      <c r="Z135" s="356">
        <v>11</v>
      </c>
      <c r="AA135" s="356">
        <v>5</v>
      </c>
      <c r="AB135" s="356">
        <v>14</v>
      </c>
      <c r="AC135" s="356">
        <v>3</v>
      </c>
      <c r="AD135" s="356">
        <v>6</v>
      </c>
      <c r="AE135" s="356">
        <v>15</v>
      </c>
      <c r="AF135" s="356">
        <v>9</v>
      </c>
      <c r="AG135" s="356">
        <v>11</v>
      </c>
      <c r="AH135" s="356">
        <v>7</v>
      </c>
      <c r="AI135" s="356">
        <v>13</v>
      </c>
      <c r="AJ135" s="356">
        <v>2</v>
      </c>
      <c r="AK135" s="356">
        <v>1</v>
      </c>
      <c r="AL135" s="356">
        <v>7</v>
      </c>
      <c r="AM135" s="356">
        <v>10</v>
      </c>
      <c r="AN135" s="356">
        <v>8</v>
      </c>
      <c r="AO135" s="356">
        <v>10</v>
      </c>
      <c r="AP135" s="356">
        <v>14</v>
      </c>
      <c r="AQ135" s="356">
        <v>11</v>
      </c>
      <c r="AR135" s="356">
        <v>6</v>
      </c>
      <c r="AS135" s="356">
        <v>8</v>
      </c>
      <c r="AT135" s="356">
        <v>15</v>
      </c>
      <c r="AU135" s="356">
        <v>9</v>
      </c>
      <c r="AV135" s="356">
        <v>1</v>
      </c>
      <c r="AW135" s="356">
        <v>11</v>
      </c>
      <c r="AX135" s="356">
        <v>14</v>
      </c>
      <c r="AY135" s="356">
        <v>15</v>
      </c>
      <c r="AZ135" s="356">
        <v>6</v>
      </c>
      <c r="BA135" s="356">
        <v>14</v>
      </c>
      <c r="BB135" s="356">
        <v>0</v>
      </c>
      <c r="BD135" s="353">
        <f t="shared" si="4"/>
        <v>84</v>
      </c>
      <c r="BE135" s="353">
        <f t="shared" si="5"/>
        <v>101</v>
      </c>
      <c r="BF135" s="353">
        <f t="shared" si="6"/>
        <v>98</v>
      </c>
      <c r="BG135" s="353">
        <f t="shared" si="7"/>
        <v>90</v>
      </c>
    </row>
    <row r="136" spans="2:59">
      <c r="B136" s="354">
        <v>128</v>
      </c>
      <c r="C136" s="743" t="s">
        <v>578</v>
      </c>
      <c r="D136" s="744" t="s">
        <v>578</v>
      </c>
      <c r="E136" s="744" t="s">
        <v>578</v>
      </c>
      <c r="F136" s="357">
        <v>1099370028</v>
      </c>
      <c r="G136" s="356">
        <v>6</v>
      </c>
      <c r="H136" s="356">
        <v>15</v>
      </c>
      <c r="I136" s="356">
        <v>10</v>
      </c>
      <c r="J136" s="356">
        <v>8</v>
      </c>
      <c r="K136" s="356">
        <v>14</v>
      </c>
      <c r="L136" s="356">
        <v>5</v>
      </c>
      <c r="M136" s="356">
        <v>0</v>
      </c>
      <c r="N136" s="356">
        <v>15</v>
      </c>
      <c r="O136" s="356">
        <v>5</v>
      </c>
      <c r="P136" s="356">
        <v>10</v>
      </c>
      <c r="Q136" s="356">
        <v>9</v>
      </c>
      <c r="R136" s="356">
        <v>10</v>
      </c>
      <c r="S136" s="356">
        <v>15</v>
      </c>
      <c r="T136" s="356">
        <v>2</v>
      </c>
      <c r="U136" s="356">
        <v>0</v>
      </c>
      <c r="V136" s="356">
        <v>13</v>
      </c>
      <c r="W136" s="356">
        <v>15</v>
      </c>
      <c r="X136" s="356">
        <v>1</v>
      </c>
      <c r="Y136" s="356">
        <v>9</v>
      </c>
      <c r="Z136" s="356">
        <v>6</v>
      </c>
      <c r="AA136" s="356">
        <v>7</v>
      </c>
      <c r="AB136" s="356">
        <v>10</v>
      </c>
      <c r="AC136" s="356">
        <v>15</v>
      </c>
      <c r="AD136" s="356">
        <v>10</v>
      </c>
      <c r="AE136" s="356">
        <v>8</v>
      </c>
      <c r="AF136" s="356">
        <v>9</v>
      </c>
      <c r="AG136" s="356">
        <v>12</v>
      </c>
      <c r="AH136" s="356">
        <v>11</v>
      </c>
      <c r="AI136" s="356">
        <v>3</v>
      </c>
      <c r="AJ136" s="356">
        <v>12</v>
      </c>
      <c r="AK136" s="356">
        <v>7</v>
      </c>
      <c r="AL136" s="356">
        <v>1</v>
      </c>
      <c r="AM136" s="356">
        <v>4</v>
      </c>
      <c r="AN136" s="356">
        <v>1</v>
      </c>
      <c r="AO136" s="356">
        <v>9</v>
      </c>
      <c r="AP136" s="356">
        <v>10</v>
      </c>
      <c r="AQ136" s="356">
        <v>1</v>
      </c>
      <c r="AR136" s="356">
        <v>7</v>
      </c>
      <c r="AS136" s="356">
        <v>4</v>
      </c>
      <c r="AT136" s="356">
        <v>7</v>
      </c>
      <c r="AU136" s="356">
        <v>13</v>
      </c>
      <c r="AV136" s="356">
        <v>13</v>
      </c>
      <c r="AW136" s="356">
        <v>15</v>
      </c>
      <c r="AX136" s="356">
        <v>5</v>
      </c>
      <c r="AY136" s="356">
        <v>5</v>
      </c>
      <c r="AZ136" s="356">
        <v>11</v>
      </c>
      <c r="BA136" s="356">
        <v>14</v>
      </c>
      <c r="BB136" s="356">
        <v>2</v>
      </c>
      <c r="BD136" s="353">
        <f t="shared" si="4"/>
        <v>90</v>
      </c>
      <c r="BE136" s="353">
        <f t="shared" si="5"/>
        <v>96</v>
      </c>
      <c r="BF136" s="353">
        <f t="shared" si="6"/>
        <v>104</v>
      </c>
      <c r="BG136" s="353">
        <f t="shared" si="7"/>
        <v>90</v>
      </c>
    </row>
    <row r="137" spans="2:59">
      <c r="B137" s="354">
        <v>129</v>
      </c>
      <c r="C137" s="743" t="s">
        <v>577</v>
      </c>
      <c r="D137" s="744" t="s">
        <v>577</v>
      </c>
      <c r="E137" s="744" t="s">
        <v>577</v>
      </c>
      <c r="F137" s="357">
        <v>1007468585</v>
      </c>
      <c r="G137" s="356">
        <v>12</v>
      </c>
      <c r="H137" s="356">
        <v>4</v>
      </c>
      <c r="I137" s="356">
        <v>3</v>
      </c>
      <c r="J137" s="356">
        <v>11</v>
      </c>
      <c r="K137" s="356">
        <v>0</v>
      </c>
      <c r="L137" s="356">
        <v>5</v>
      </c>
      <c r="M137" s="356">
        <v>6</v>
      </c>
      <c r="N137" s="356">
        <v>9</v>
      </c>
      <c r="O137" s="356">
        <v>11</v>
      </c>
      <c r="P137" s="356">
        <v>11</v>
      </c>
      <c r="Q137" s="356">
        <v>5</v>
      </c>
      <c r="R137" s="356">
        <v>2</v>
      </c>
      <c r="S137" s="356">
        <v>2</v>
      </c>
      <c r="T137" s="356">
        <v>5</v>
      </c>
      <c r="U137" s="356">
        <v>10</v>
      </c>
      <c r="V137" s="356">
        <v>14</v>
      </c>
      <c r="W137" s="356">
        <v>3</v>
      </c>
      <c r="X137" s="356">
        <v>3</v>
      </c>
      <c r="Y137" s="356">
        <v>3</v>
      </c>
      <c r="Z137" s="356">
        <v>12</v>
      </c>
      <c r="AA137" s="356">
        <v>6</v>
      </c>
      <c r="AB137" s="356">
        <v>0</v>
      </c>
      <c r="AC137" s="356">
        <v>7</v>
      </c>
      <c r="AD137" s="356">
        <v>9</v>
      </c>
      <c r="AE137" s="356">
        <v>3</v>
      </c>
      <c r="AF137" s="356">
        <v>8</v>
      </c>
      <c r="AG137" s="356">
        <v>10</v>
      </c>
      <c r="AH137" s="356">
        <v>0</v>
      </c>
      <c r="AI137" s="356">
        <v>14</v>
      </c>
      <c r="AJ137" s="356">
        <v>1</v>
      </c>
      <c r="AK137" s="356">
        <v>7</v>
      </c>
      <c r="AL137" s="356">
        <v>15</v>
      </c>
      <c r="AM137" s="356">
        <v>15</v>
      </c>
      <c r="AN137" s="356">
        <v>14</v>
      </c>
      <c r="AO137" s="356">
        <v>11</v>
      </c>
      <c r="AP137" s="356">
        <v>2</v>
      </c>
      <c r="AQ137" s="356">
        <v>15</v>
      </c>
      <c r="AR137" s="356">
        <v>3</v>
      </c>
      <c r="AS137" s="356">
        <v>7</v>
      </c>
      <c r="AT137" s="356">
        <v>6</v>
      </c>
      <c r="AU137" s="356">
        <v>12</v>
      </c>
      <c r="AV137" s="356">
        <v>5</v>
      </c>
      <c r="AW137" s="356">
        <v>13</v>
      </c>
      <c r="AX137" s="356">
        <v>6</v>
      </c>
      <c r="AY137" s="356">
        <v>11</v>
      </c>
      <c r="AZ137" s="356">
        <v>7</v>
      </c>
      <c r="BA137" s="356">
        <v>11</v>
      </c>
      <c r="BB137" s="356">
        <v>15</v>
      </c>
      <c r="BD137" s="353">
        <f t="shared" ref="BD137:BD200" si="8">SUMIF($G$8:$BB$8,"PREMIUM",E137:AZ137)</f>
        <v>82</v>
      </c>
      <c r="BE137" s="353">
        <f t="shared" ref="BE137:BE200" si="9">SUMIF($G$8:$BB$8,"SILVER",F137:BA137)</f>
        <v>104</v>
      </c>
      <c r="BF137" s="353">
        <f t="shared" ref="BF137:BF200" si="10">SUMIF($G$8:$BB$8,"GOLD",G137:BB137)</f>
        <v>93</v>
      </c>
      <c r="BG137" s="353">
        <f t="shared" ref="BG137:BG200" si="11">SUMIF($G$8:$BB$8,"DELUXE",H137:BC137)</f>
        <v>92</v>
      </c>
    </row>
    <row r="138" spans="2:59">
      <c r="B138" s="354">
        <v>130</v>
      </c>
      <c r="C138" s="743" t="s">
        <v>576</v>
      </c>
      <c r="D138" s="744" t="s">
        <v>576</v>
      </c>
      <c r="E138" s="744" t="s">
        <v>576</v>
      </c>
      <c r="F138" s="357">
        <v>1128188413</v>
      </c>
      <c r="G138" s="356">
        <v>5</v>
      </c>
      <c r="H138" s="356">
        <v>11</v>
      </c>
      <c r="I138" s="356">
        <v>7</v>
      </c>
      <c r="J138" s="356">
        <v>3</v>
      </c>
      <c r="K138" s="356">
        <v>5</v>
      </c>
      <c r="L138" s="356">
        <v>13</v>
      </c>
      <c r="M138" s="356">
        <v>11</v>
      </c>
      <c r="N138" s="356">
        <v>10</v>
      </c>
      <c r="O138" s="356">
        <v>13</v>
      </c>
      <c r="P138" s="356">
        <v>6</v>
      </c>
      <c r="Q138" s="356">
        <v>8</v>
      </c>
      <c r="R138" s="356">
        <v>14</v>
      </c>
      <c r="S138" s="356">
        <v>14</v>
      </c>
      <c r="T138" s="356">
        <v>15</v>
      </c>
      <c r="U138" s="356">
        <v>14</v>
      </c>
      <c r="V138" s="356">
        <v>1</v>
      </c>
      <c r="W138" s="356">
        <v>3</v>
      </c>
      <c r="X138" s="356">
        <v>10</v>
      </c>
      <c r="Y138" s="356">
        <v>3</v>
      </c>
      <c r="Z138" s="356">
        <v>3</v>
      </c>
      <c r="AA138" s="356">
        <v>12</v>
      </c>
      <c r="AB138" s="356">
        <v>8</v>
      </c>
      <c r="AC138" s="356">
        <v>5</v>
      </c>
      <c r="AD138" s="356">
        <v>1</v>
      </c>
      <c r="AE138" s="356">
        <v>6</v>
      </c>
      <c r="AF138" s="356">
        <v>5</v>
      </c>
      <c r="AG138" s="356">
        <v>8</v>
      </c>
      <c r="AH138" s="356">
        <v>15</v>
      </c>
      <c r="AI138" s="356">
        <v>13</v>
      </c>
      <c r="AJ138" s="356">
        <v>7</v>
      </c>
      <c r="AK138" s="356">
        <v>10</v>
      </c>
      <c r="AL138" s="356">
        <v>1</v>
      </c>
      <c r="AM138" s="356">
        <v>7</v>
      </c>
      <c r="AN138" s="356">
        <v>2</v>
      </c>
      <c r="AO138" s="356">
        <v>12</v>
      </c>
      <c r="AP138" s="356">
        <v>7</v>
      </c>
      <c r="AQ138" s="356">
        <v>1</v>
      </c>
      <c r="AR138" s="356">
        <v>15</v>
      </c>
      <c r="AS138" s="356">
        <v>4</v>
      </c>
      <c r="AT138" s="356">
        <v>2</v>
      </c>
      <c r="AU138" s="356">
        <v>3</v>
      </c>
      <c r="AV138" s="356">
        <v>8</v>
      </c>
      <c r="AW138" s="356">
        <v>1</v>
      </c>
      <c r="AX138" s="356">
        <v>8</v>
      </c>
      <c r="AY138" s="356">
        <v>3</v>
      </c>
      <c r="AZ138" s="356">
        <v>0</v>
      </c>
      <c r="BA138" s="356">
        <v>13</v>
      </c>
      <c r="BB138" s="356">
        <v>7</v>
      </c>
      <c r="BD138" s="353">
        <f t="shared" si="8"/>
        <v>83</v>
      </c>
      <c r="BE138" s="353">
        <f t="shared" si="9"/>
        <v>85</v>
      </c>
      <c r="BF138" s="353">
        <f t="shared" si="10"/>
        <v>96</v>
      </c>
      <c r="BG138" s="353">
        <f t="shared" si="11"/>
        <v>80</v>
      </c>
    </row>
    <row r="139" spans="2:59">
      <c r="B139" s="354">
        <v>131</v>
      </c>
      <c r="C139" s="743" t="s">
        <v>575</v>
      </c>
      <c r="D139" s="744" t="s">
        <v>575</v>
      </c>
      <c r="E139" s="744" t="s">
        <v>575</v>
      </c>
      <c r="F139" s="357">
        <v>1152937276</v>
      </c>
      <c r="G139" s="356">
        <v>8</v>
      </c>
      <c r="H139" s="356">
        <v>11</v>
      </c>
      <c r="I139" s="356">
        <v>10</v>
      </c>
      <c r="J139" s="356">
        <v>1</v>
      </c>
      <c r="K139" s="356">
        <v>14</v>
      </c>
      <c r="L139" s="356">
        <v>4</v>
      </c>
      <c r="M139" s="356">
        <v>4</v>
      </c>
      <c r="N139" s="356">
        <v>11</v>
      </c>
      <c r="O139" s="356">
        <v>7</v>
      </c>
      <c r="P139" s="356">
        <v>10</v>
      </c>
      <c r="Q139" s="356">
        <v>12</v>
      </c>
      <c r="R139" s="356">
        <v>2</v>
      </c>
      <c r="S139" s="356">
        <v>14</v>
      </c>
      <c r="T139" s="356">
        <v>3</v>
      </c>
      <c r="U139" s="356">
        <v>8</v>
      </c>
      <c r="V139" s="356">
        <v>8</v>
      </c>
      <c r="W139" s="356">
        <v>4</v>
      </c>
      <c r="X139" s="356">
        <v>13</v>
      </c>
      <c r="Y139" s="356">
        <v>6</v>
      </c>
      <c r="Z139" s="356">
        <v>0</v>
      </c>
      <c r="AA139" s="356">
        <v>13</v>
      </c>
      <c r="AB139" s="356">
        <v>1</v>
      </c>
      <c r="AC139" s="356">
        <v>11</v>
      </c>
      <c r="AD139" s="356">
        <v>12</v>
      </c>
      <c r="AE139" s="356">
        <v>5</v>
      </c>
      <c r="AF139" s="356">
        <v>3</v>
      </c>
      <c r="AG139" s="356">
        <v>9</v>
      </c>
      <c r="AH139" s="356">
        <v>3</v>
      </c>
      <c r="AI139" s="356">
        <v>11</v>
      </c>
      <c r="AJ139" s="356">
        <v>3</v>
      </c>
      <c r="AK139" s="356">
        <v>1</v>
      </c>
      <c r="AL139" s="356">
        <v>7</v>
      </c>
      <c r="AM139" s="356">
        <v>11</v>
      </c>
      <c r="AN139" s="356">
        <v>4</v>
      </c>
      <c r="AO139" s="356">
        <v>0</v>
      </c>
      <c r="AP139" s="356">
        <v>13</v>
      </c>
      <c r="AQ139" s="356">
        <v>11</v>
      </c>
      <c r="AR139" s="356">
        <v>3</v>
      </c>
      <c r="AS139" s="356">
        <v>9</v>
      </c>
      <c r="AT139" s="356">
        <v>12</v>
      </c>
      <c r="AU139" s="356">
        <v>0</v>
      </c>
      <c r="AV139" s="356">
        <v>7</v>
      </c>
      <c r="AW139" s="356">
        <v>2</v>
      </c>
      <c r="AX139" s="356">
        <v>4</v>
      </c>
      <c r="AY139" s="356">
        <v>14</v>
      </c>
      <c r="AZ139" s="356">
        <v>0</v>
      </c>
      <c r="BA139" s="356">
        <v>10</v>
      </c>
      <c r="BB139" s="356">
        <v>0</v>
      </c>
      <c r="BD139" s="353">
        <f t="shared" si="8"/>
        <v>72</v>
      </c>
      <c r="BE139" s="353">
        <f t="shared" si="9"/>
        <v>112</v>
      </c>
      <c r="BF139" s="353">
        <f t="shared" si="10"/>
        <v>82</v>
      </c>
      <c r="BG139" s="353">
        <f t="shared" si="11"/>
        <v>104</v>
      </c>
    </row>
    <row r="140" spans="2:59">
      <c r="B140" s="354">
        <v>132</v>
      </c>
      <c r="C140" s="743" t="s">
        <v>574</v>
      </c>
      <c r="D140" s="744" t="s">
        <v>574</v>
      </c>
      <c r="E140" s="744" t="s">
        <v>574</v>
      </c>
      <c r="F140" s="357">
        <v>37875614</v>
      </c>
      <c r="G140" s="356">
        <v>9</v>
      </c>
      <c r="H140" s="356">
        <v>6</v>
      </c>
      <c r="I140" s="356">
        <v>9</v>
      </c>
      <c r="J140" s="356">
        <v>6</v>
      </c>
      <c r="K140" s="356">
        <v>4</v>
      </c>
      <c r="L140" s="356">
        <v>11</v>
      </c>
      <c r="M140" s="356">
        <v>13</v>
      </c>
      <c r="N140" s="356">
        <v>7</v>
      </c>
      <c r="O140" s="356">
        <v>2</v>
      </c>
      <c r="P140" s="356">
        <v>10</v>
      </c>
      <c r="Q140" s="356">
        <v>1</v>
      </c>
      <c r="R140" s="356">
        <v>3</v>
      </c>
      <c r="S140" s="356">
        <v>1</v>
      </c>
      <c r="T140" s="356">
        <v>10</v>
      </c>
      <c r="U140" s="356">
        <v>6</v>
      </c>
      <c r="V140" s="356">
        <v>3</v>
      </c>
      <c r="W140" s="356">
        <v>13</v>
      </c>
      <c r="X140" s="356">
        <v>11</v>
      </c>
      <c r="Y140" s="356">
        <v>7</v>
      </c>
      <c r="Z140" s="356">
        <v>4</v>
      </c>
      <c r="AA140" s="356">
        <v>4</v>
      </c>
      <c r="AB140" s="356">
        <v>11</v>
      </c>
      <c r="AC140" s="356">
        <v>2</v>
      </c>
      <c r="AD140" s="356">
        <v>10</v>
      </c>
      <c r="AE140" s="356">
        <v>3</v>
      </c>
      <c r="AF140" s="356">
        <v>2</v>
      </c>
      <c r="AG140" s="356">
        <v>11</v>
      </c>
      <c r="AH140" s="356">
        <v>13</v>
      </c>
      <c r="AI140" s="356">
        <v>9</v>
      </c>
      <c r="AJ140" s="356">
        <v>14</v>
      </c>
      <c r="AK140" s="356">
        <v>1</v>
      </c>
      <c r="AL140" s="356">
        <v>14</v>
      </c>
      <c r="AM140" s="356">
        <v>1</v>
      </c>
      <c r="AN140" s="356">
        <v>7</v>
      </c>
      <c r="AO140" s="356">
        <v>4</v>
      </c>
      <c r="AP140" s="356">
        <v>15</v>
      </c>
      <c r="AQ140" s="356">
        <v>6</v>
      </c>
      <c r="AR140" s="356">
        <v>6</v>
      </c>
      <c r="AS140" s="356">
        <v>12</v>
      </c>
      <c r="AT140" s="356">
        <v>9</v>
      </c>
      <c r="AU140" s="356">
        <v>0</v>
      </c>
      <c r="AV140" s="356">
        <v>9</v>
      </c>
      <c r="AW140" s="356">
        <v>14</v>
      </c>
      <c r="AX140" s="356">
        <v>4</v>
      </c>
      <c r="AY140" s="356">
        <v>1</v>
      </c>
      <c r="AZ140" s="356">
        <v>8</v>
      </c>
      <c r="BA140" s="356">
        <v>10</v>
      </c>
      <c r="BB140" s="356">
        <v>0</v>
      </c>
      <c r="BD140" s="353">
        <f t="shared" si="8"/>
        <v>80</v>
      </c>
      <c r="BE140" s="353">
        <f t="shared" si="9"/>
        <v>53</v>
      </c>
      <c r="BF140" s="353">
        <f t="shared" si="10"/>
        <v>90</v>
      </c>
      <c r="BG140" s="353">
        <f t="shared" si="11"/>
        <v>44</v>
      </c>
    </row>
    <row r="141" spans="2:59">
      <c r="B141" s="354">
        <v>133</v>
      </c>
      <c r="C141" s="743" t="s">
        <v>573</v>
      </c>
      <c r="D141" s="744" t="s">
        <v>573</v>
      </c>
      <c r="E141" s="744" t="s">
        <v>573</v>
      </c>
      <c r="F141" s="357">
        <v>91000067</v>
      </c>
      <c r="G141" s="356">
        <v>13</v>
      </c>
      <c r="H141" s="356">
        <v>15</v>
      </c>
      <c r="I141" s="356">
        <v>9</v>
      </c>
      <c r="J141" s="356">
        <v>14</v>
      </c>
      <c r="K141" s="356">
        <v>7</v>
      </c>
      <c r="L141" s="356">
        <v>4</v>
      </c>
      <c r="M141" s="356">
        <v>10</v>
      </c>
      <c r="N141" s="356">
        <v>11</v>
      </c>
      <c r="O141" s="356">
        <v>8</v>
      </c>
      <c r="P141" s="356">
        <v>6</v>
      </c>
      <c r="Q141" s="356">
        <v>6</v>
      </c>
      <c r="R141" s="356">
        <v>13</v>
      </c>
      <c r="S141" s="356">
        <v>6</v>
      </c>
      <c r="T141" s="356">
        <v>4</v>
      </c>
      <c r="U141" s="356">
        <v>10</v>
      </c>
      <c r="V141" s="356">
        <v>7</v>
      </c>
      <c r="W141" s="356">
        <v>11</v>
      </c>
      <c r="X141" s="356">
        <v>3</v>
      </c>
      <c r="Y141" s="356">
        <v>13</v>
      </c>
      <c r="Z141" s="356">
        <v>7</v>
      </c>
      <c r="AA141" s="356">
        <v>1</v>
      </c>
      <c r="AB141" s="356">
        <v>9</v>
      </c>
      <c r="AC141" s="356">
        <v>5</v>
      </c>
      <c r="AD141" s="356">
        <v>2</v>
      </c>
      <c r="AE141" s="356">
        <v>4</v>
      </c>
      <c r="AF141" s="356">
        <v>10</v>
      </c>
      <c r="AG141" s="356">
        <v>3</v>
      </c>
      <c r="AH141" s="356">
        <v>1</v>
      </c>
      <c r="AI141" s="356">
        <v>10</v>
      </c>
      <c r="AJ141" s="356">
        <v>12</v>
      </c>
      <c r="AK141" s="356">
        <v>14</v>
      </c>
      <c r="AL141" s="356">
        <v>7</v>
      </c>
      <c r="AM141" s="356">
        <v>1</v>
      </c>
      <c r="AN141" s="356">
        <v>1</v>
      </c>
      <c r="AO141" s="356">
        <v>6</v>
      </c>
      <c r="AP141" s="356">
        <v>13</v>
      </c>
      <c r="AQ141" s="356">
        <v>6</v>
      </c>
      <c r="AR141" s="356">
        <v>8</v>
      </c>
      <c r="AS141" s="356">
        <v>8</v>
      </c>
      <c r="AT141" s="356">
        <v>6</v>
      </c>
      <c r="AU141" s="356">
        <v>4</v>
      </c>
      <c r="AV141" s="356">
        <v>10</v>
      </c>
      <c r="AW141" s="356">
        <v>13</v>
      </c>
      <c r="AX141" s="356">
        <v>8</v>
      </c>
      <c r="AY141" s="356">
        <v>12</v>
      </c>
      <c r="AZ141" s="356">
        <v>9</v>
      </c>
      <c r="BA141" s="356">
        <v>6</v>
      </c>
      <c r="BB141" s="356">
        <v>1</v>
      </c>
      <c r="BD141" s="353">
        <f t="shared" si="8"/>
        <v>97</v>
      </c>
      <c r="BE141" s="353">
        <f t="shared" si="9"/>
        <v>83</v>
      </c>
      <c r="BF141" s="353">
        <f t="shared" si="10"/>
        <v>103</v>
      </c>
      <c r="BG141" s="353">
        <f t="shared" si="11"/>
        <v>70</v>
      </c>
    </row>
    <row r="142" spans="2:59">
      <c r="B142" s="354">
        <v>134</v>
      </c>
      <c r="C142" s="743" t="s">
        <v>572</v>
      </c>
      <c r="D142" s="744" t="s">
        <v>572</v>
      </c>
      <c r="E142" s="744" t="s">
        <v>572</v>
      </c>
      <c r="F142" s="357">
        <v>28220793</v>
      </c>
      <c r="G142" s="356">
        <v>11</v>
      </c>
      <c r="H142" s="356">
        <v>15</v>
      </c>
      <c r="I142" s="356">
        <v>15</v>
      </c>
      <c r="J142" s="356">
        <v>11</v>
      </c>
      <c r="K142" s="356">
        <v>5</v>
      </c>
      <c r="L142" s="356">
        <v>11</v>
      </c>
      <c r="M142" s="356">
        <v>7</v>
      </c>
      <c r="N142" s="356">
        <v>0</v>
      </c>
      <c r="O142" s="356">
        <v>3</v>
      </c>
      <c r="P142" s="356">
        <v>4</v>
      </c>
      <c r="Q142" s="356">
        <v>9</v>
      </c>
      <c r="R142" s="356">
        <v>7</v>
      </c>
      <c r="S142" s="356">
        <v>11</v>
      </c>
      <c r="T142" s="356">
        <v>5</v>
      </c>
      <c r="U142" s="356">
        <v>1</v>
      </c>
      <c r="V142" s="356">
        <v>1</v>
      </c>
      <c r="W142" s="356">
        <v>3</v>
      </c>
      <c r="X142" s="356">
        <v>5</v>
      </c>
      <c r="Y142" s="356">
        <v>0</v>
      </c>
      <c r="Z142" s="356">
        <v>3</v>
      </c>
      <c r="AA142" s="356">
        <v>7</v>
      </c>
      <c r="AB142" s="356">
        <v>3</v>
      </c>
      <c r="AC142" s="356">
        <v>3</v>
      </c>
      <c r="AD142" s="356">
        <v>6</v>
      </c>
      <c r="AE142" s="356">
        <v>12</v>
      </c>
      <c r="AF142" s="356">
        <v>3</v>
      </c>
      <c r="AG142" s="356">
        <v>4</v>
      </c>
      <c r="AH142" s="356">
        <v>8</v>
      </c>
      <c r="AI142" s="356">
        <v>13</v>
      </c>
      <c r="AJ142" s="356">
        <v>13</v>
      </c>
      <c r="AK142" s="356">
        <v>6</v>
      </c>
      <c r="AL142" s="356">
        <v>2</v>
      </c>
      <c r="AM142" s="356">
        <v>5</v>
      </c>
      <c r="AN142" s="356">
        <v>13</v>
      </c>
      <c r="AO142" s="356">
        <v>3</v>
      </c>
      <c r="AP142" s="356">
        <v>6</v>
      </c>
      <c r="AQ142" s="356">
        <v>7</v>
      </c>
      <c r="AR142" s="356">
        <v>4</v>
      </c>
      <c r="AS142" s="356">
        <v>12</v>
      </c>
      <c r="AT142" s="356">
        <v>10</v>
      </c>
      <c r="AU142" s="356">
        <v>9</v>
      </c>
      <c r="AV142" s="356">
        <v>1</v>
      </c>
      <c r="AW142" s="356">
        <v>14</v>
      </c>
      <c r="AX142" s="356">
        <v>5</v>
      </c>
      <c r="AY142" s="356">
        <v>2</v>
      </c>
      <c r="AZ142" s="356">
        <v>6</v>
      </c>
      <c r="BA142" s="356">
        <v>10</v>
      </c>
      <c r="BB142" s="356">
        <v>0</v>
      </c>
      <c r="BD142" s="353">
        <f t="shared" si="8"/>
        <v>74</v>
      </c>
      <c r="BE142" s="353">
        <f t="shared" si="9"/>
        <v>88</v>
      </c>
      <c r="BF142" s="353">
        <f t="shared" si="10"/>
        <v>84</v>
      </c>
      <c r="BG142" s="353">
        <f t="shared" si="11"/>
        <v>77</v>
      </c>
    </row>
    <row r="143" spans="2:59">
      <c r="B143" s="354">
        <v>135</v>
      </c>
      <c r="C143" s="743" t="s">
        <v>571</v>
      </c>
      <c r="D143" s="744" t="s">
        <v>571</v>
      </c>
      <c r="E143" s="744" t="s">
        <v>571</v>
      </c>
      <c r="F143" s="357">
        <v>5670617</v>
      </c>
      <c r="G143" s="356">
        <v>8</v>
      </c>
      <c r="H143" s="356">
        <v>13</v>
      </c>
      <c r="I143" s="356">
        <v>3</v>
      </c>
      <c r="J143" s="356">
        <v>14</v>
      </c>
      <c r="K143" s="356">
        <v>8</v>
      </c>
      <c r="L143" s="356">
        <v>14</v>
      </c>
      <c r="M143" s="356">
        <v>2</v>
      </c>
      <c r="N143" s="356">
        <v>1</v>
      </c>
      <c r="O143" s="356">
        <v>4</v>
      </c>
      <c r="P143" s="356">
        <v>13</v>
      </c>
      <c r="Q143" s="356">
        <v>3</v>
      </c>
      <c r="R143" s="356">
        <v>15</v>
      </c>
      <c r="S143" s="356">
        <v>2</v>
      </c>
      <c r="T143" s="356">
        <v>1</v>
      </c>
      <c r="U143" s="356">
        <v>15</v>
      </c>
      <c r="V143" s="356">
        <v>11</v>
      </c>
      <c r="W143" s="356">
        <v>1</v>
      </c>
      <c r="X143" s="356">
        <v>10</v>
      </c>
      <c r="Y143" s="356">
        <v>4</v>
      </c>
      <c r="Z143" s="356">
        <v>14</v>
      </c>
      <c r="AA143" s="356">
        <v>0</v>
      </c>
      <c r="AB143" s="356">
        <v>2</v>
      </c>
      <c r="AC143" s="356">
        <v>12</v>
      </c>
      <c r="AD143" s="356">
        <v>13</v>
      </c>
      <c r="AE143" s="356">
        <v>0</v>
      </c>
      <c r="AF143" s="356">
        <v>13</v>
      </c>
      <c r="AG143" s="356">
        <v>11</v>
      </c>
      <c r="AH143" s="356">
        <v>6</v>
      </c>
      <c r="AI143" s="356">
        <v>9</v>
      </c>
      <c r="AJ143" s="356">
        <v>7</v>
      </c>
      <c r="AK143" s="356">
        <v>13</v>
      </c>
      <c r="AL143" s="356">
        <v>8</v>
      </c>
      <c r="AM143" s="356">
        <v>0</v>
      </c>
      <c r="AN143" s="356">
        <v>9</v>
      </c>
      <c r="AO143" s="356">
        <v>9</v>
      </c>
      <c r="AP143" s="356">
        <v>15</v>
      </c>
      <c r="AQ143" s="356">
        <v>14</v>
      </c>
      <c r="AR143" s="356">
        <v>6</v>
      </c>
      <c r="AS143" s="356">
        <v>11</v>
      </c>
      <c r="AT143" s="356">
        <v>10</v>
      </c>
      <c r="AU143" s="356">
        <v>1</v>
      </c>
      <c r="AV143" s="356">
        <v>7</v>
      </c>
      <c r="AW143" s="356">
        <v>3</v>
      </c>
      <c r="AX143" s="356">
        <v>1</v>
      </c>
      <c r="AY143" s="356">
        <v>12</v>
      </c>
      <c r="AZ143" s="356">
        <v>6</v>
      </c>
      <c r="BA143" s="356">
        <v>11</v>
      </c>
      <c r="BB143" s="356">
        <v>12</v>
      </c>
      <c r="BD143" s="353">
        <f t="shared" si="8"/>
        <v>86</v>
      </c>
      <c r="BE143" s="353">
        <f t="shared" si="9"/>
        <v>59</v>
      </c>
      <c r="BF143" s="353">
        <f t="shared" si="10"/>
        <v>97</v>
      </c>
      <c r="BG143" s="353">
        <f t="shared" si="11"/>
        <v>51</v>
      </c>
    </row>
    <row r="144" spans="2:59">
      <c r="B144" s="354">
        <v>136</v>
      </c>
      <c r="C144" s="743" t="s">
        <v>570</v>
      </c>
      <c r="D144" s="744" t="s">
        <v>570</v>
      </c>
      <c r="E144" s="744" t="s">
        <v>570</v>
      </c>
      <c r="F144" s="357">
        <v>1099370291</v>
      </c>
      <c r="G144" s="356">
        <v>13</v>
      </c>
      <c r="H144" s="356">
        <v>3</v>
      </c>
      <c r="I144" s="356">
        <v>15</v>
      </c>
      <c r="J144" s="356">
        <v>12</v>
      </c>
      <c r="K144" s="356">
        <v>12</v>
      </c>
      <c r="L144" s="356">
        <v>4</v>
      </c>
      <c r="M144" s="356">
        <v>15</v>
      </c>
      <c r="N144" s="356">
        <v>14</v>
      </c>
      <c r="O144" s="356">
        <v>2</v>
      </c>
      <c r="P144" s="356">
        <v>11</v>
      </c>
      <c r="Q144" s="356">
        <v>15</v>
      </c>
      <c r="R144" s="356">
        <v>3</v>
      </c>
      <c r="S144" s="356">
        <v>5</v>
      </c>
      <c r="T144" s="356">
        <v>4</v>
      </c>
      <c r="U144" s="356">
        <v>3</v>
      </c>
      <c r="V144" s="356">
        <v>13</v>
      </c>
      <c r="W144" s="356">
        <v>12</v>
      </c>
      <c r="X144" s="356">
        <v>2</v>
      </c>
      <c r="Y144" s="356">
        <v>4</v>
      </c>
      <c r="Z144" s="356">
        <v>14</v>
      </c>
      <c r="AA144" s="356">
        <v>0</v>
      </c>
      <c r="AB144" s="356">
        <v>7</v>
      </c>
      <c r="AC144" s="356">
        <v>6</v>
      </c>
      <c r="AD144" s="356">
        <v>2</v>
      </c>
      <c r="AE144" s="356">
        <v>12</v>
      </c>
      <c r="AF144" s="356">
        <v>8</v>
      </c>
      <c r="AG144" s="356">
        <v>2</v>
      </c>
      <c r="AH144" s="356">
        <v>0</v>
      </c>
      <c r="AI144" s="356">
        <v>4</v>
      </c>
      <c r="AJ144" s="356">
        <v>13</v>
      </c>
      <c r="AK144" s="356">
        <v>14</v>
      </c>
      <c r="AL144" s="356">
        <v>11</v>
      </c>
      <c r="AM144" s="356">
        <v>8</v>
      </c>
      <c r="AN144" s="356">
        <v>4</v>
      </c>
      <c r="AO144" s="356">
        <v>15</v>
      </c>
      <c r="AP144" s="356">
        <v>12</v>
      </c>
      <c r="AQ144" s="356">
        <v>8</v>
      </c>
      <c r="AR144" s="356">
        <v>2</v>
      </c>
      <c r="AS144" s="356">
        <v>12</v>
      </c>
      <c r="AT144" s="356">
        <v>1</v>
      </c>
      <c r="AU144" s="356">
        <v>3</v>
      </c>
      <c r="AV144" s="356">
        <v>4</v>
      </c>
      <c r="AW144" s="356">
        <v>11</v>
      </c>
      <c r="AX144" s="356">
        <v>11</v>
      </c>
      <c r="AY144" s="356">
        <v>5</v>
      </c>
      <c r="AZ144" s="356">
        <v>13</v>
      </c>
      <c r="BA144" s="356">
        <v>5</v>
      </c>
      <c r="BB144" s="356">
        <v>0</v>
      </c>
      <c r="BD144" s="353">
        <f t="shared" si="8"/>
        <v>112</v>
      </c>
      <c r="BE144" s="353">
        <f t="shared" si="9"/>
        <v>84</v>
      </c>
      <c r="BF144" s="353">
        <f t="shared" si="10"/>
        <v>117</v>
      </c>
      <c r="BG144" s="353">
        <f t="shared" si="11"/>
        <v>71</v>
      </c>
    </row>
    <row r="145" spans="2:59">
      <c r="B145" s="354">
        <v>137</v>
      </c>
      <c r="C145" s="743" t="s">
        <v>569</v>
      </c>
      <c r="D145" s="744" t="s">
        <v>569</v>
      </c>
      <c r="E145" s="744" t="s">
        <v>569</v>
      </c>
      <c r="F145" s="357">
        <v>1099370273</v>
      </c>
      <c r="G145" s="356">
        <v>14</v>
      </c>
      <c r="H145" s="356">
        <v>14</v>
      </c>
      <c r="I145" s="356">
        <v>12</v>
      </c>
      <c r="J145" s="356">
        <v>11</v>
      </c>
      <c r="K145" s="356">
        <v>12</v>
      </c>
      <c r="L145" s="356">
        <v>2</v>
      </c>
      <c r="M145" s="356">
        <v>14</v>
      </c>
      <c r="N145" s="356">
        <v>7</v>
      </c>
      <c r="O145" s="356">
        <v>0</v>
      </c>
      <c r="P145" s="356">
        <v>13</v>
      </c>
      <c r="Q145" s="356">
        <v>7</v>
      </c>
      <c r="R145" s="356">
        <v>0</v>
      </c>
      <c r="S145" s="356">
        <v>14</v>
      </c>
      <c r="T145" s="356">
        <v>10</v>
      </c>
      <c r="U145" s="356">
        <v>1</v>
      </c>
      <c r="V145" s="356">
        <v>12</v>
      </c>
      <c r="W145" s="356">
        <v>6</v>
      </c>
      <c r="X145" s="356">
        <v>7</v>
      </c>
      <c r="Y145" s="356">
        <v>3</v>
      </c>
      <c r="Z145" s="356">
        <v>8</v>
      </c>
      <c r="AA145" s="356">
        <v>3</v>
      </c>
      <c r="AB145" s="356">
        <v>7</v>
      </c>
      <c r="AC145" s="356">
        <v>7</v>
      </c>
      <c r="AD145" s="356">
        <v>5</v>
      </c>
      <c r="AE145" s="356">
        <v>14</v>
      </c>
      <c r="AF145" s="356">
        <v>9</v>
      </c>
      <c r="AG145" s="356">
        <v>14</v>
      </c>
      <c r="AH145" s="356">
        <v>2</v>
      </c>
      <c r="AI145" s="356">
        <v>5</v>
      </c>
      <c r="AJ145" s="356">
        <v>8</v>
      </c>
      <c r="AK145" s="356">
        <v>13</v>
      </c>
      <c r="AL145" s="356">
        <v>0</v>
      </c>
      <c r="AM145" s="356">
        <v>9</v>
      </c>
      <c r="AN145" s="356">
        <v>4</v>
      </c>
      <c r="AO145" s="356">
        <v>6</v>
      </c>
      <c r="AP145" s="356">
        <v>3</v>
      </c>
      <c r="AQ145" s="356">
        <v>1</v>
      </c>
      <c r="AR145" s="356">
        <v>3</v>
      </c>
      <c r="AS145" s="356">
        <v>2</v>
      </c>
      <c r="AT145" s="356">
        <v>0</v>
      </c>
      <c r="AU145" s="356">
        <v>5</v>
      </c>
      <c r="AV145" s="356">
        <v>6</v>
      </c>
      <c r="AW145" s="356">
        <v>0</v>
      </c>
      <c r="AX145" s="356">
        <v>8</v>
      </c>
      <c r="AY145" s="356">
        <v>0</v>
      </c>
      <c r="AZ145" s="356">
        <v>6</v>
      </c>
      <c r="BA145" s="356">
        <v>4</v>
      </c>
      <c r="BB145" s="356">
        <v>1</v>
      </c>
      <c r="BD145" s="353">
        <f t="shared" si="8"/>
        <v>79</v>
      </c>
      <c r="BE145" s="353">
        <f t="shared" si="9"/>
        <v>83</v>
      </c>
      <c r="BF145" s="353">
        <f t="shared" si="10"/>
        <v>83</v>
      </c>
      <c r="BG145" s="353">
        <f t="shared" si="11"/>
        <v>69</v>
      </c>
    </row>
    <row r="146" spans="2:59">
      <c r="B146" s="354">
        <v>138</v>
      </c>
      <c r="C146" s="743" t="s">
        <v>568</v>
      </c>
      <c r="D146" s="744" t="s">
        <v>568</v>
      </c>
      <c r="E146" s="744" t="s">
        <v>568</v>
      </c>
      <c r="F146" s="357">
        <v>1099363120</v>
      </c>
      <c r="G146" s="356">
        <v>12</v>
      </c>
      <c r="H146" s="356">
        <v>6</v>
      </c>
      <c r="I146" s="356">
        <v>3</v>
      </c>
      <c r="J146" s="356">
        <v>8</v>
      </c>
      <c r="K146" s="356">
        <v>3</v>
      </c>
      <c r="L146" s="356">
        <v>15</v>
      </c>
      <c r="M146" s="356">
        <v>7</v>
      </c>
      <c r="N146" s="356">
        <v>0</v>
      </c>
      <c r="O146" s="356">
        <v>13</v>
      </c>
      <c r="P146" s="356">
        <v>11</v>
      </c>
      <c r="Q146" s="356">
        <v>12</v>
      </c>
      <c r="R146" s="356">
        <v>11</v>
      </c>
      <c r="S146" s="356">
        <v>7</v>
      </c>
      <c r="T146" s="356">
        <v>13</v>
      </c>
      <c r="U146" s="356">
        <v>8</v>
      </c>
      <c r="V146" s="356">
        <v>10</v>
      </c>
      <c r="W146" s="356">
        <v>2</v>
      </c>
      <c r="X146" s="356">
        <v>13</v>
      </c>
      <c r="Y146" s="356">
        <v>0</v>
      </c>
      <c r="Z146" s="356">
        <v>11</v>
      </c>
      <c r="AA146" s="356">
        <v>8</v>
      </c>
      <c r="AB146" s="356">
        <v>2</v>
      </c>
      <c r="AC146" s="356">
        <v>2</v>
      </c>
      <c r="AD146" s="356">
        <v>9</v>
      </c>
      <c r="AE146" s="356">
        <v>8</v>
      </c>
      <c r="AF146" s="356">
        <v>1</v>
      </c>
      <c r="AG146" s="356">
        <v>0</v>
      </c>
      <c r="AH146" s="356">
        <v>7</v>
      </c>
      <c r="AI146" s="356">
        <v>2</v>
      </c>
      <c r="AJ146" s="356">
        <v>9</v>
      </c>
      <c r="AK146" s="356">
        <v>14</v>
      </c>
      <c r="AL146" s="356">
        <v>0</v>
      </c>
      <c r="AM146" s="356">
        <v>9</v>
      </c>
      <c r="AN146" s="356">
        <v>9</v>
      </c>
      <c r="AO146" s="356">
        <v>6</v>
      </c>
      <c r="AP146" s="356">
        <v>10</v>
      </c>
      <c r="AQ146" s="356">
        <v>5</v>
      </c>
      <c r="AR146" s="356">
        <v>8</v>
      </c>
      <c r="AS146" s="356">
        <v>13</v>
      </c>
      <c r="AT146" s="356">
        <v>12</v>
      </c>
      <c r="AU146" s="356">
        <v>5</v>
      </c>
      <c r="AV146" s="356">
        <v>14</v>
      </c>
      <c r="AW146" s="356">
        <v>11</v>
      </c>
      <c r="AX146" s="356">
        <v>9</v>
      </c>
      <c r="AY146" s="356">
        <v>15</v>
      </c>
      <c r="AZ146" s="356">
        <v>13</v>
      </c>
      <c r="BA146" s="356">
        <v>0</v>
      </c>
      <c r="BB146" s="356">
        <v>6</v>
      </c>
      <c r="BD146" s="353">
        <f t="shared" si="8"/>
        <v>76</v>
      </c>
      <c r="BE146" s="353">
        <f t="shared" si="9"/>
        <v>89</v>
      </c>
      <c r="BF146" s="353">
        <f t="shared" si="10"/>
        <v>76</v>
      </c>
      <c r="BG146" s="353">
        <f t="shared" si="11"/>
        <v>77</v>
      </c>
    </row>
    <row r="147" spans="2:59">
      <c r="B147" s="354">
        <v>139</v>
      </c>
      <c r="C147" s="743" t="s">
        <v>567</v>
      </c>
      <c r="D147" s="744" t="s">
        <v>567</v>
      </c>
      <c r="E147" s="744" t="s">
        <v>567</v>
      </c>
      <c r="F147" s="357">
        <v>1099370278</v>
      </c>
      <c r="G147" s="356">
        <v>15</v>
      </c>
      <c r="H147" s="356">
        <v>1</v>
      </c>
      <c r="I147" s="356">
        <v>6</v>
      </c>
      <c r="J147" s="356">
        <v>10</v>
      </c>
      <c r="K147" s="356">
        <v>9</v>
      </c>
      <c r="L147" s="356">
        <v>0</v>
      </c>
      <c r="M147" s="356">
        <v>0</v>
      </c>
      <c r="N147" s="356">
        <v>3</v>
      </c>
      <c r="O147" s="356">
        <v>1</v>
      </c>
      <c r="P147" s="356">
        <v>2</v>
      </c>
      <c r="Q147" s="356">
        <v>13</v>
      </c>
      <c r="R147" s="356">
        <v>13</v>
      </c>
      <c r="S147" s="356">
        <v>1</v>
      </c>
      <c r="T147" s="356">
        <v>10</v>
      </c>
      <c r="U147" s="356">
        <v>15</v>
      </c>
      <c r="V147" s="356">
        <v>2</v>
      </c>
      <c r="W147" s="356">
        <v>12</v>
      </c>
      <c r="X147" s="356">
        <v>9</v>
      </c>
      <c r="Y147" s="356">
        <v>13</v>
      </c>
      <c r="Z147" s="356">
        <v>13</v>
      </c>
      <c r="AA147" s="356">
        <v>10</v>
      </c>
      <c r="AB147" s="356">
        <v>12</v>
      </c>
      <c r="AC147" s="356">
        <v>5</v>
      </c>
      <c r="AD147" s="356">
        <v>3</v>
      </c>
      <c r="AE147" s="356">
        <v>14</v>
      </c>
      <c r="AF147" s="356">
        <v>12</v>
      </c>
      <c r="AG147" s="356">
        <v>4</v>
      </c>
      <c r="AH147" s="356">
        <v>2</v>
      </c>
      <c r="AI147" s="356">
        <v>3</v>
      </c>
      <c r="AJ147" s="356">
        <v>0</v>
      </c>
      <c r="AK147" s="356">
        <v>9</v>
      </c>
      <c r="AL147" s="356">
        <v>3</v>
      </c>
      <c r="AM147" s="356">
        <v>6</v>
      </c>
      <c r="AN147" s="356">
        <v>12</v>
      </c>
      <c r="AO147" s="356">
        <v>12</v>
      </c>
      <c r="AP147" s="356">
        <v>5</v>
      </c>
      <c r="AQ147" s="356">
        <v>3</v>
      </c>
      <c r="AR147" s="356">
        <v>15</v>
      </c>
      <c r="AS147" s="356">
        <v>12</v>
      </c>
      <c r="AT147" s="356">
        <v>13</v>
      </c>
      <c r="AU147" s="356">
        <v>3</v>
      </c>
      <c r="AV147" s="356">
        <v>6</v>
      </c>
      <c r="AW147" s="356">
        <v>4</v>
      </c>
      <c r="AX147" s="356">
        <v>5</v>
      </c>
      <c r="AY147" s="356">
        <v>14</v>
      </c>
      <c r="AZ147" s="356">
        <v>7</v>
      </c>
      <c r="BA147" s="356">
        <v>5</v>
      </c>
      <c r="BB147" s="356">
        <v>3</v>
      </c>
      <c r="BD147" s="353">
        <f t="shared" si="8"/>
        <v>93</v>
      </c>
      <c r="BE147" s="353">
        <f t="shared" si="9"/>
        <v>91</v>
      </c>
      <c r="BF147" s="353">
        <f t="shared" si="10"/>
        <v>98</v>
      </c>
      <c r="BG147" s="353">
        <f t="shared" si="11"/>
        <v>76</v>
      </c>
    </row>
    <row r="148" spans="2:59">
      <c r="B148" s="354">
        <v>140</v>
      </c>
      <c r="C148" s="743" t="s">
        <v>566</v>
      </c>
      <c r="D148" s="744" t="s">
        <v>566</v>
      </c>
      <c r="E148" s="744" t="s">
        <v>566</v>
      </c>
      <c r="F148" s="357">
        <v>1099373751</v>
      </c>
      <c r="G148" s="356">
        <v>1</v>
      </c>
      <c r="H148" s="356">
        <v>5</v>
      </c>
      <c r="I148" s="356">
        <v>13</v>
      </c>
      <c r="J148" s="356">
        <v>11</v>
      </c>
      <c r="K148" s="356">
        <v>8</v>
      </c>
      <c r="L148" s="356">
        <v>2</v>
      </c>
      <c r="M148" s="356">
        <v>9</v>
      </c>
      <c r="N148" s="356">
        <v>4</v>
      </c>
      <c r="O148" s="356">
        <v>0</v>
      </c>
      <c r="P148" s="356">
        <v>15</v>
      </c>
      <c r="Q148" s="356">
        <v>10</v>
      </c>
      <c r="R148" s="356">
        <v>2</v>
      </c>
      <c r="S148" s="356">
        <v>11</v>
      </c>
      <c r="T148" s="356">
        <v>8</v>
      </c>
      <c r="U148" s="356">
        <v>12</v>
      </c>
      <c r="V148" s="356">
        <v>14</v>
      </c>
      <c r="W148" s="356">
        <v>10</v>
      </c>
      <c r="X148" s="356">
        <v>11</v>
      </c>
      <c r="Y148" s="356">
        <v>13</v>
      </c>
      <c r="Z148" s="356">
        <v>3</v>
      </c>
      <c r="AA148" s="356">
        <v>2</v>
      </c>
      <c r="AB148" s="356">
        <v>4</v>
      </c>
      <c r="AC148" s="356">
        <v>0</v>
      </c>
      <c r="AD148" s="356">
        <v>2</v>
      </c>
      <c r="AE148" s="356">
        <v>15</v>
      </c>
      <c r="AF148" s="356">
        <v>4</v>
      </c>
      <c r="AG148" s="356">
        <v>8</v>
      </c>
      <c r="AH148" s="356">
        <v>7</v>
      </c>
      <c r="AI148" s="356">
        <v>11</v>
      </c>
      <c r="AJ148" s="356">
        <v>3</v>
      </c>
      <c r="AK148" s="356">
        <v>11</v>
      </c>
      <c r="AL148" s="356">
        <v>13</v>
      </c>
      <c r="AM148" s="356">
        <v>8</v>
      </c>
      <c r="AN148" s="356">
        <v>1</v>
      </c>
      <c r="AO148" s="356">
        <v>4</v>
      </c>
      <c r="AP148" s="356">
        <v>11</v>
      </c>
      <c r="AQ148" s="356">
        <v>9</v>
      </c>
      <c r="AR148" s="356">
        <v>6</v>
      </c>
      <c r="AS148" s="356">
        <v>1</v>
      </c>
      <c r="AT148" s="356">
        <v>0</v>
      </c>
      <c r="AU148" s="356">
        <v>2</v>
      </c>
      <c r="AV148" s="356">
        <v>11</v>
      </c>
      <c r="AW148" s="356">
        <v>3</v>
      </c>
      <c r="AX148" s="356">
        <v>7</v>
      </c>
      <c r="AY148" s="356">
        <v>5</v>
      </c>
      <c r="AZ148" s="356">
        <v>2</v>
      </c>
      <c r="BA148" s="356">
        <v>3</v>
      </c>
      <c r="BB148" s="356">
        <v>7</v>
      </c>
      <c r="BD148" s="353">
        <f t="shared" si="8"/>
        <v>84</v>
      </c>
      <c r="BE148" s="353">
        <f t="shared" si="9"/>
        <v>82</v>
      </c>
      <c r="BF148" s="353">
        <f t="shared" si="10"/>
        <v>87</v>
      </c>
      <c r="BG148" s="353">
        <f t="shared" si="11"/>
        <v>81</v>
      </c>
    </row>
    <row r="149" spans="2:59">
      <c r="B149" s="354">
        <v>141</v>
      </c>
      <c r="C149" s="743" t="s">
        <v>565</v>
      </c>
      <c r="D149" s="744" t="s">
        <v>565</v>
      </c>
      <c r="E149" s="744" t="s">
        <v>565</v>
      </c>
      <c r="F149" s="357">
        <v>1099375989</v>
      </c>
      <c r="G149" s="356">
        <v>10</v>
      </c>
      <c r="H149" s="356">
        <v>5</v>
      </c>
      <c r="I149" s="356">
        <v>12</v>
      </c>
      <c r="J149" s="356">
        <v>13</v>
      </c>
      <c r="K149" s="356">
        <v>6</v>
      </c>
      <c r="L149" s="356">
        <v>7</v>
      </c>
      <c r="M149" s="356">
        <v>4</v>
      </c>
      <c r="N149" s="356">
        <v>6</v>
      </c>
      <c r="O149" s="356">
        <v>1</v>
      </c>
      <c r="P149" s="356">
        <v>15</v>
      </c>
      <c r="Q149" s="356">
        <v>2</v>
      </c>
      <c r="R149" s="356">
        <v>2</v>
      </c>
      <c r="S149" s="356">
        <v>13</v>
      </c>
      <c r="T149" s="356">
        <v>12</v>
      </c>
      <c r="U149" s="356">
        <v>11</v>
      </c>
      <c r="V149" s="356">
        <v>7</v>
      </c>
      <c r="W149" s="356">
        <v>5</v>
      </c>
      <c r="X149" s="356">
        <v>14</v>
      </c>
      <c r="Y149" s="356">
        <v>13</v>
      </c>
      <c r="Z149" s="356">
        <v>3</v>
      </c>
      <c r="AA149" s="356">
        <v>11</v>
      </c>
      <c r="AB149" s="356">
        <v>15</v>
      </c>
      <c r="AC149" s="356">
        <v>14</v>
      </c>
      <c r="AD149" s="356">
        <v>7</v>
      </c>
      <c r="AE149" s="356">
        <v>5</v>
      </c>
      <c r="AF149" s="356">
        <v>2</v>
      </c>
      <c r="AG149" s="356">
        <v>12</v>
      </c>
      <c r="AH149" s="356">
        <v>10</v>
      </c>
      <c r="AI149" s="356">
        <v>1</v>
      </c>
      <c r="AJ149" s="356">
        <v>3</v>
      </c>
      <c r="AK149" s="356">
        <v>5</v>
      </c>
      <c r="AL149" s="356">
        <v>10</v>
      </c>
      <c r="AM149" s="356">
        <v>9</v>
      </c>
      <c r="AN149" s="356">
        <v>8</v>
      </c>
      <c r="AO149" s="356">
        <v>0</v>
      </c>
      <c r="AP149" s="356">
        <v>0</v>
      </c>
      <c r="AQ149" s="356">
        <v>11</v>
      </c>
      <c r="AR149" s="356">
        <v>2</v>
      </c>
      <c r="AS149" s="356">
        <v>6</v>
      </c>
      <c r="AT149" s="356">
        <v>15</v>
      </c>
      <c r="AU149" s="356">
        <v>12</v>
      </c>
      <c r="AV149" s="356">
        <v>11</v>
      </c>
      <c r="AW149" s="356">
        <v>10</v>
      </c>
      <c r="AX149" s="356">
        <v>10</v>
      </c>
      <c r="AY149" s="356">
        <v>6</v>
      </c>
      <c r="AZ149" s="356">
        <v>9</v>
      </c>
      <c r="BA149" s="356">
        <v>0</v>
      </c>
      <c r="BB149" s="356">
        <v>13</v>
      </c>
      <c r="BD149" s="353">
        <f t="shared" si="8"/>
        <v>89</v>
      </c>
      <c r="BE149" s="353">
        <f t="shared" si="9"/>
        <v>90</v>
      </c>
      <c r="BF149" s="353">
        <f t="shared" si="10"/>
        <v>89</v>
      </c>
      <c r="BG149" s="353">
        <f t="shared" si="11"/>
        <v>80</v>
      </c>
    </row>
    <row r="150" spans="2:59">
      <c r="B150" s="354">
        <v>142</v>
      </c>
      <c r="C150" s="743" t="s">
        <v>564</v>
      </c>
      <c r="D150" s="744" t="s">
        <v>564</v>
      </c>
      <c r="E150" s="744" t="s">
        <v>564</v>
      </c>
      <c r="F150" s="357">
        <v>28214667</v>
      </c>
      <c r="G150" s="356">
        <v>7</v>
      </c>
      <c r="H150" s="356">
        <v>5</v>
      </c>
      <c r="I150" s="356">
        <v>11</v>
      </c>
      <c r="J150" s="356">
        <v>3</v>
      </c>
      <c r="K150" s="356">
        <v>0</v>
      </c>
      <c r="L150" s="356">
        <v>9</v>
      </c>
      <c r="M150" s="356">
        <v>10</v>
      </c>
      <c r="N150" s="356">
        <v>12</v>
      </c>
      <c r="O150" s="356">
        <v>1</v>
      </c>
      <c r="P150" s="356">
        <v>3</v>
      </c>
      <c r="Q150" s="356">
        <v>11</v>
      </c>
      <c r="R150" s="356">
        <v>12</v>
      </c>
      <c r="S150" s="356">
        <v>5</v>
      </c>
      <c r="T150" s="356">
        <v>11</v>
      </c>
      <c r="U150" s="356">
        <v>15</v>
      </c>
      <c r="V150" s="356">
        <v>2</v>
      </c>
      <c r="W150" s="356">
        <v>9</v>
      </c>
      <c r="X150" s="356">
        <v>10</v>
      </c>
      <c r="Y150" s="356">
        <v>7</v>
      </c>
      <c r="Z150" s="356">
        <v>5</v>
      </c>
      <c r="AA150" s="356">
        <v>8</v>
      </c>
      <c r="AB150" s="356">
        <v>8</v>
      </c>
      <c r="AC150" s="356">
        <v>7</v>
      </c>
      <c r="AD150" s="356">
        <v>0</v>
      </c>
      <c r="AE150" s="356">
        <v>8</v>
      </c>
      <c r="AF150" s="356">
        <v>4</v>
      </c>
      <c r="AG150" s="356">
        <v>15</v>
      </c>
      <c r="AH150" s="356">
        <v>8</v>
      </c>
      <c r="AI150" s="356">
        <v>2</v>
      </c>
      <c r="AJ150" s="356">
        <v>13</v>
      </c>
      <c r="AK150" s="356">
        <v>2</v>
      </c>
      <c r="AL150" s="356">
        <v>6</v>
      </c>
      <c r="AM150" s="356">
        <v>8</v>
      </c>
      <c r="AN150" s="356">
        <v>12</v>
      </c>
      <c r="AO150" s="356">
        <v>15</v>
      </c>
      <c r="AP150" s="356">
        <v>15</v>
      </c>
      <c r="AQ150" s="356">
        <v>10</v>
      </c>
      <c r="AR150" s="356">
        <v>7</v>
      </c>
      <c r="AS150" s="356">
        <v>13</v>
      </c>
      <c r="AT150" s="356">
        <v>3</v>
      </c>
      <c r="AU150" s="356">
        <v>6</v>
      </c>
      <c r="AV150" s="356">
        <v>14</v>
      </c>
      <c r="AW150" s="356">
        <v>5</v>
      </c>
      <c r="AX150" s="356">
        <v>12</v>
      </c>
      <c r="AY150" s="356">
        <v>10</v>
      </c>
      <c r="AZ150" s="356">
        <v>4</v>
      </c>
      <c r="BA150" s="356">
        <v>0</v>
      </c>
      <c r="BB150" s="356">
        <v>14</v>
      </c>
      <c r="BD150" s="353">
        <f t="shared" si="8"/>
        <v>111</v>
      </c>
      <c r="BE150" s="353">
        <f t="shared" si="9"/>
        <v>74</v>
      </c>
      <c r="BF150" s="353">
        <f t="shared" si="10"/>
        <v>111</v>
      </c>
      <c r="BG150" s="353">
        <f t="shared" si="11"/>
        <v>67</v>
      </c>
    </row>
    <row r="151" spans="2:59">
      <c r="B151" s="354">
        <v>143</v>
      </c>
      <c r="C151" s="743" t="s">
        <v>563</v>
      </c>
      <c r="D151" s="744" t="s">
        <v>563</v>
      </c>
      <c r="E151" s="744" t="s">
        <v>563</v>
      </c>
      <c r="F151" s="357">
        <v>1099375802</v>
      </c>
      <c r="G151" s="356">
        <v>0</v>
      </c>
      <c r="H151" s="356">
        <v>8</v>
      </c>
      <c r="I151" s="356">
        <v>11</v>
      </c>
      <c r="J151" s="356">
        <v>14</v>
      </c>
      <c r="K151" s="356">
        <v>7</v>
      </c>
      <c r="L151" s="356">
        <v>5</v>
      </c>
      <c r="M151" s="356">
        <v>10</v>
      </c>
      <c r="N151" s="356">
        <v>10</v>
      </c>
      <c r="O151" s="356">
        <v>15</v>
      </c>
      <c r="P151" s="356">
        <v>6</v>
      </c>
      <c r="Q151" s="356">
        <v>12</v>
      </c>
      <c r="R151" s="356">
        <v>13</v>
      </c>
      <c r="S151" s="356">
        <v>8</v>
      </c>
      <c r="T151" s="356">
        <v>4</v>
      </c>
      <c r="U151" s="356">
        <v>3</v>
      </c>
      <c r="V151" s="356">
        <v>14</v>
      </c>
      <c r="W151" s="356">
        <v>2</v>
      </c>
      <c r="X151" s="356">
        <v>9</v>
      </c>
      <c r="Y151" s="356">
        <v>1</v>
      </c>
      <c r="Z151" s="356">
        <v>4</v>
      </c>
      <c r="AA151" s="356">
        <v>8</v>
      </c>
      <c r="AB151" s="356">
        <v>4</v>
      </c>
      <c r="AC151" s="356">
        <v>7</v>
      </c>
      <c r="AD151" s="356">
        <v>9</v>
      </c>
      <c r="AE151" s="356">
        <v>10</v>
      </c>
      <c r="AF151" s="356">
        <v>4</v>
      </c>
      <c r="AG151" s="356">
        <v>15</v>
      </c>
      <c r="AH151" s="356">
        <v>6</v>
      </c>
      <c r="AI151" s="356">
        <v>2</v>
      </c>
      <c r="AJ151" s="356">
        <v>3</v>
      </c>
      <c r="AK151" s="356">
        <v>6</v>
      </c>
      <c r="AL151" s="356">
        <v>13</v>
      </c>
      <c r="AM151" s="356">
        <v>1</v>
      </c>
      <c r="AN151" s="356">
        <v>2</v>
      </c>
      <c r="AO151" s="356">
        <v>3</v>
      </c>
      <c r="AP151" s="356">
        <v>0</v>
      </c>
      <c r="AQ151" s="356">
        <v>6</v>
      </c>
      <c r="AR151" s="356">
        <v>5</v>
      </c>
      <c r="AS151" s="356">
        <v>12</v>
      </c>
      <c r="AT151" s="356">
        <v>0</v>
      </c>
      <c r="AU151" s="356">
        <v>5</v>
      </c>
      <c r="AV151" s="356">
        <v>15</v>
      </c>
      <c r="AW151" s="356">
        <v>9</v>
      </c>
      <c r="AX151" s="356">
        <v>9</v>
      </c>
      <c r="AY151" s="356">
        <v>12</v>
      </c>
      <c r="AZ151" s="356">
        <v>0</v>
      </c>
      <c r="BA151" s="356">
        <v>11</v>
      </c>
      <c r="BB151" s="356">
        <v>9</v>
      </c>
      <c r="BD151" s="353">
        <f t="shared" si="8"/>
        <v>89</v>
      </c>
      <c r="BE151" s="353">
        <f t="shared" si="9"/>
        <v>76</v>
      </c>
      <c r="BF151" s="353">
        <f t="shared" si="10"/>
        <v>100</v>
      </c>
      <c r="BG151" s="353">
        <f t="shared" si="11"/>
        <v>76</v>
      </c>
    </row>
    <row r="152" spans="2:59">
      <c r="B152" s="354">
        <v>144</v>
      </c>
      <c r="C152" s="743" t="s">
        <v>562</v>
      </c>
      <c r="D152" s="744" t="s">
        <v>562</v>
      </c>
      <c r="E152" s="744" t="s">
        <v>562</v>
      </c>
      <c r="F152" s="357">
        <v>1005346393</v>
      </c>
      <c r="G152" s="356">
        <v>9</v>
      </c>
      <c r="H152" s="356">
        <v>2</v>
      </c>
      <c r="I152" s="356">
        <v>9</v>
      </c>
      <c r="J152" s="356">
        <v>15</v>
      </c>
      <c r="K152" s="356">
        <v>9</v>
      </c>
      <c r="L152" s="356">
        <v>5</v>
      </c>
      <c r="M152" s="356">
        <v>7</v>
      </c>
      <c r="N152" s="356">
        <v>14</v>
      </c>
      <c r="O152" s="356">
        <v>3</v>
      </c>
      <c r="P152" s="356">
        <v>5</v>
      </c>
      <c r="Q152" s="356">
        <v>9</v>
      </c>
      <c r="R152" s="356">
        <v>9</v>
      </c>
      <c r="S152" s="356">
        <v>13</v>
      </c>
      <c r="T152" s="356">
        <v>3</v>
      </c>
      <c r="U152" s="356">
        <v>12</v>
      </c>
      <c r="V152" s="356">
        <v>15</v>
      </c>
      <c r="W152" s="356">
        <v>13</v>
      </c>
      <c r="X152" s="356">
        <v>5</v>
      </c>
      <c r="Y152" s="356">
        <v>14</v>
      </c>
      <c r="Z152" s="356">
        <v>3</v>
      </c>
      <c r="AA152" s="356">
        <v>12</v>
      </c>
      <c r="AB152" s="356">
        <v>6</v>
      </c>
      <c r="AC152" s="356">
        <v>15</v>
      </c>
      <c r="AD152" s="356">
        <v>8</v>
      </c>
      <c r="AE152" s="356">
        <v>3</v>
      </c>
      <c r="AF152" s="356">
        <v>9</v>
      </c>
      <c r="AG152" s="356">
        <v>3</v>
      </c>
      <c r="AH152" s="356">
        <v>6</v>
      </c>
      <c r="AI152" s="356">
        <v>8</v>
      </c>
      <c r="AJ152" s="356">
        <v>15</v>
      </c>
      <c r="AK152" s="356">
        <v>12</v>
      </c>
      <c r="AL152" s="356">
        <v>15</v>
      </c>
      <c r="AM152" s="356">
        <v>0</v>
      </c>
      <c r="AN152" s="356">
        <v>7</v>
      </c>
      <c r="AO152" s="356">
        <v>14</v>
      </c>
      <c r="AP152" s="356">
        <v>5</v>
      </c>
      <c r="AQ152" s="356">
        <v>0</v>
      </c>
      <c r="AR152" s="356">
        <v>0</v>
      </c>
      <c r="AS152" s="356">
        <v>2</v>
      </c>
      <c r="AT152" s="356">
        <v>1</v>
      </c>
      <c r="AU152" s="356">
        <v>3</v>
      </c>
      <c r="AV152" s="356">
        <v>2</v>
      </c>
      <c r="AW152" s="356">
        <v>0</v>
      </c>
      <c r="AX152" s="356">
        <v>1</v>
      </c>
      <c r="AY152" s="356">
        <v>14</v>
      </c>
      <c r="AZ152" s="356">
        <v>1</v>
      </c>
      <c r="BA152" s="356">
        <v>4</v>
      </c>
      <c r="BB152" s="356">
        <v>0</v>
      </c>
      <c r="BD152" s="353">
        <f t="shared" si="8"/>
        <v>97</v>
      </c>
      <c r="BE152" s="353">
        <f t="shared" si="9"/>
        <v>87</v>
      </c>
      <c r="BF152" s="353">
        <f t="shared" si="10"/>
        <v>101</v>
      </c>
      <c r="BG152" s="353">
        <f t="shared" si="11"/>
        <v>78</v>
      </c>
    </row>
    <row r="153" spans="2:59">
      <c r="B153" s="354">
        <v>145</v>
      </c>
      <c r="C153" s="743" t="s">
        <v>561</v>
      </c>
      <c r="D153" s="744" t="s">
        <v>561</v>
      </c>
      <c r="E153" s="744" t="s">
        <v>561</v>
      </c>
      <c r="F153" s="357">
        <v>1096701982</v>
      </c>
      <c r="G153" s="356">
        <v>5</v>
      </c>
      <c r="H153" s="356">
        <v>7</v>
      </c>
      <c r="I153" s="356">
        <v>11</v>
      </c>
      <c r="J153" s="356">
        <v>4</v>
      </c>
      <c r="K153" s="356">
        <v>12</v>
      </c>
      <c r="L153" s="356">
        <v>0</v>
      </c>
      <c r="M153" s="356">
        <v>2</v>
      </c>
      <c r="N153" s="356">
        <v>2</v>
      </c>
      <c r="O153" s="356">
        <v>9</v>
      </c>
      <c r="P153" s="356">
        <v>8</v>
      </c>
      <c r="Q153" s="356">
        <v>10</v>
      </c>
      <c r="R153" s="356">
        <v>12</v>
      </c>
      <c r="S153" s="356">
        <v>11</v>
      </c>
      <c r="T153" s="356">
        <v>1</v>
      </c>
      <c r="U153" s="356">
        <v>2</v>
      </c>
      <c r="V153" s="356">
        <v>10</v>
      </c>
      <c r="W153" s="356">
        <v>0</v>
      </c>
      <c r="X153" s="356">
        <v>4</v>
      </c>
      <c r="Y153" s="356">
        <v>9</v>
      </c>
      <c r="Z153" s="356">
        <v>1</v>
      </c>
      <c r="AA153" s="356">
        <v>14</v>
      </c>
      <c r="AB153" s="356">
        <v>0</v>
      </c>
      <c r="AC153" s="356">
        <v>2</v>
      </c>
      <c r="AD153" s="356">
        <v>7</v>
      </c>
      <c r="AE153" s="356">
        <v>15</v>
      </c>
      <c r="AF153" s="356">
        <v>1</v>
      </c>
      <c r="AG153" s="356">
        <v>8</v>
      </c>
      <c r="AH153" s="356">
        <v>3</v>
      </c>
      <c r="AI153" s="356">
        <v>4</v>
      </c>
      <c r="AJ153" s="356">
        <v>1</v>
      </c>
      <c r="AK153" s="356">
        <v>4</v>
      </c>
      <c r="AL153" s="356">
        <v>2</v>
      </c>
      <c r="AM153" s="356">
        <v>9</v>
      </c>
      <c r="AN153" s="356">
        <v>14</v>
      </c>
      <c r="AO153" s="356">
        <v>5</v>
      </c>
      <c r="AP153" s="356">
        <v>0</v>
      </c>
      <c r="AQ153" s="356">
        <v>9</v>
      </c>
      <c r="AR153" s="356">
        <v>12</v>
      </c>
      <c r="AS153" s="356">
        <v>14</v>
      </c>
      <c r="AT153" s="356">
        <v>13</v>
      </c>
      <c r="AU153" s="356">
        <v>14</v>
      </c>
      <c r="AV153" s="356">
        <v>2</v>
      </c>
      <c r="AW153" s="356">
        <v>6</v>
      </c>
      <c r="AX153" s="356">
        <v>6</v>
      </c>
      <c r="AY153" s="356">
        <v>8</v>
      </c>
      <c r="AZ153" s="356">
        <v>12</v>
      </c>
      <c r="BA153" s="356">
        <v>2</v>
      </c>
      <c r="BB153" s="356">
        <v>9</v>
      </c>
      <c r="BD153" s="353">
        <f t="shared" si="8"/>
        <v>73</v>
      </c>
      <c r="BE153" s="353">
        <f t="shared" si="9"/>
        <v>110</v>
      </c>
      <c r="BF153" s="353">
        <f t="shared" si="10"/>
        <v>75</v>
      </c>
      <c r="BG153" s="353">
        <f t="shared" si="11"/>
        <v>105</v>
      </c>
    </row>
    <row r="154" spans="2:59">
      <c r="B154" s="354">
        <v>146</v>
      </c>
      <c r="C154" s="743" t="s">
        <v>560</v>
      </c>
      <c r="D154" s="744" t="s">
        <v>560</v>
      </c>
      <c r="E154" s="744" t="s">
        <v>560</v>
      </c>
      <c r="F154" s="357">
        <v>1099422418</v>
      </c>
      <c r="G154" s="356">
        <v>0</v>
      </c>
      <c r="H154" s="356">
        <v>15</v>
      </c>
      <c r="I154" s="356">
        <v>2</v>
      </c>
      <c r="J154" s="356">
        <v>2</v>
      </c>
      <c r="K154" s="356">
        <v>5</v>
      </c>
      <c r="L154" s="356">
        <v>2</v>
      </c>
      <c r="M154" s="356">
        <v>5</v>
      </c>
      <c r="N154" s="356">
        <v>14</v>
      </c>
      <c r="O154" s="356">
        <v>1</v>
      </c>
      <c r="P154" s="356">
        <v>4</v>
      </c>
      <c r="Q154" s="356">
        <v>14</v>
      </c>
      <c r="R154" s="356">
        <v>12</v>
      </c>
      <c r="S154" s="356">
        <v>8</v>
      </c>
      <c r="T154" s="356">
        <v>10</v>
      </c>
      <c r="U154" s="356">
        <v>6</v>
      </c>
      <c r="V154" s="356">
        <v>6</v>
      </c>
      <c r="W154" s="356">
        <v>4</v>
      </c>
      <c r="X154" s="356">
        <v>4</v>
      </c>
      <c r="Y154" s="356">
        <v>8</v>
      </c>
      <c r="Z154" s="356">
        <v>6</v>
      </c>
      <c r="AA154" s="356">
        <v>5</v>
      </c>
      <c r="AB154" s="356">
        <v>15</v>
      </c>
      <c r="AC154" s="356">
        <v>13</v>
      </c>
      <c r="AD154" s="356">
        <v>9</v>
      </c>
      <c r="AE154" s="356">
        <v>2</v>
      </c>
      <c r="AF154" s="356">
        <v>7</v>
      </c>
      <c r="AG154" s="356">
        <v>9</v>
      </c>
      <c r="AH154" s="356">
        <v>12</v>
      </c>
      <c r="AI154" s="356">
        <v>1</v>
      </c>
      <c r="AJ154" s="356">
        <v>5</v>
      </c>
      <c r="AK154" s="356">
        <v>1</v>
      </c>
      <c r="AL154" s="356">
        <v>8</v>
      </c>
      <c r="AM154" s="356">
        <v>6</v>
      </c>
      <c r="AN154" s="356">
        <v>8</v>
      </c>
      <c r="AO154" s="356">
        <v>9</v>
      </c>
      <c r="AP154" s="356">
        <v>1</v>
      </c>
      <c r="AQ154" s="356">
        <v>11</v>
      </c>
      <c r="AR154" s="356">
        <v>14</v>
      </c>
      <c r="AS154" s="356">
        <v>7</v>
      </c>
      <c r="AT154" s="356">
        <v>3</v>
      </c>
      <c r="AU154" s="356">
        <v>3</v>
      </c>
      <c r="AV154" s="356">
        <v>10</v>
      </c>
      <c r="AW154" s="356">
        <v>9</v>
      </c>
      <c r="AX154" s="356">
        <v>15</v>
      </c>
      <c r="AY154" s="356">
        <v>4</v>
      </c>
      <c r="AZ154" s="356">
        <v>15</v>
      </c>
      <c r="BA154" s="356">
        <v>1</v>
      </c>
      <c r="BB154" s="356">
        <v>9</v>
      </c>
      <c r="BD154" s="353">
        <f t="shared" si="8"/>
        <v>83</v>
      </c>
      <c r="BE154" s="353">
        <f t="shared" si="9"/>
        <v>50</v>
      </c>
      <c r="BF154" s="353">
        <f t="shared" si="10"/>
        <v>84</v>
      </c>
      <c r="BG154" s="353">
        <f t="shared" si="11"/>
        <v>50</v>
      </c>
    </row>
    <row r="155" spans="2:59">
      <c r="B155" s="354">
        <v>147</v>
      </c>
      <c r="C155" s="743" t="s">
        <v>559</v>
      </c>
      <c r="D155" s="744" t="s">
        <v>559</v>
      </c>
      <c r="E155" s="744" t="s">
        <v>559</v>
      </c>
      <c r="F155" s="357">
        <v>1097302326</v>
      </c>
      <c r="G155" s="356">
        <v>3</v>
      </c>
      <c r="H155" s="356">
        <v>5</v>
      </c>
      <c r="I155" s="356">
        <v>4</v>
      </c>
      <c r="J155" s="356">
        <v>2</v>
      </c>
      <c r="K155" s="356">
        <v>5</v>
      </c>
      <c r="L155" s="356">
        <v>2</v>
      </c>
      <c r="M155" s="356">
        <v>13</v>
      </c>
      <c r="N155" s="356">
        <v>11</v>
      </c>
      <c r="O155" s="356">
        <v>6</v>
      </c>
      <c r="P155" s="356">
        <v>5</v>
      </c>
      <c r="Q155" s="356">
        <v>10</v>
      </c>
      <c r="R155" s="356">
        <v>2</v>
      </c>
      <c r="S155" s="356">
        <v>1</v>
      </c>
      <c r="T155" s="356">
        <v>2</v>
      </c>
      <c r="U155" s="356">
        <v>11</v>
      </c>
      <c r="V155" s="356">
        <v>11</v>
      </c>
      <c r="W155" s="356">
        <v>11</v>
      </c>
      <c r="X155" s="356">
        <v>1</v>
      </c>
      <c r="Y155" s="356">
        <v>6</v>
      </c>
      <c r="Z155" s="356">
        <v>10</v>
      </c>
      <c r="AA155" s="356">
        <v>7</v>
      </c>
      <c r="AB155" s="356">
        <v>6</v>
      </c>
      <c r="AC155" s="356">
        <v>6</v>
      </c>
      <c r="AD155" s="356">
        <v>12</v>
      </c>
      <c r="AE155" s="356">
        <v>11</v>
      </c>
      <c r="AF155" s="356">
        <v>0</v>
      </c>
      <c r="AG155" s="356">
        <v>15</v>
      </c>
      <c r="AH155" s="356">
        <v>13</v>
      </c>
      <c r="AI155" s="356">
        <v>15</v>
      </c>
      <c r="AJ155" s="356">
        <v>15</v>
      </c>
      <c r="AK155" s="356">
        <v>14</v>
      </c>
      <c r="AL155" s="356">
        <v>6</v>
      </c>
      <c r="AM155" s="356">
        <v>7</v>
      </c>
      <c r="AN155" s="356">
        <v>12</v>
      </c>
      <c r="AO155" s="356">
        <v>13</v>
      </c>
      <c r="AP155" s="356">
        <v>14</v>
      </c>
      <c r="AQ155" s="356">
        <v>2</v>
      </c>
      <c r="AR155" s="356">
        <v>0</v>
      </c>
      <c r="AS155" s="356">
        <v>7</v>
      </c>
      <c r="AT155" s="356">
        <v>10</v>
      </c>
      <c r="AU155" s="356">
        <v>5</v>
      </c>
      <c r="AV155" s="356">
        <v>0</v>
      </c>
      <c r="AW155" s="356">
        <v>0</v>
      </c>
      <c r="AX155" s="356">
        <v>7</v>
      </c>
      <c r="AY155" s="356">
        <v>12</v>
      </c>
      <c r="AZ155" s="356">
        <v>5</v>
      </c>
      <c r="BA155" s="356">
        <v>3</v>
      </c>
      <c r="BB155" s="356">
        <v>8</v>
      </c>
      <c r="BD155" s="353">
        <f t="shared" si="8"/>
        <v>99</v>
      </c>
      <c r="BE155" s="353">
        <f t="shared" si="9"/>
        <v>85</v>
      </c>
      <c r="BF155" s="353">
        <f t="shared" si="10"/>
        <v>102</v>
      </c>
      <c r="BG155" s="353">
        <f t="shared" si="11"/>
        <v>82</v>
      </c>
    </row>
    <row r="156" spans="2:59">
      <c r="B156" s="354">
        <v>148</v>
      </c>
      <c r="C156" s="743" t="s">
        <v>558</v>
      </c>
      <c r="D156" s="744" t="s">
        <v>558</v>
      </c>
      <c r="E156" s="744" t="s">
        <v>558</v>
      </c>
      <c r="F156" s="357">
        <v>1099365131</v>
      </c>
      <c r="G156" s="356">
        <v>3</v>
      </c>
      <c r="H156" s="356">
        <v>9</v>
      </c>
      <c r="I156" s="356">
        <v>15</v>
      </c>
      <c r="J156" s="356">
        <v>11</v>
      </c>
      <c r="K156" s="356">
        <v>2</v>
      </c>
      <c r="L156" s="356">
        <v>0</v>
      </c>
      <c r="M156" s="356">
        <v>5</v>
      </c>
      <c r="N156" s="356">
        <v>1</v>
      </c>
      <c r="O156" s="356">
        <v>5</v>
      </c>
      <c r="P156" s="356">
        <v>15</v>
      </c>
      <c r="Q156" s="356">
        <v>10</v>
      </c>
      <c r="R156" s="356">
        <v>6</v>
      </c>
      <c r="S156" s="356">
        <v>6</v>
      </c>
      <c r="T156" s="356">
        <v>1</v>
      </c>
      <c r="U156" s="356">
        <v>13</v>
      </c>
      <c r="V156" s="356">
        <v>2</v>
      </c>
      <c r="W156" s="356">
        <v>15</v>
      </c>
      <c r="X156" s="356">
        <v>12</v>
      </c>
      <c r="Y156" s="356">
        <v>7</v>
      </c>
      <c r="Z156" s="356">
        <v>1</v>
      </c>
      <c r="AA156" s="356">
        <v>5</v>
      </c>
      <c r="AB156" s="356">
        <v>4</v>
      </c>
      <c r="AC156" s="356">
        <v>10</v>
      </c>
      <c r="AD156" s="356">
        <v>7</v>
      </c>
      <c r="AE156" s="356">
        <v>11</v>
      </c>
      <c r="AF156" s="356">
        <v>3</v>
      </c>
      <c r="AG156" s="356">
        <v>14</v>
      </c>
      <c r="AH156" s="356">
        <v>15</v>
      </c>
      <c r="AI156" s="356">
        <v>8</v>
      </c>
      <c r="AJ156" s="356">
        <v>4</v>
      </c>
      <c r="AK156" s="356">
        <v>12</v>
      </c>
      <c r="AL156" s="356">
        <v>10</v>
      </c>
      <c r="AM156" s="356">
        <v>15</v>
      </c>
      <c r="AN156" s="356">
        <v>4</v>
      </c>
      <c r="AO156" s="356">
        <v>9</v>
      </c>
      <c r="AP156" s="356">
        <v>6</v>
      </c>
      <c r="AQ156" s="356">
        <v>15</v>
      </c>
      <c r="AR156" s="356">
        <v>10</v>
      </c>
      <c r="AS156" s="356">
        <v>7</v>
      </c>
      <c r="AT156" s="356">
        <v>6</v>
      </c>
      <c r="AU156" s="356">
        <v>12</v>
      </c>
      <c r="AV156" s="356">
        <v>1</v>
      </c>
      <c r="AW156" s="356">
        <v>11</v>
      </c>
      <c r="AX156" s="356">
        <v>4</v>
      </c>
      <c r="AY156" s="356">
        <v>15</v>
      </c>
      <c r="AZ156" s="356">
        <v>2</v>
      </c>
      <c r="BA156" s="356">
        <v>5</v>
      </c>
      <c r="BB156" s="356">
        <v>2</v>
      </c>
      <c r="BD156" s="353">
        <f t="shared" si="8"/>
        <v>113</v>
      </c>
      <c r="BE156" s="353">
        <f t="shared" si="9"/>
        <v>112</v>
      </c>
      <c r="BF156" s="353">
        <f t="shared" si="10"/>
        <v>118</v>
      </c>
      <c r="BG156" s="353">
        <f t="shared" si="11"/>
        <v>109</v>
      </c>
    </row>
    <row r="157" spans="2:59">
      <c r="B157" s="354">
        <v>149</v>
      </c>
      <c r="C157" s="743" t="s">
        <v>557</v>
      </c>
      <c r="D157" s="744" t="s">
        <v>557</v>
      </c>
      <c r="E157" s="744" t="s">
        <v>557</v>
      </c>
      <c r="F157" s="357">
        <v>1005330521</v>
      </c>
      <c r="G157" s="356">
        <v>6</v>
      </c>
      <c r="H157" s="356">
        <v>9</v>
      </c>
      <c r="I157" s="356">
        <v>7</v>
      </c>
      <c r="J157" s="356">
        <v>2</v>
      </c>
      <c r="K157" s="356">
        <v>3</v>
      </c>
      <c r="L157" s="356">
        <v>3</v>
      </c>
      <c r="M157" s="356">
        <v>1</v>
      </c>
      <c r="N157" s="356">
        <v>13</v>
      </c>
      <c r="O157" s="356">
        <v>4</v>
      </c>
      <c r="P157" s="356">
        <v>13</v>
      </c>
      <c r="Q157" s="356">
        <v>11</v>
      </c>
      <c r="R157" s="356">
        <v>1</v>
      </c>
      <c r="S157" s="356">
        <v>8</v>
      </c>
      <c r="T157" s="356">
        <v>8</v>
      </c>
      <c r="U157" s="356">
        <v>7</v>
      </c>
      <c r="V157" s="356">
        <v>12</v>
      </c>
      <c r="W157" s="356">
        <v>3</v>
      </c>
      <c r="X157" s="356">
        <v>3</v>
      </c>
      <c r="Y157" s="356">
        <v>1</v>
      </c>
      <c r="Z157" s="356">
        <v>6</v>
      </c>
      <c r="AA157" s="356">
        <v>8</v>
      </c>
      <c r="AB157" s="356">
        <v>1</v>
      </c>
      <c r="AC157" s="356">
        <v>11</v>
      </c>
      <c r="AD157" s="356">
        <v>14</v>
      </c>
      <c r="AE157" s="356">
        <v>1</v>
      </c>
      <c r="AF157" s="356">
        <v>0</v>
      </c>
      <c r="AG157" s="356">
        <v>1</v>
      </c>
      <c r="AH157" s="356">
        <v>13</v>
      </c>
      <c r="AI157" s="356">
        <v>7</v>
      </c>
      <c r="AJ157" s="356">
        <v>5</v>
      </c>
      <c r="AK157" s="356">
        <v>1</v>
      </c>
      <c r="AL157" s="356">
        <v>13</v>
      </c>
      <c r="AM157" s="356">
        <v>4</v>
      </c>
      <c r="AN157" s="356">
        <v>4</v>
      </c>
      <c r="AO157" s="356">
        <v>5</v>
      </c>
      <c r="AP157" s="356">
        <v>10</v>
      </c>
      <c r="AQ157" s="356">
        <v>0</v>
      </c>
      <c r="AR157" s="356">
        <v>0</v>
      </c>
      <c r="AS157" s="356">
        <v>13</v>
      </c>
      <c r="AT157" s="356">
        <v>7</v>
      </c>
      <c r="AU157" s="356">
        <v>4</v>
      </c>
      <c r="AV157" s="356">
        <v>14</v>
      </c>
      <c r="AW157" s="356">
        <v>14</v>
      </c>
      <c r="AX157" s="356">
        <v>5</v>
      </c>
      <c r="AY157" s="356">
        <v>10</v>
      </c>
      <c r="AZ157" s="356">
        <v>9</v>
      </c>
      <c r="BA157" s="356">
        <v>6</v>
      </c>
      <c r="BB157" s="356">
        <v>3</v>
      </c>
      <c r="BD157" s="353">
        <f t="shared" si="8"/>
        <v>72</v>
      </c>
      <c r="BE157" s="353">
        <f t="shared" si="9"/>
        <v>58</v>
      </c>
      <c r="BF157" s="353">
        <f t="shared" si="10"/>
        <v>78</v>
      </c>
      <c r="BG157" s="353">
        <f t="shared" si="11"/>
        <v>52</v>
      </c>
    </row>
    <row r="158" spans="2:59">
      <c r="B158" s="354">
        <v>150</v>
      </c>
      <c r="C158" s="743" t="s">
        <v>556</v>
      </c>
      <c r="D158" s="744" t="s">
        <v>556</v>
      </c>
      <c r="E158" s="744" t="s">
        <v>556</v>
      </c>
      <c r="F158" s="357">
        <v>1099366723</v>
      </c>
      <c r="G158" s="356">
        <v>3</v>
      </c>
      <c r="H158" s="356">
        <v>12</v>
      </c>
      <c r="I158" s="356">
        <v>2</v>
      </c>
      <c r="J158" s="356">
        <v>13</v>
      </c>
      <c r="K158" s="356">
        <v>3</v>
      </c>
      <c r="L158" s="356">
        <v>2</v>
      </c>
      <c r="M158" s="356">
        <v>6</v>
      </c>
      <c r="N158" s="356">
        <v>13</v>
      </c>
      <c r="O158" s="356">
        <v>14</v>
      </c>
      <c r="P158" s="356">
        <v>5</v>
      </c>
      <c r="Q158" s="356">
        <v>8</v>
      </c>
      <c r="R158" s="356">
        <v>13</v>
      </c>
      <c r="S158" s="356">
        <v>1</v>
      </c>
      <c r="T158" s="356">
        <v>9</v>
      </c>
      <c r="U158" s="356">
        <v>2</v>
      </c>
      <c r="V158" s="356">
        <v>9</v>
      </c>
      <c r="W158" s="356">
        <v>0</v>
      </c>
      <c r="X158" s="356">
        <v>13</v>
      </c>
      <c r="Y158" s="356">
        <v>5</v>
      </c>
      <c r="Z158" s="356">
        <v>12</v>
      </c>
      <c r="AA158" s="356">
        <v>5</v>
      </c>
      <c r="AB158" s="356">
        <v>11</v>
      </c>
      <c r="AC158" s="356">
        <v>14</v>
      </c>
      <c r="AD158" s="356">
        <v>11</v>
      </c>
      <c r="AE158" s="356">
        <v>5</v>
      </c>
      <c r="AF158" s="356">
        <v>4</v>
      </c>
      <c r="AG158" s="356">
        <v>12</v>
      </c>
      <c r="AH158" s="356">
        <v>14</v>
      </c>
      <c r="AI158" s="356">
        <v>2</v>
      </c>
      <c r="AJ158" s="356">
        <v>12</v>
      </c>
      <c r="AK158" s="356">
        <v>11</v>
      </c>
      <c r="AL158" s="356">
        <v>15</v>
      </c>
      <c r="AM158" s="356">
        <v>7</v>
      </c>
      <c r="AN158" s="356">
        <v>12</v>
      </c>
      <c r="AO158" s="356">
        <v>0</v>
      </c>
      <c r="AP158" s="356">
        <v>0</v>
      </c>
      <c r="AQ158" s="356">
        <v>9</v>
      </c>
      <c r="AR158" s="356">
        <v>2</v>
      </c>
      <c r="AS158" s="356">
        <v>5</v>
      </c>
      <c r="AT158" s="356">
        <v>11</v>
      </c>
      <c r="AU158" s="356">
        <v>15</v>
      </c>
      <c r="AV158" s="356">
        <v>10</v>
      </c>
      <c r="AW158" s="356">
        <v>11</v>
      </c>
      <c r="AX158" s="356">
        <v>6</v>
      </c>
      <c r="AY158" s="356">
        <v>0</v>
      </c>
      <c r="AZ158" s="356">
        <v>13</v>
      </c>
      <c r="BA158" s="356">
        <v>3</v>
      </c>
      <c r="BB158" s="356">
        <v>2</v>
      </c>
      <c r="BD158" s="353">
        <f t="shared" si="8"/>
        <v>76</v>
      </c>
      <c r="BE158" s="353">
        <f t="shared" si="9"/>
        <v>64</v>
      </c>
      <c r="BF158" s="353">
        <f t="shared" si="10"/>
        <v>79</v>
      </c>
      <c r="BG158" s="353">
        <f t="shared" si="11"/>
        <v>61</v>
      </c>
    </row>
    <row r="159" spans="2:59">
      <c r="B159" s="354">
        <v>151</v>
      </c>
      <c r="C159" s="743" t="s">
        <v>555</v>
      </c>
      <c r="D159" s="744" t="s">
        <v>555</v>
      </c>
      <c r="E159" s="744" t="s">
        <v>555</v>
      </c>
      <c r="F159" s="357">
        <v>1099368229</v>
      </c>
      <c r="G159" s="356">
        <v>12</v>
      </c>
      <c r="H159" s="356">
        <v>10</v>
      </c>
      <c r="I159" s="356">
        <v>13</v>
      </c>
      <c r="J159" s="356">
        <v>14</v>
      </c>
      <c r="K159" s="356">
        <v>11</v>
      </c>
      <c r="L159" s="356">
        <v>4</v>
      </c>
      <c r="M159" s="356">
        <v>2</v>
      </c>
      <c r="N159" s="356">
        <v>14</v>
      </c>
      <c r="O159" s="356">
        <v>4</v>
      </c>
      <c r="P159" s="356">
        <v>14</v>
      </c>
      <c r="Q159" s="356">
        <v>12</v>
      </c>
      <c r="R159" s="356">
        <v>0</v>
      </c>
      <c r="S159" s="356">
        <v>2</v>
      </c>
      <c r="T159" s="356">
        <v>13</v>
      </c>
      <c r="U159" s="356">
        <v>3</v>
      </c>
      <c r="V159" s="356">
        <v>5</v>
      </c>
      <c r="W159" s="356">
        <v>0</v>
      </c>
      <c r="X159" s="356">
        <v>14</v>
      </c>
      <c r="Y159" s="356">
        <v>9</v>
      </c>
      <c r="Z159" s="356">
        <v>9</v>
      </c>
      <c r="AA159" s="356">
        <v>7</v>
      </c>
      <c r="AB159" s="356">
        <v>4</v>
      </c>
      <c r="AC159" s="356">
        <v>6</v>
      </c>
      <c r="AD159" s="356">
        <v>9</v>
      </c>
      <c r="AE159" s="356">
        <v>7</v>
      </c>
      <c r="AF159" s="356">
        <v>3</v>
      </c>
      <c r="AG159" s="356">
        <v>1</v>
      </c>
      <c r="AH159" s="356">
        <v>11</v>
      </c>
      <c r="AI159" s="356">
        <v>10</v>
      </c>
      <c r="AJ159" s="356">
        <v>13</v>
      </c>
      <c r="AK159" s="356">
        <v>2</v>
      </c>
      <c r="AL159" s="356">
        <v>0</v>
      </c>
      <c r="AM159" s="356">
        <v>14</v>
      </c>
      <c r="AN159" s="356">
        <v>12</v>
      </c>
      <c r="AO159" s="356">
        <v>6</v>
      </c>
      <c r="AP159" s="356">
        <v>1</v>
      </c>
      <c r="AQ159" s="356">
        <v>15</v>
      </c>
      <c r="AR159" s="356">
        <v>11</v>
      </c>
      <c r="AS159" s="356">
        <v>10</v>
      </c>
      <c r="AT159" s="356">
        <v>7</v>
      </c>
      <c r="AU159" s="356">
        <v>6</v>
      </c>
      <c r="AV159" s="356">
        <v>13</v>
      </c>
      <c r="AW159" s="356">
        <v>10</v>
      </c>
      <c r="AX159" s="356">
        <v>15</v>
      </c>
      <c r="AY159" s="356">
        <v>12</v>
      </c>
      <c r="AZ159" s="356">
        <v>12</v>
      </c>
      <c r="BA159" s="356">
        <v>4</v>
      </c>
      <c r="BB159" s="356">
        <v>13</v>
      </c>
      <c r="BD159" s="353">
        <f t="shared" si="8"/>
        <v>74</v>
      </c>
      <c r="BE159" s="353">
        <f t="shared" si="9"/>
        <v>100</v>
      </c>
      <c r="BF159" s="353">
        <f t="shared" si="10"/>
        <v>78</v>
      </c>
      <c r="BG159" s="353">
        <f t="shared" si="11"/>
        <v>88</v>
      </c>
    </row>
    <row r="160" spans="2:59">
      <c r="B160" s="354">
        <v>152</v>
      </c>
      <c r="C160" s="743" t="s">
        <v>554</v>
      </c>
      <c r="D160" s="744" t="s">
        <v>554</v>
      </c>
      <c r="E160" s="744" t="s">
        <v>554</v>
      </c>
      <c r="F160" s="357">
        <v>1099371313</v>
      </c>
      <c r="G160" s="356">
        <v>15</v>
      </c>
      <c r="H160" s="356">
        <v>12</v>
      </c>
      <c r="I160" s="356">
        <v>7</v>
      </c>
      <c r="J160" s="356">
        <v>7</v>
      </c>
      <c r="K160" s="356">
        <v>1</v>
      </c>
      <c r="L160" s="356">
        <v>12</v>
      </c>
      <c r="M160" s="356">
        <v>10</v>
      </c>
      <c r="N160" s="356">
        <v>14</v>
      </c>
      <c r="O160" s="356">
        <v>7</v>
      </c>
      <c r="P160" s="356">
        <v>5</v>
      </c>
      <c r="Q160" s="356">
        <v>10</v>
      </c>
      <c r="R160" s="356">
        <v>2</v>
      </c>
      <c r="S160" s="356">
        <v>10</v>
      </c>
      <c r="T160" s="356">
        <v>15</v>
      </c>
      <c r="U160" s="356">
        <v>0</v>
      </c>
      <c r="V160" s="356">
        <v>3</v>
      </c>
      <c r="W160" s="356">
        <v>2</v>
      </c>
      <c r="X160" s="356">
        <v>3</v>
      </c>
      <c r="Y160" s="356">
        <v>5</v>
      </c>
      <c r="Z160" s="356">
        <v>7</v>
      </c>
      <c r="AA160" s="356">
        <v>14</v>
      </c>
      <c r="AB160" s="356">
        <v>14</v>
      </c>
      <c r="AC160" s="356">
        <v>0</v>
      </c>
      <c r="AD160" s="356">
        <v>7</v>
      </c>
      <c r="AE160" s="356">
        <v>13</v>
      </c>
      <c r="AF160" s="356">
        <v>10</v>
      </c>
      <c r="AG160" s="356">
        <v>7</v>
      </c>
      <c r="AH160" s="356">
        <v>15</v>
      </c>
      <c r="AI160" s="356">
        <v>1</v>
      </c>
      <c r="AJ160" s="356">
        <v>10</v>
      </c>
      <c r="AK160" s="356">
        <v>6</v>
      </c>
      <c r="AL160" s="356">
        <v>9</v>
      </c>
      <c r="AM160" s="356">
        <v>1</v>
      </c>
      <c r="AN160" s="356">
        <v>11</v>
      </c>
      <c r="AO160" s="356">
        <v>12</v>
      </c>
      <c r="AP160" s="356">
        <v>9</v>
      </c>
      <c r="AQ160" s="356">
        <v>14</v>
      </c>
      <c r="AR160" s="356">
        <v>9</v>
      </c>
      <c r="AS160" s="356">
        <v>15</v>
      </c>
      <c r="AT160" s="356">
        <v>7</v>
      </c>
      <c r="AU160" s="356">
        <v>6</v>
      </c>
      <c r="AV160" s="356">
        <v>5</v>
      </c>
      <c r="AW160" s="356">
        <v>13</v>
      </c>
      <c r="AX160" s="356">
        <v>13</v>
      </c>
      <c r="AY160" s="356">
        <v>11</v>
      </c>
      <c r="AZ160" s="356">
        <v>8</v>
      </c>
      <c r="BA160" s="356">
        <v>9</v>
      </c>
      <c r="BB160" s="356">
        <v>14</v>
      </c>
      <c r="BD160" s="353">
        <f t="shared" si="8"/>
        <v>85</v>
      </c>
      <c r="BE160" s="353">
        <f t="shared" si="9"/>
        <v>95</v>
      </c>
      <c r="BF160" s="353">
        <f t="shared" si="10"/>
        <v>94</v>
      </c>
      <c r="BG160" s="353">
        <f t="shared" si="11"/>
        <v>80</v>
      </c>
    </row>
    <row r="161" spans="2:59">
      <c r="B161" s="354">
        <v>153</v>
      </c>
      <c r="C161" s="743" t="s">
        <v>553</v>
      </c>
      <c r="D161" s="744" t="s">
        <v>553</v>
      </c>
      <c r="E161" s="744" t="s">
        <v>553</v>
      </c>
      <c r="F161" s="357">
        <v>28218604</v>
      </c>
      <c r="G161" s="356">
        <v>8</v>
      </c>
      <c r="H161" s="356">
        <v>10</v>
      </c>
      <c r="I161" s="356">
        <v>3</v>
      </c>
      <c r="J161" s="356">
        <v>11</v>
      </c>
      <c r="K161" s="356">
        <v>1</v>
      </c>
      <c r="L161" s="356">
        <v>4</v>
      </c>
      <c r="M161" s="356">
        <v>5</v>
      </c>
      <c r="N161" s="356">
        <v>10</v>
      </c>
      <c r="O161" s="356">
        <v>12</v>
      </c>
      <c r="P161" s="356">
        <v>10</v>
      </c>
      <c r="Q161" s="356">
        <v>4</v>
      </c>
      <c r="R161" s="356">
        <v>0</v>
      </c>
      <c r="S161" s="356">
        <v>2</v>
      </c>
      <c r="T161" s="356">
        <v>10</v>
      </c>
      <c r="U161" s="356">
        <v>14</v>
      </c>
      <c r="V161" s="356">
        <v>6</v>
      </c>
      <c r="W161" s="356">
        <v>4</v>
      </c>
      <c r="X161" s="356">
        <v>13</v>
      </c>
      <c r="Y161" s="356">
        <v>5</v>
      </c>
      <c r="Z161" s="356">
        <v>0</v>
      </c>
      <c r="AA161" s="356">
        <v>12</v>
      </c>
      <c r="AB161" s="356">
        <v>0</v>
      </c>
      <c r="AC161" s="356">
        <v>14</v>
      </c>
      <c r="AD161" s="356">
        <v>7</v>
      </c>
      <c r="AE161" s="356">
        <v>0</v>
      </c>
      <c r="AF161" s="356">
        <v>4</v>
      </c>
      <c r="AG161" s="356">
        <v>8</v>
      </c>
      <c r="AH161" s="356">
        <v>6</v>
      </c>
      <c r="AI161" s="356">
        <v>6</v>
      </c>
      <c r="AJ161" s="356">
        <v>12</v>
      </c>
      <c r="AK161" s="356">
        <v>1</v>
      </c>
      <c r="AL161" s="356">
        <v>13</v>
      </c>
      <c r="AM161" s="356">
        <v>8</v>
      </c>
      <c r="AN161" s="356">
        <v>14</v>
      </c>
      <c r="AO161" s="356">
        <v>1</v>
      </c>
      <c r="AP161" s="356">
        <v>2</v>
      </c>
      <c r="AQ161" s="356">
        <v>10</v>
      </c>
      <c r="AR161" s="356">
        <v>0</v>
      </c>
      <c r="AS161" s="356">
        <v>9</v>
      </c>
      <c r="AT161" s="356">
        <v>3</v>
      </c>
      <c r="AU161" s="356">
        <v>2</v>
      </c>
      <c r="AV161" s="356">
        <v>3</v>
      </c>
      <c r="AW161" s="356">
        <v>6</v>
      </c>
      <c r="AX161" s="356">
        <v>10</v>
      </c>
      <c r="AY161" s="356">
        <v>5</v>
      </c>
      <c r="AZ161" s="356">
        <v>6</v>
      </c>
      <c r="BA161" s="356">
        <v>4</v>
      </c>
      <c r="BB161" s="356">
        <v>5</v>
      </c>
      <c r="BD161" s="353">
        <f t="shared" si="8"/>
        <v>70</v>
      </c>
      <c r="BE161" s="353">
        <f t="shared" si="9"/>
        <v>70</v>
      </c>
      <c r="BF161" s="353">
        <f t="shared" si="10"/>
        <v>74</v>
      </c>
      <c r="BG161" s="353">
        <f t="shared" si="11"/>
        <v>62</v>
      </c>
    </row>
    <row r="162" spans="2:59">
      <c r="B162" s="354">
        <v>154</v>
      </c>
      <c r="C162" s="743" t="s">
        <v>552</v>
      </c>
      <c r="D162" s="744" t="s">
        <v>552</v>
      </c>
      <c r="E162" s="744" t="s">
        <v>552</v>
      </c>
      <c r="F162" s="357">
        <v>5670309</v>
      </c>
      <c r="G162" s="356">
        <v>5</v>
      </c>
      <c r="H162" s="356">
        <v>11</v>
      </c>
      <c r="I162" s="356">
        <v>11</v>
      </c>
      <c r="J162" s="356">
        <v>0</v>
      </c>
      <c r="K162" s="356">
        <v>2</v>
      </c>
      <c r="L162" s="356">
        <v>12</v>
      </c>
      <c r="M162" s="356">
        <v>4</v>
      </c>
      <c r="N162" s="356">
        <v>10</v>
      </c>
      <c r="O162" s="356">
        <v>6</v>
      </c>
      <c r="P162" s="356">
        <v>0</v>
      </c>
      <c r="Q162" s="356">
        <v>9</v>
      </c>
      <c r="R162" s="356">
        <v>14</v>
      </c>
      <c r="S162" s="356">
        <v>3</v>
      </c>
      <c r="T162" s="356">
        <v>1</v>
      </c>
      <c r="U162" s="356">
        <v>11</v>
      </c>
      <c r="V162" s="356">
        <v>2</v>
      </c>
      <c r="W162" s="356">
        <v>4</v>
      </c>
      <c r="X162" s="356">
        <v>4</v>
      </c>
      <c r="Y162" s="356">
        <v>0</v>
      </c>
      <c r="Z162" s="356">
        <v>1</v>
      </c>
      <c r="AA162" s="356">
        <v>12</v>
      </c>
      <c r="AB162" s="356">
        <v>6</v>
      </c>
      <c r="AC162" s="356">
        <v>4</v>
      </c>
      <c r="AD162" s="356">
        <v>9</v>
      </c>
      <c r="AE162" s="356">
        <v>10</v>
      </c>
      <c r="AF162" s="356">
        <v>7</v>
      </c>
      <c r="AG162" s="356">
        <v>1</v>
      </c>
      <c r="AH162" s="356">
        <v>2</v>
      </c>
      <c r="AI162" s="356">
        <v>12</v>
      </c>
      <c r="AJ162" s="356">
        <v>14</v>
      </c>
      <c r="AK162" s="356">
        <v>5</v>
      </c>
      <c r="AL162" s="356">
        <v>1</v>
      </c>
      <c r="AM162" s="356">
        <v>11</v>
      </c>
      <c r="AN162" s="356">
        <v>10</v>
      </c>
      <c r="AO162" s="356">
        <v>1</v>
      </c>
      <c r="AP162" s="356">
        <v>2</v>
      </c>
      <c r="AQ162" s="356">
        <v>1</v>
      </c>
      <c r="AR162" s="356">
        <v>5</v>
      </c>
      <c r="AS162" s="356">
        <v>6</v>
      </c>
      <c r="AT162" s="356">
        <v>15</v>
      </c>
      <c r="AU162" s="356">
        <v>0</v>
      </c>
      <c r="AV162" s="356">
        <v>2</v>
      </c>
      <c r="AW162" s="356">
        <v>4</v>
      </c>
      <c r="AX162" s="356">
        <v>0</v>
      </c>
      <c r="AY162" s="356">
        <v>14</v>
      </c>
      <c r="AZ162" s="356">
        <v>3</v>
      </c>
      <c r="BA162" s="356">
        <v>5</v>
      </c>
      <c r="BB162" s="356">
        <v>4</v>
      </c>
      <c r="BD162" s="353">
        <f t="shared" si="8"/>
        <v>56</v>
      </c>
      <c r="BE162" s="353">
        <f t="shared" si="9"/>
        <v>80</v>
      </c>
      <c r="BF162" s="353">
        <f t="shared" si="10"/>
        <v>61</v>
      </c>
      <c r="BG162" s="353">
        <f t="shared" si="11"/>
        <v>75</v>
      </c>
    </row>
    <row r="163" spans="2:59">
      <c r="B163" s="354">
        <v>155</v>
      </c>
      <c r="C163" s="743" t="s">
        <v>551</v>
      </c>
      <c r="D163" s="744" t="s">
        <v>551</v>
      </c>
      <c r="E163" s="744" t="s">
        <v>551</v>
      </c>
      <c r="F163" s="357">
        <v>1099372977</v>
      </c>
      <c r="G163" s="356">
        <v>10</v>
      </c>
      <c r="H163" s="356">
        <v>1</v>
      </c>
      <c r="I163" s="356">
        <v>1</v>
      </c>
      <c r="J163" s="356">
        <v>8</v>
      </c>
      <c r="K163" s="356">
        <v>10</v>
      </c>
      <c r="L163" s="356">
        <v>3</v>
      </c>
      <c r="M163" s="356">
        <v>15</v>
      </c>
      <c r="N163" s="356">
        <v>11</v>
      </c>
      <c r="O163" s="356">
        <v>0</v>
      </c>
      <c r="P163" s="356">
        <v>3</v>
      </c>
      <c r="Q163" s="356">
        <v>11</v>
      </c>
      <c r="R163" s="356">
        <v>3</v>
      </c>
      <c r="S163" s="356">
        <v>14</v>
      </c>
      <c r="T163" s="356">
        <v>11</v>
      </c>
      <c r="U163" s="356">
        <v>1</v>
      </c>
      <c r="V163" s="356">
        <v>7</v>
      </c>
      <c r="W163" s="356">
        <v>8</v>
      </c>
      <c r="X163" s="356">
        <v>15</v>
      </c>
      <c r="Y163" s="356">
        <v>4</v>
      </c>
      <c r="Z163" s="356">
        <v>2</v>
      </c>
      <c r="AA163" s="356">
        <v>8</v>
      </c>
      <c r="AB163" s="356">
        <v>14</v>
      </c>
      <c r="AC163" s="356">
        <v>12</v>
      </c>
      <c r="AD163" s="356">
        <v>1</v>
      </c>
      <c r="AE163" s="356">
        <v>4</v>
      </c>
      <c r="AF163" s="356">
        <v>2</v>
      </c>
      <c r="AG163" s="356">
        <v>0</v>
      </c>
      <c r="AH163" s="356">
        <v>12</v>
      </c>
      <c r="AI163" s="356">
        <v>6</v>
      </c>
      <c r="AJ163" s="356">
        <v>8</v>
      </c>
      <c r="AK163" s="356">
        <v>12</v>
      </c>
      <c r="AL163" s="356">
        <v>0</v>
      </c>
      <c r="AM163" s="356">
        <v>1</v>
      </c>
      <c r="AN163" s="356">
        <v>13</v>
      </c>
      <c r="AO163" s="356">
        <v>10</v>
      </c>
      <c r="AP163" s="356">
        <v>14</v>
      </c>
      <c r="AQ163" s="356">
        <v>0</v>
      </c>
      <c r="AR163" s="356">
        <v>12</v>
      </c>
      <c r="AS163" s="356">
        <v>12</v>
      </c>
      <c r="AT163" s="356">
        <v>15</v>
      </c>
      <c r="AU163" s="356">
        <v>10</v>
      </c>
      <c r="AV163" s="356">
        <v>2</v>
      </c>
      <c r="AW163" s="356">
        <v>0</v>
      </c>
      <c r="AX163" s="356">
        <v>12</v>
      </c>
      <c r="AY163" s="356">
        <v>0</v>
      </c>
      <c r="AZ163" s="356">
        <v>12</v>
      </c>
      <c r="BA163" s="356">
        <v>3</v>
      </c>
      <c r="BB163" s="356">
        <v>3</v>
      </c>
      <c r="BD163" s="353">
        <f t="shared" si="8"/>
        <v>78</v>
      </c>
      <c r="BE163" s="353">
        <f t="shared" si="9"/>
        <v>71</v>
      </c>
      <c r="BF163" s="353">
        <f t="shared" si="10"/>
        <v>81</v>
      </c>
      <c r="BG163" s="353">
        <f t="shared" si="11"/>
        <v>61</v>
      </c>
    </row>
    <row r="164" spans="2:59">
      <c r="B164" s="354">
        <v>156</v>
      </c>
      <c r="C164" s="743" t="s">
        <v>550</v>
      </c>
      <c r="D164" s="744" t="s">
        <v>550</v>
      </c>
      <c r="E164" s="744" t="s">
        <v>550</v>
      </c>
      <c r="F164" s="357">
        <v>1007740729</v>
      </c>
      <c r="G164" s="356">
        <v>5</v>
      </c>
      <c r="H164" s="356">
        <v>0</v>
      </c>
      <c r="I164" s="356">
        <v>7</v>
      </c>
      <c r="J164" s="356">
        <v>6</v>
      </c>
      <c r="K164" s="356">
        <v>2</v>
      </c>
      <c r="L164" s="356">
        <v>13</v>
      </c>
      <c r="M164" s="356">
        <v>12</v>
      </c>
      <c r="N164" s="356">
        <v>15</v>
      </c>
      <c r="O164" s="356">
        <v>12</v>
      </c>
      <c r="P164" s="356">
        <v>7</v>
      </c>
      <c r="Q164" s="356">
        <v>13</v>
      </c>
      <c r="R164" s="356">
        <v>4</v>
      </c>
      <c r="S164" s="356">
        <v>7</v>
      </c>
      <c r="T164" s="356">
        <v>2</v>
      </c>
      <c r="U164" s="356">
        <v>12</v>
      </c>
      <c r="V164" s="356">
        <v>12</v>
      </c>
      <c r="W164" s="356">
        <v>4</v>
      </c>
      <c r="X164" s="356">
        <v>15</v>
      </c>
      <c r="Y164" s="356">
        <v>9</v>
      </c>
      <c r="Z164" s="356">
        <v>3</v>
      </c>
      <c r="AA164" s="356">
        <v>13</v>
      </c>
      <c r="AB164" s="356">
        <v>8</v>
      </c>
      <c r="AC164" s="356">
        <v>3</v>
      </c>
      <c r="AD164" s="356">
        <v>7</v>
      </c>
      <c r="AE164" s="356">
        <v>10</v>
      </c>
      <c r="AF164" s="356">
        <v>5</v>
      </c>
      <c r="AG164" s="356">
        <v>13</v>
      </c>
      <c r="AH164" s="356">
        <v>10</v>
      </c>
      <c r="AI164" s="356">
        <v>5</v>
      </c>
      <c r="AJ164" s="356">
        <v>10</v>
      </c>
      <c r="AK164" s="356">
        <v>10</v>
      </c>
      <c r="AL164" s="356">
        <v>10</v>
      </c>
      <c r="AM164" s="356">
        <v>9</v>
      </c>
      <c r="AN164" s="356">
        <v>6</v>
      </c>
      <c r="AO164" s="356">
        <v>4</v>
      </c>
      <c r="AP164" s="356">
        <v>3</v>
      </c>
      <c r="AQ164" s="356">
        <v>15</v>
      </c>
      <c r="AR164" s="356">
        <v>14</v>
      </c>
      <c r="AS164" s="356">
        <v>15</v>
      </c>
      <c r="AT164" s="356">
        <v>14</v>
      </c>
      <c r="AU164" s="356">
        <v>10</v>
      </c>
      <c r="AV164" s="356">
        <v>9</v>
      </c>
      <c r="AW164" s="356">
        <v>2</v>
      </c>
      <c r="AX164" s="356">
        <v>2</v>
      </c>
      <c r="AY164" s="356">
        <v>8</v>
      </c>
      <c r="AZ164" s="356">
        <v>0</v>
      </c>
      <c r="BA164" s="356">
        <v>6</v>
      </c>
      <c r="BB164" s="356">
        <v>1</v>
      </c>
      <c r="BD164" s="353">
        <f t="shared" si="8"/>
        <v>100</v>
      </c>
      <c r="BE164" s="353">
        <f t="shared" si="9"/>
        <v>100</v>
      </c>
      <c r="BF164" s="353">
        <f t="shared" si="10"/>
        <v>106</v>
      </c>
      <c r="BG164" s="353">
        <f t="shared" si="11"/>
        <v>95</v>
      </c>
    </row>
    <row r="165" spans="2:59">
      <c r="B165" s="354">
        <v>157</v>
      </c>
      <c r="C165" s="743" t="s">
        <v>549</v>
      </c>
      <c r="D165" s="744" t="s">
        <v>549</v>
      </c>
      <c r="E165" s="744" t="s">
        <v>549</v>
      </c>
      <c r="F165" s="357">
        <v>1142717059</v>
      </c>
      <c r="G165" s="356">
        <v>1</v>
      </c>
      <c r="H165" s="356">
        <v>0</v>
      </c>
      <c r="I165" s="356">
        <v>8</v>
      </c>
      <c r="J165" s="356">
        <v>11</v>
      </c>
      <c r="K165" s="356">
        <v>11</v>
      </c>
      <c r="L165" s="356">
        <v>13</v>
      </c>
      <c r="M165" s="356">
        <v>5</v>
      </c>
      <c r="N165" s="356">
        <v>8</v>
      </c>
      <c r="O165" s="356">
        <v>5</v>
      </c>
      <c r="P165" s="356">
        <v>14</v>
      </c>
      <c r="Q165" s="356">
        <v>3</v>
      </c>
      <c r="R165" s="356">
        <v>14</v>
      </c>
      <c r="S165" s="356">
        <v>13</v>
      </c>
      <c r="T165" s="356">
        <v>9</v>
      </c>
      <c r="U165" s="356">
        <v>5</v>
      </c>
      <c r="V165" s="356">
        <v>14</v>
      </c>
      <c r="W165" s="356">
        <v>10</v>
      </c>
      <c r="X165" s="356">
        <v>14</v>
      </c>
      <c r="Y165" s="356">
        <v>13</v>
      </c>
      <c r="Z165" s="356">
        <v>7</v>
      </c>
      <c r="AA165" s="356">
        <v>12</v>
      </c>
      <c r="AB165" s="356">
        <v>9</v>
      </c>
      <c r="AC165" s="356">
        <v>12</v>
      </c>
      <c r="AD165" s="356">
        <v>9</v>
      </c>
      <c r="AE165" s="356">
        <v>1</v>
      </c>
      <c r="AF165" s="356">
        <v>8</v>
      </c>
      <c r="AG165" s="356">
        <v>9</v>
      </c>
      <c r="AH165" s="356">
        <v>10</v>
      </c>
      <c r="AI165" s="356">
        <v>8</v>
      </c>
      <c r="AJ165" s="356">
        <v>2</v>
      </c>
      <c r="AK165" s="356">
        <v>14</v>
      </c>
      <c r="AL165" s="356">
        <v>14</v>
      </c>
      <c r="AM165" s="356">
        <v>14</v>
      </c>
      <c r="AN165" s="356">
        <v>4</v>
      </c>
      <c r="AO165" s="356">
        <v>3</v>
      </c>
      <c r="AP165" s="356">
        <v>9</v>
      </c>
      <c r="AQ165" s="356">
        <v>10</v>
      </c>
      <c r="AR165" s="356">
        <v>15</v>
      </c>
      <c r="AS165" s="356">
        <v>14</v>
      </c>
      <c r="AT165" s="356">
        <v>11</v>
      </c>
      <c r="AU165" s="356">
        <v>2</v>
      </c>
      <c r="AV165" s="356">
        <v>4</v>
      </c>
      <c r="AW165" s="356">
        <v>1</v>
      </c>
      <c r="AX165" s="356">
        <v>8</v>
      </c>
      <c r="AY165" s="356">
        <v>7</v>
      </c>
      <c r="AZ165" s="356">
        <v>4</v>
      </c>
      <c r="BA165" s="356">
        <v>2</v>
      </c>
      <c r="BB165" s="356">
        <v>1</v>
      </c>
      <c r="BD165" s="353">
        <f t="shared" si="8"/>
        <v>87</v>
      </c>
      <c r="BE165" s="353">
        <f t="shared" si="9"/>
        <v>94</v>
      </c>
      <c r="BF165" s="353">
        <f t="shared" si="10"/>
        <v>89</v>
      </c>
      <c r="BG165" s="353">
        <f t="shared" si="11"/>
        <v>93</v>
      </c>
    </row>
    <row r="166" spans="2:59">
      <c r="B166" s="354">
        <v>158</v>
      </c>
      <c r="C166" s="743" t="s">
        <v>548</v>
      </c>
      <c r="D166" s="744" t="s">
        <v>548</v>
      </c>
      <c r="E166" s="744" t="s">
        <v>548</v>
      </c>
      <c r="F166" s="357">
        <v>1099366219</v>
      </c>
      <c r="G166" s="356">
        <v>0</v>
      </c>
      <c r="H166" s="356">
        <v>2</v>
      </c>
      <c r="I166" s="356">
        <v>3</v>
      </c>
      <c r="J166" s="356">
        <v>11</v>
      </c>
      <c r="K166" s="356">
        <v>2</v>
      </c>
      <c r="L166" s="356">
        <v>14</v>
      </c>
      <c r="M166" s="356">
        <v>11</v>
      </c>
      <c r="N166" s="356">
        <v>10</v>
      </c>
      <c r="O166" s="356">
        <v>3</v>
      </c>
      <c r="P166" s="356">
        <v>12</v>
      </c>
      <c r="Q166" s="356">
        <v>12</v>
      </c>
      <c r="R166" s="356">
        <v>10</v>
      </c>
      <c r="S166" s="356">
        <v>2</v>
      </c>
      <c r="T166" s="356">
        <v>2</v>
      </c>
      <c r="U166" s="356">
        <v>2</v>
      </c>
      <c r="V166" s="356">
        <v>7</v>
      </c>
      <c r="W166" s="356">
        <v>8</v>
      </c>
      <c r="X166" s="356">
        <v>0</v>
      </c>
      <c r="Y166" s="356">
        <v>6</v>
      </c>
      <c r="Z166" s="356">
        <v>15</v>
      </c>
      <c r="AA166" s="356">
        <v>4</v>
      </c>
      <c r="AB166" s="356">
        <v>4</v>
      </c>
      <c r="AC166" s="356">
        <v>9</v>
      </c>
      <c r="AD166" s="356">
        <v>9</v>
      </c>
      <c r="AE166" s="356">
        <v>0</v>
      </c>
      <c r="AF166" s="356">
        <v>13</v>
      </c>
      <c r="AG166" s="356">
        <v>0</v>
      </c>
      <c r="AH166" s="356">
        <v>13</v>
      </c>
      <c r="AI166" s="356">
        <v>5</v>
      </c>
      <c r="AJ166" s="356">
        <v>0</v>
      </c>
      <c r="AK166" s="356">
        <v>13</v>
      </c>
      <c r="AL166" s="356">
        <v>0</v>
      </c>
      <c r="AM166" s="356">
        <v>15</v>
      </c>
      <c r="AN166" s="356">
        <v>3</v>
      </c>
      <c r="AO166" s="356">
        <v>0</v>
      </c>
      <c r="AP166" s="356">
        <v>8</v>
      </c>
      <c r="AQ166" s="356">
        <v>8</v>
      </c>
      <c r="AR166" s="356">
        <v>6</v>
      </c>
      <c r="AS166" s="356">
        <v>1</v>
      </c>
      <c r="AT166" s="356">
        <v>6</v>
      </c>
      <c r="AU166" s="356">
        <v>7</v>
      </c>
      <c r="AV166" s="356">
        <v>5</v>
      </c>
      <c r="AW166" s="356">
        <v>14</v>
      </c>
      <c r="AX166" s="356">
        <v>3</v>
      </c>
      <c r="AY166" s="356">
        <v>10</v>
      </c>
      <c r="AZ166" s="356">
        <v>11</v>
      </c>
      <c r="BA166" s="356">
        <v>7</v>
      </c>
      <c r="BB166" s="356">
        <v>13</v>
      </c>
      <c r="BD166" s="353">
        <f t="shared" si="8"/>
        <v>71</v>
      </c>
      <c r="BE166" s="353">
        <f t="shared" si="9"/>
        <v>64</v>
      </c>
      <c r="BF166" s="353">
        <f t="shared" si="10"/>
        <v>78</v>
      </c>
      <c r="BG166" s="353">
        <f t="shared" si="11"/>
        <v>64</v>
      </c>
    </row>
    <row r="167" spans="2:59">
      <c r="B167" s="354">
        <v>159</v>
      </c>
      <c r="C167" s="743" t="s">
        <v>547</v>
      </c>
      <c r="D167" s="744" t="s">
        <v>547</v>
      </c>
      <c r="E167" s="744" t="s">
        <v>547</v>
      </c>
      <c r="F167" s="357">
        <v>1095926328</v>
      </c>
      <c r="G167" s="356">
        <v>4</v>
      </c>
      <c r="H167" s="356">
        <v>9</v>
      </c>
      <c r="I167" s="356">
        <v>1</v>
      </c>
      <c r="J167" s="356">
        <v>10</v>
      </c>
      <c r="K167" s="356">
        <v>14</v>
      </c>
      <c r="L167" s="356">
        <v>14</v>
      </c>
      <c r="M167" s="356">
        <v>3</v>
      </c>
      <c r="N167" s="356">
        <v>6</v>
      </c>
      <c r="O167" s="356">
        <v>13</v>
      </c>
      <c r="P167" s="356">
        <v>1</v>
      </c>
      <c r="Q167" s="356">
        <v>0</v>
      </c>
      <c r="R167" s="356">
        <v>5</v>
      </c>
      <c r="S167" s="356">
        <v>12</v>
      </c>
      <c r="T167" s="356">
        <v>9</v>
      </c>
      <c r="U167" s="356">
        <v>3</v>
      </c>
      <c r="V167" s="356">
        <v>10</v>
      </c>
      <c r="W167" s="356">
        <v>8</v>
      </c>
      <c r="X167" s="356">
        <v>2</v>
      </c>
      <c r="Y167" s="356">
        <v>5</v>
      </c>
      <c r="Z167" s="356">
        <v>10</v>
      </c>
      <c r="AA167" s="356">
        <v>4</v>
      </c>
      <c r="AB167" s="356">
        <v>4</v>
      </c>
      <c r="AC167" s="356">
        <v>15</v>
      </c>
      <c r="AD167" s="356">
        <v>0</v>
      </c>
      <c r="AE167" s="356">
        <v>2</v>
      </c>
      <c r="AF167" s="356">
        <v>12</v>
      </c>
      <c r="AG167" s="356">
        <v>1</v>
      </c>
      <c r="AH167" s="356">
        <v>8</v>
      </c>
      <c r="AI167" s="356">
        <v>13</v>
      </c>
      <c r="AJ167" s="356">
        <v>12</v>
      </c>
      <c r="AK167" s="356">
        <v>3</v>
      </c>
      <c r="AL167" s="356">
        <v>1</v>
      </c>
      <c r="AM167" s="356">
        <v>0</v>
      </c>
      <c r="AN167" s="356">
        <v>1</v>
      </c>
      <c r="AO167" s="356">
        <v>1</v>
      </c>
      <c r="AP167" s="356">
        <v>7</v>
      </c>
      <c r="AQ167" s="356">
        <v>4</v>
      </c>
      <c r="AR167" s="356">
        <v>10</v>
      </c>
      <c r="AS167" s="356">
        <v>6</v>
      </c>
      <c r="AT167" s="356">
        <v>13</v>
      </c>
      <c r="AU167" s="356">
        <v>5</v>
      </c>
      <c r="AV167" s="356">
        <v>14</v>
      </c>
      <c r="AW167" s="356">
        <v>10</v>
      </c>
      <c r="AX167" s="356">
        <v>10</v>
      </c>
      <c r="AY167" s="356">
        <v>1</v>
      </c>
      <c r="AZ167" s="356">
        <v>11</v>
      </c>
      <c r="BA167" s="356">
        <v>11</v>
      </c>
      <c r="BB167" s="356">
        <v>0</v>
      </c>
      <c r="BD167" s="353">
        <f t="shared" si="8"/>
        <v>48</v>
      </c>
      <c r="BE167" s="353">
        <f t="shared" si="9"/>
        <v>80</v>
      </c>
      <c r="BF167" s="353">
        <f t="shared" si="10"/>
        <v>59</v>
      </c>
      <c r="BG167" s="353">
        <f t="shared" si="11"/>
        <v>76</v>
      </c>
    </row>
    <row r="168" spans="2:59">
      <c r="B168" s="354">
        <v>160</v>
      </c>
      <c r="C168" s="743" t="s">
        <v>546</v>
      </c>
      <c r="D168" s="744" t="s">
        <v>546</v>
      </c>
      <c r="E168" s="744" t="s">
        <v>546</v>
      </c>
      <c r="F168" s="357">
        <v>1096071383</v>
      </c>
      <c r="G168" s="356">
        <v>3</v>
      </c>
      <c r="H168" s="356">
        <v>0</v>
      </c>
      <c r="I168" s="356">
        <v>2</v>
      </c>
      <c r="J168" s="356">
        <v>8</v>
      </c>
      <c r="K168" s="356">
        <v>1</v>
      </c>
      <c r="L168" s="356">
        <v>13</v>
      </c>
      <c r="M168" s="356">
        <v>5</v>
      </c>
      <c r="N168" s="356">
        <v>4</v>
      </c>
      <c r="O168" s="356">
        <v>11</v>
      </c>
      <c r="P168" s="356">
        <v>13</v>
      </c>
      <c r="Q168" s="356">
        <v>2</v>
      </c>
      <c r="R168" s="356">
        <v>2</v>
      </c>
      <c r="S168" s="356">
        <v>10</v>
      </c>
      <c r="T168" s="356">
        <v>10</v>
      </c>
      <c r="U168" s="356">
        <v>5</v>
      </c>
      <c r="V168" s="356">
        <v>3</v>
      </c>
      <c r="W168" s="356">
        <v>6</v>
      </c>
      <c r="X168" s="356">
        <v>12</v>
      </c>
      <c r="Y168" s="356">
        <v>3</v>
      </c>
      <c r="Z168" s="356">
        <v>4</v>
      </c>
      <c r="AA168" s="356">
        <v>11</v>
      </c>
      <c r="AB168" s="356">
        <v>3</v>
      </c>
      <c r="AC168" s="356">
        <v>2</v>
      </c>
      <c r="AD168" s="356">
        <v>2</v>
      </c>
      <c r="AE168" s="356">
        <v>14</v>
      </c>
      <c r="AF168" s="356">
        <v>11</v>
      </c>
      <c r="AG168" s="356">
        <v>7</v>
      </c>
      <c r="AH168" s="356">
        <v>7</v>
      </c>
      <c r="AI168" s="356">
        <v>5</v>
      </c>
      <c r="AJ168" s="356">
        <v>7</v>
      </c>
      <c r="AK168" s="356">
        <v>1</v>
      </c>
      <c r="AL168" s="356">
        <v>8</v>
      </c>
      <c r="AM168" s="356">
        <v>6</v>
      </c>
      <c r="AN168" s="356">
        <v>4</v>
      </c>
      <c r="AO168" s="356">
        <v>10</v>
      </c>
      <c r="AP168" s="356">
        <v>2</v>
      </c>
      <c r="AQ168" s="356">
        <v>8</v>
      </c>
      <c r="AR168" s="356">
        <v>1</v>
      </c>
      <c r="AS168" s="356">
        <v>14</v>
      </c>
      <c r="AT168" s="356">
        <v>3</v>
      </c>
      <c r="AU168" s="356">
        <v>5</v>
      </c>
      <c r="AV168" s="356">
        <v>4</v>
      </c>
      <c r="AW168" s="356">
        <v>0</v>
      </c>
      <c r="AX168" s="356">
        <v>9</v>
      </c>
      <c r="AY168" s="356">
        <v>1</v>
      </c>
      <c r="AZ168" s="356">
        <v>10</v>
      </c>
      <c r="BA168" s="356">
        <v>3</v>
      </c>
      <c r="BB168" s="356">
        <v>10</v>
      </c>
      <c r="BD168" s="353">
        <f t="shared" si="8"/>
        <v>51</v>
      </c>
      <c r="BE168" s="353">
        <f t="shared" si="9"/>
        <v>81</v>
      </c>
      <c r="BF168" s="353">
        <f t="shared" si="10"/>
        <v>54</v>
      </c>
      <c r="BG168" s="353">
        <f t="shared" si="11"/>
        <v>78</v>
      </c>
    </row>
    <row r="169" spans="2:59">
      <c r="B169" s="354">
        <v>161</v>
      </c>
      <c r="C169" s="743" t="s">
        <v>545</v>
      </c>
      <c r="D169" s="744" t="s">
        <v>545</v>
      </c>
      <c r="E169" s="744" t="s">
        <v>545</v>
      </c>
      <c r="F169" s="357">
        <v>1099375397</v>
      </c>
      <c r="G169" s="356">
        <v>10</v>
      </c>
      <c r="H169" s="356">
        <v>0</v>
      </c>
      <c r="I169" s="356">
        <v>15</v>
      </c>
      <c r="J169" s="356">
        <v>14</v>
      </c>
      <c r="K169" s="356">
        <v>0</v>
      </c>
      <c r="L169" s="356">
        <v>1</v>
      </c>
      <c r="M169" s="356">
        <v>10</v>
      </c>
      <c r="N169" s="356">
        <v>4</v>
      </c>
      <c r="O169" s="356">
        <v>5</v>
      </c>
      <c r="P169" s="356">
        <v>10</v>
      </c>
      <c r="Q169" s="356">
        <v>8</v>
      </c>
      <c r="R169" s="356">
        <v>0</v>
      </c>
      <c r="S169" s="356">
        <v>8</v>
      </c>
      <c r="T169" s="356">
        <v>7</v>
      </c>
      <c r="U169" s="356">
        <v>2</v>
      </c>
      <c r="V169" s="356">
        <v>4</v>
      </c>
      <c r="W169" s="356">
        <v>6</v>
      </c>
      <c r="X169" s="356">
        <v>1</v>
      </c>
      <c r="Y169" s="356">
        <v>1</v>
      </c>
      <c r="Z169" s="356">
        <v>10</v>
      </c>
      <c r="AA169" s="356">
        <v>8</v>
      </c>
      <c r="AB169" s="356">
        <v>4</v>
      </c>
      <c r="AC169" s="356">
        <v>14</v>
      </c>
      <c r="AD169" s="356">
        <v>10</v>
      </c>
      <c r="AE169" s="356">
        <v>14</v>
      </c>
      <c r="AF169" s="356">
        <v>2</v>
      </c>
      <c r="AG169" s="356">
        <v>11</v>
      </c>
      <c r="AH169" s="356">
        <v>12</v>
      </c>
      <c r="AI169" s="356">
        <v>13</v>
      </c>
      <c r="AJ169" s="356">
        <v>0</v>
      </c>
      <c r="AK169" s="356">
        <v>6</v>
      </c>
      <c r="AL169" s="356">
        <v>11</v>
      </c>
      <c r="AM169" s="356">
        <v>5</v>
      </c>
      <c r="AN169" s="356">
        <v>14</v>
      </c>
      <c r="AO169" s="356">
        <v>0</v>
      </c>
      <c r="AP169" s="356">
        <v>12</v>
      </c>
      <c r="AQ169" s="356">
        <v>4</v>
      </c>
      <c r="AR169" s="356">
        <v>5</v>
      </c>
      <c r="AS169" s="356">
        <v>7</v>
      </c>
      <c r="AT169" s="356">
        <v>8</v>
      </c>
      <c r="AU169" s="356">
        <v>0</v>
      </c>
      <c r="AV169" s="356">
        <v>10</v>
      </c>
      <c r="AW169" s="356">
        <v>1</v>
      </c>
      <c r="AX169" s="356">
        <v>2</v>
      </c>
      <c r="AY169" s="356">
        <v>3</v>
      </c>
      <c r="AZ169" s="356">
        <v>14</v>
      </c>
      <c r="BA169" s="356">
        <v>8</v>
      </c>
      <c r="BB169" s="356">
        <v>9</v>
      </c>
      <c r="BD169" s="353">
        <f t="shared" si="8"/>
        <v>75</v>
      </c>
      <c r="BE169" s="353">
        <f t="shared" si="9"/>
        <v>76</v>
      </c>
      <c r="BF169" s="353">
        <f t="shared" si="10"/>
        <v>83</v>
      </c>
      <c r="BG169" s="353">
        <f t="shared" si="11"/>
        <v>66</v>
      </c>
    </row>
    <row r="170" spans="2:59">
      <c r="B170" s="354">
        <v>162</v>
      </c>
      <c r="C170" s="743" t="s">
        <v>544</v>
      </c>
      <c r="D170" s="744" t="s">
        <v>544</v>
      </c>
      <c r="E170" s="744" t="s">
        <v>544</v>
      </c>
      <c r="F170" s="357">
        <v>13800935</v>
      </c>
      <c r="G170" s="356">
        <v>13</v>
      </c>
      <c r="H170" s="356">
        <v>4</v>
      </c>
      <c r="I170" s="356">
        <v>4</v>
      </c>
      <c r="J170" s="356">
        <v>12</v>
      </c>
      <c r="K170" s="356">
        <v>12</v>
      </c>
      <c r="L170" s="356">
        <v>8</v>
      </c>
      <c r="M170" s="356">
        <v>12</v>
      </c>
      <c r="N170" s="356">
        <v>2</v>
      </c>
      <c r="O170" s="356">
        <v>6</v>
      </c>
      <c r="P170" s="356">
        <v>8</v>
      </c>
      <c r="Q170" s="356">
        <v>3</v>
      </c>
      <c r="R170" s="356">
        <v>10</v>
      </c>
      <c r="S170" s="356">
        <v>7</v>
      </c>
      <c r="T170" s="356">
        <v>3</v>
      </c>
      <c r="U170" s="356">
        <v>1</v>
      </c>
      <c r="V170" s="356">
        <v>12</v>
      </c>
      <c r="W170" s="356">
        <v>15</v>
      </c>
      <c r="X170" s="356">
        <v>2</v>
      </c>
      <c r="Y170" s="356">
        <v>8</v>
      </c>
      <c r="Z170" s="356">
        <v>2</v>
      </c>
      <c r="AA170" s="356">
        <v>10</v>
      </c>
      <c r="AB170" s="356">
        <v>7</v>
      </c>
      <c r="AC170" s="356">
        <v>1</v>
      </c>
      <c r="AD170" s="356">
        <v>3</v>
      </c>
      <c r="AE170" s="356">
        <v>9</v>
      </c>
      <c r="AF170" s="356">
        <v>6</v>
      </c>
      <c r="AG170" s="356">
        <v>3</v>
      </c>
      <c r="AH170" s="356">
        <v>8</v>
      </c>
      <c r="AI170" s="356">
        <v>6</v>
      </c>
      <c r="AJ170" s="356">
        <v>6</v>
      </c>
      <c r="AK170" s="356">
        <v>13</v>
      </c>
      <c r="AL170" s="356">
        <v>10</v>
      </c>
      <c r="AM170" s="356">
        <v>14</v>
      </c>
      <c r="AN170" s="356">
        <v>6</v>
      </c>
      <c r="AO170" s="356">
        <v>12</v>
      </c>
      <c r="AP170" s="356">
        <v>0</v>
      </c>
      <c r="AQ170" s="356">
        <v>4</v>
      </c>
      <c r="AR170" s="356">
        <v>3</v>
      </c>
      <c r="AS170" s="356">
        <v>15</v>
      </c>
      <c r="AT170" s="356">
        <v>6</v>
      </c>
      <c r="AU170" s="356">
        <v>3</v>
      </c>
      <c r="AV170" s="356">
        <v>3</v>
      </c>
      <c r="AW170" s="356">
        <v>1</v>
      </c>
      <c r="AX170" s="356">
        <v>13</v>
      </c>
      <c r="AY170" s="356">
        <v>8</v>
      </c>
      <c r="AZ170" s="356">
        <v>9</v>
      </c>
      <c r="BA170" s="356">
        <v>12</v>
      </c>
      <c r="BB170" s="356">
        <v>6</v>
      </c>
      <c r="BD170" s="353">
        <f t="shared" si="8"/>
        <v>73</v>
      </c>
      <c r="BE170" s="353">
        <f t="shared" si="9"/>
        <v>107</v>
      </c>
      <c r="BF170" s="353">
        <f t="shared" si="10"/>
        <v>85</v>
      </c>
      <c r="BG170" s="353">
        <f t="shared" si="11"/>
        <v>94</v>
      </c>
    </row>
    <row r="171" spans="2:59">
      <c r="B171" s="354">
        <v>163</v>
      </c>
      <c r="C171" s="743" t="s">
        <v>543</v>
      </c>
      <c r="D171" s="744" t="s">
        <v>543</v>
      </c>
      <c r="E171" s="744" t="s">
        <v>543</v>
      </c>
      <c r="F171" s="357">
        <v>27959917</v>
      </c>
      <c r="G171" s="356">
        <v>11</v>
      </c>
      <c r="H171" s="356">
        <v>14</v>
      </c>
      <c r="I171" s="356">
        <v>4</v>
      </c>
      <c r="J171" s="356">
        <v>12</v>
      </c>
      <c r="K171" s="356">
        <v>12</v>
      </c>
      <c r="L171" s="356">
        <v>5</v>
      </c>
      <c r="M171" s="356">
        <v>15</v>
      </c>
      <c r="N171" s="356">
        <v>14</v>
      </c>
      <c r="O171" s="356">
        <v>2</v>
      </c>
      <c r="P171" s="356">
        <v>4</v>
      </c>
      <c r="Q171" s="356">
        <v>0</v>
      </c>
      <c r="R171" s="356">
        <v>14</v>
      </c>
      <c r="S171" s="356">
        <v>4</v>
      </c>
      <c r="T171" s="356">
        <v>12</v>
      </c>
      <c r="U171" s="356">
        <v>6</v>
      </c>
      <c r="V171" s="356">
        <v>0</v>
      </c>
      <c r="W171" s="356">
        <v>10</v>
      </c>
      <c r="X171" s="356">
        <v>6</v>
      </c>
      <c r="Y171" s="356">
        <v>4</v>
      </c>
      <c r="Z171" s="356">
        <v>5</v>
      </c>
      <c r="AA171" s="356">
        <v>13</v>
      </c>
      <c r="AB171" s="356">
        <v>0</v>
      </c>
      <c r="AC171" s="356">
        <v>15</v>
      </c>
      <c r="AD171" s="356">
        <v>0</v>
      </c>
      <c r="AE171" s="356">
        <v>3</v>
      </c>
      <c r="AF171" s="356">
        <v>2</v>
      </c>
      <c r="AG171" s="356">
        <v>5</v>
      </c>
      <c r="AH171" s="356">
        <v>9</v>
      </c>
      <c r="AI171" s="356">
        <v>5</v>
      </c>
      <c r="AJ171" s="356">
        <v>12</v>
      </c>
      <c r="AK171" s="356">
        <v>10</v>
      </c>
      <c r="AL171" s="356">
        <v>7</v>
      </c>
      <c r="AM171" s="356">
        <v>0</v>
      </c>
      <c r="AN171" s="356">
        <v>9</v>
      </c>
      <c r="AO171" s="356">
        <v>6</v>
      </c>
      <c r="AP171" s="356">
        <v>0</v>
      </c>
      <c r="AQ171" s="356">
        <v>7</v>
      </c>
      <c r="AR171" s="356">
        <v>7</v>
      </c>
      <c r="AS171" s="356">
        <v>6</v>
      </c>
      <c r="AT171" s="356">
        <v>14</v>
      </c>
      <c r="AU171" s="356">
        <v>11</v>
      </c>
      <c r="AV171" s="356">
        <v>7</v>
      </c>
      <c r="AW171" s="356">
        <v>8</v>
      </c>
      <c r="AX171" s="356">
        <v>1</v>
      </c>
      <c r="AY171" s="356">
        <v>9</v>
      </c>
      <c r="AZ171" s="356">
        <v>7</v>
      </c>
      <c r="BA171" s="356">
        <v>1</v>
      </c>
      <c r="BB171" s="356">
        <v>8</v>
      </c>
      <c r="BD171" s="353">
        <f t="shared" si="8"/>
        <v>79</v>
      </c>
      <c r="BE171" s="353">
        <f t="shared" si="9"/>
        <v>87</v>
      </c>
      <c r="BF171" s="353">
        <f t="shared" si="10"/>
        <v>80</v>
      </c>
      <c r="BG171" s="353">
        <f t="shared" si="11"/>
        <v>76</v>
      </c>
    </row>
    <row r="172" spans="2:59">
      <c r="B172" s="354">
        <v>164</v>
      </c>
      <c r="C172" s="743" t="s">
        <v>542</v>
      </c>
      <c r="D172" s="744" t="s">
        <v>542</v>
      </c>
      <c r="E172" s="744" t="s">
        <v>542</v>
      </c>
      <c r="F172" s="357">
        <v>91291568</v>
      </c>
      <c r="G172" s="356">
        <v>10</v>
      </c>
      <c r="H172" s="356">
        <v>7</v>
      </c>
      <c r="I172" s="356">
        <v>4</v>
      </c>
      <c r="J172" s="356">
        <v>1</v>
      </c>
      <c r="K172" s="356">
        <v>1</v>
      </c>
      <c r="L172" s="356">
        <v>0</v>
      </c>
      <c r="M172" s="356">
        <v>3</v>
      </c>
      <c r="N172" s="356">
        <v>2</v>
      </c>
      <c r="O172" s="356">
        <v>12</v>
      </c>
      <c r="P172" s="356">
        <v>10</v>
      </c>
      <c r="Q172" s="356">
        <v>15</v>
      </c>
      <c r="R172" s="356">
        <v>13</v>
      </c>
      <c r="S172" s="356">
        <v>4</v>
      </c>
      <c r="T172" s="356">
        <v>15</v>
      </c>
      <c r="U172" s="356">
        <v>8</v>
      </c>
      <c r="V172" s="356">
        <v>11</v>
      </c>
      <c r="W172" s="356">
        <v>4</v>
      </c>
      <c r="X172" s="356">
        <v>14</v>
      </c>
      <c r="Y172" s="356">
        <v>0</v>
      </c>
      <c r="Z172" s="356">
        <v>10</v>
      </c>
      <c r="AA172" s="356">
        <v>4</v>
      </c>
      <c r="AB172" s="356">
        <v>3</v>
      </c>
      <c r="AC172" s="356">
        <v>15</v>
      </c>
      <c r="AD172" s="356">
        <v>6</v>
      </c>
      <c r="AE172" s="356">
        <v>5</v>
      </c>
      <c r="AF172" s="356">
        <v>6</v>
      </c>
      <c r="AG172" s="356">
        <v>15</v>
      </c>
      <c r="AH172" s="356">
        <v>12</v>
      </c>
      <c r="AI172" s="356">
        <v>12</v>
      </c>
      <c r="AJ172" s="356">
        <v>11</v>
      </c>
      <c r="AK172" s="356">
        <v>14</v>
      </c>
      <c r="AL172" s="356">
        <v>3</v>
      </c>
      <c r="AM172" s="356">
        <v>1</v>
      </c>
      <c r="AN172" s="356">
        <v>14</v>
      </c>
      <c r="AO172" s="356">
        <v>3</v>
      </c>
      <c r="AP172" s="356">
        <v>8</v>
      </c>
      <c r="AQ172" s="356">
        <v>7</v>
      </c>
      <c r="AR172" s="356">
        <v>0</v>
      </c>
      <c r="AS172" s="356">
        <v>12</v>
      </c>
      <c r="AT172" s="356">
        <v>8</v>
      </c>
      <c r="AU172" s="356">
        <v>3</v>
      </c>
      <c r="AV172" s="356">
        <v>14</v>
      </c>
      <c r="AW172" s="356">
        <v>12</v>
      </c>
      <c r="AX172" s="356">
        <v>1</v>
      </c>
      <c r="AY172" s="356">
        <v>10</v>
      </c>
      <c r="AZ172" s="356">
        <v>13</v>
      </c>
      <c r="BA172" s="356">
        <v>7</v>
      </c>
      <c r="BB172" s="356">
        <v>13</v>
      </c>
      <c r="BD172" s="353">
        <f t="shared" si="8"/>
        <v>101</v>
      </c>
      <c r="BE172" s="353">
        <f t="shared" si="9"/>
        <v>73</v>
      </c>
      <c r="BF172" s="353">
        <f t="shared" si="10"/>
        <v>108</v>
      </c>
      <c r="BG172" s="353">
        <f t="shared" si="11"/>
        <v>63</v>
      </c>
    </row>
    <row r="173" spans="2:59">
      <c r="B173" s="354">
        <v>165</v>
      </c>
      <c r="C173" s="743" t="s">
        <v>541</v>
      </c>
      <c r="D173" s="744" t="s">
        <v>541</v>
      </c>
      <c r="E173" s="744" t="s">
        <v>541</v>
      </c>
      <c r="F173" s="357">
        <v>1099375843</v>
      </c>
      <c r="G173" s="356">
        <v>8</v>
      </c>
      <c r="H173" s="356">
        <v>12</v>
      </c>
      <c r="I173" s="356">
        <v>0</v>
      </c>
      <c r="J173" s="356">
        <v>5</v>
      </c>
      <c r="K173" s="356">
        <v>8</v>
      </c>
      <c r="L173" s="356">
        <v>10</v>
      </c>
      <c r="M173" s="356">
        <v>10</v>
      </c>
      <c r="N173" s="356">
        <v>10</v>
      </c>
      <c r="O173" s="356">
        <v>10</v>
      </c>
      <c r="P173" s="356">
        <v>8</v>
      </c>
      <c r="Q173" s="356">
        <v>4</v>
      </c>
      <c r="R173" s="356">
        <v>2</v>
      </c>
      <c r="S173" s="356">
        <v>4</v>
      </c>
      <c r="T173" s="356">
        <v>3</v>
      </c>
      <c r="U173" s="356">
        <v>12</v>
      </c>
      <c r="V173" s="356">
        <v>11</v>
      </c>
      <c r="W173" s="356">
        <v>0</v>
      </c>
      <c r="X173" s="356">
        <v>15</v>
      </c>
      <c r="Y173" s="356">
        <v>8</v>
      </c>
      <c r="Z173" s="356">
        <v>0</v>
      </c>
      <c r="AA173" s="356">
        <v>14</v>
      </c>
      <c r="AB173" s="356">
        <v>11</v>
      </c>
      <c r="AC173" s="356">
        <v>10</v>
      </c>
      <c r="AD173" s="356">
        <v>14</v>
      </c>
      <c r="AE173" s="356">
        <v>11</v>
      </c>
      <c r="AF173" s="356">
        <v>14</v>
      </c>
      <c r="AG173" s="356">
        <v>5</v>
      </c>
      <c r="AH173" s="356">
        <v>4</v>
      </c>
      <c r="AI173" s="356">
        <v>6</v>
      </c>
      <c r="AJ173" s="356">
        <v>0</v>
      </c>
      <c r="AK173" s="356">
        <v>0</v>
      </c>
      <c r="AL173" s="356">
        <v>4</v>
      </c>
      <c r="AM173" s="356">
        <v>7</v>
      </c>
      <c r="AN173" s="356">
        <v>2</v>
      </c>
      <c r="AO173" s="356">
        <v>4</v>
      </c>
      <c r="AP173" s="356">
        <v>13</v>
      </c>
      <c r="AQ173" s="356">
        <v>8</v>
      </c>
      <c r="AR173" s="356">
        <v>0</v>
      </c>
      <c r="AS173" s="356">
        <v>1</v>
      </c>
      <c r="AT173" s="356">
        <v>7</v>
      </c>
      <c r="AU173" s="356">
        <v>0</v>
      </c>
      <c r="AV173" s="356">
        <v>4</v>
      </c>
      <c r="AW173" s="356">
        <v>0</v>
      </c>
      <c r="AX173" s="356">
        <v>7</v>
      </c>
      <c r="AY173" s="356">
        <v>5</v>
      </c>
      <c r="AZ173" s="356">
        <v>8</v>
      </c>
      <c r="BA173" s="356">
        <v>12</v>
      </c>
      <c r="BB173" s="356">
        <v>14</v>
      </c>
      <c r="BD173" s="353">
        <f t="shared" si="8"/>
        <v>54</v>
      </c>
      <c r="BE173" s="353">
        <f t="shared" si="9"/>
        <v>81</v>
      </c>
      <c r="BF173" s="353">
        <f t="shared" si="10"/>
        <v>66</v>
      </c>
      <c r="BG173" s="353">
        <f t="shared" si="11"/>
        <v>73</v>
      </c>
    </row>
    <row r="174" spans="2:59">
      <c r="B174" s="354">
        <v>166</v>
      </c>
      <c r="C174" s="743" t="s">
        <v>540</v>
      </c>
      <c r="D174" s="744" t="s">
        <v>540</v>
      </c>
      <c r="E174" s="744" t="s">
        <v>540</v>
      </c>
      <c r="F174" s="357">
        <v>1007740619</v>
      </c>
      <c r="G174" s="356">
        <v>8</v>
      </c>
      <c r="H174" s="356">
        <v>10</v>
      </c>
      <c r="I174" s="356">
        <v>10</v>
      </c>
      <c r="J174" s="356">
        <v>7</v>
      </c>
      <c r="K174" s="356">
        <v>4</v>
      </c>
      <c r="L174" s="356">
        <v>7</v>
      </c>
      <c r="M174" s="356">
        <v>15</v>
      </c>
      <c r="N174" s="356">
        <v>8</v>
      </c>
      <c r="O174" s="356">
        <v>8</v>
      </c>
      <c r="P174" s="356">
        <v>4</v>
      </c>
      <c r="Q174" s="356">
        <v>10</v>
      </c>
      <c r="R174" s="356">
        <v>10</v>
      </c>
      <c r="S174" s="356">
        <v>14</v>
      </c>
      <c r="T174" s="356">
        <v>2</v>
      </c>
      <c r="U174" s="356">
        <v>15</v>
      </c>
      <c r="V174" s="356">
        <v>4</v>
      </c>
      <c r="W174" s="356">
        <v>3</v>
      </c>
      <c r="X174" s="356">
        <v>15</v>
      </c>
      <c r="Y174" s="356">
        <v>11</v>
      </c>
      <c r="Z174" s="356">
        <v>1</v>
      </c>
      <c r="AA174" s="356">
        <v>9</v>
      </c>
      <c r="AB174" s="356">
        <v>5</v>
      </c>
      <c r="AC174" s="356">
        <v>6</v>
      </c>
      <c r="AD174" s="356">
        <v>8</v>
      </c>
      <c r="AE174" s="356">
        <v>0</v>
      </c>
      <c r="AF174" s="356">
        <v>10</v>
      </c>
      <c r="AG174" s="356">
        <v>9</v>
      </c>
      <c r="AH174" s="356">
        <v>13</v>
      </c>
      <c r="AI174" s="356">
        <v>5</v>
      </c>
      <c r="AJ174" s="356">
        <v>5</v>
      </c>
      <c r="AK174" s="356">
        <v>9</v>
      </c>
      <c r="AL174" s="356">
        <v>0</v>
      </c>
      <c r="AM174" s="356">
        <v>2</v>
      </c>
      <c r="AN174" s="356">
        <v>11</v>
      </c>
      <c r="AO174" s="356">
        <v>1</v>
      </c>
      <c r="AP174" s="356">
        <v>6</v>
      </c>
      <c r="AQ174" s="356">
        <v>6</v>
      </c>
      <c r="AR174" s="356">
        <v>6</v>
      </c>
      <c r="AS174" s="356">
        <v>13</v>
      </c>
      <c r="AT174" s="356">
        <v>6</v>
      </c>
      <c r="AU174" s="356">
        <v>7</v>
      </c>
      <c r="AV174" s="356">
        <v>3</v>
      </c>
      <c r="AW174" s="356">
        <v>12</v>
      </c>
      <c r="AX174" s="356">
        <v>1</v>
      </c>
      <c r="AY174" s="356">
        <v>2</v>
      </c>
      <c r="AZ174" s="356">
        <v>7</v>
      </c>
      <c r="BA174" s="356">
        <v>7</v>
      </c>
      <c r="BB174" s="356">
        <v>5</v>
      </c>
      <c r="BD174" s="353">
        <f t="shared" si="8"/>
        <v>111</v>
      </c>
      <c r="BE174" s="353">
        <f t="shared" si="9"/>
        <v>68</v>
      </c>
      <c r="BF174" s="353">
        <f t="shared" si="10"/>
        <v>118</v>
      </c>
      <c r="BG174" s="353">
        <f t="shared" si="11"/>
        <v>60</v>
      </c>
    </row>
    <row r="175" spans="2:59">
      <c r="B175" s="354">
        <v>167</v>
      </c>
      <c r="C175" s="743" t="s">
        <v>539</v>
      </c>
      <c r="D175" s="744" t="s">
        <v>539</v>
      </c>
      <c r="E175" s="744" t="s">
        <v>539</v>
      </c>
      <c r="F175" s="357">
        <v>1099364757</v>
      </c>
      <c r="G175" s="356">
        <v>5</v>
      </c>
      <c r="H175" s="356">
        <v>6</v>
      </c>
      <c r="I175" s="356">
        <v>15</v>
      </c>
      <c r="J175" s="356">
        <v>7</v>
      </c>
      <c r="K175" s="356">
        <v>3</v>
      </c>
      <c r="L175" s="356">
        <v>1</v>
      </c>
      <c r="M175" s="356">
        <v>11</v>
      </c>
      <c r="N175" s="356">
        <v>13</v>
      </c>
      <c r="O175" s="356">
        <v>3</v>
      </c>
      <c r="P175" s="356">
        <v>8</v>
      </c>
      <c r="Q175" s="356">
        <v>5</v>
      </c>
      <c r="R175" s="356">
        <v>2</v>
      </c>
      <c r="S175" s="356">
        <v>7</v>
      </c>
      <c r="T175" s="356">
        <v>13</v>
      </c>
      <c r="U175" s="356">
        <v>13</v>
      </c>
      <c r="V175" s="356">
        <v>14</v>
      </c>
      <c r="W175" s="356">
        <v>11</v>
      </c>
      <c r="X175" s="356">
        <v>7</v>
      </c>
      <c r="Y175" s="356">
        <v>7</v>
      </c>
      <c r="Z175" s="356">
        <v>0</v>
      </c>
      <c r="AA175" s="356">
        <v>14</v>
      </c>
      <c r="AB175" s="356">
        <v>13</v>
      </c>
      <c r="AC175" s="356">
        <v>12</v>
      </c>
      <c r="AD175" s="356">
        <v>4</v>
      </c>
      <c r="AE175" s="356">
        <v>4</v>
      </c>
      <c r="AF175" s="356">
        <v>11</v>
      </c>
      <c r="AG175" s="356">
        <v>2</v>
      </c>
      <c r="AH175" s="356">
        <v>3</v>
      </c>
      <c r="AI175" s="356">
        <v>6</v>
      </c>
      <c r="AJ175" s="356">
        <v>9</v>
      </c>
      <c r="AK175" s="356">
        <v>9</v>
      </c>
      <c r="AL175" s="356">
        <v>6</v>
      </c>
      <c r="AM175" s="356">
        <v>2</v>
      </c>
      <c r="AN175" s="356">
        <v>14</v>
      </c>
      <c r="AO175" s="356">
        <v>5</v>
      </c>
      <c r="AP175" s="356">
        <v>1</v>
      </c>
      <c r="AQ175" s="356">
        <v>7</v>
      </c>
      <c r="AR175" s="356">
        <v>3</v>
      </c>
      <c r="AS175" s="356">
        <v>1</v>
      </c>
      <c r="AT175" s="356">
        <v>4</v>
      </c>
      <c r="AU175" s="356">
        <v>1</v>
      </c>
      <c r="AV175" s="356">
        <v>14</v>
      </c>
      <c r="AW175" s="356">
        <v>2</v>
      </c>
      <c r="AX175" s="356">
        <v>15</v>
      </c>
      <c r="AY175" s="356">
        <v>9</v>
      </c>
      <c r="AZ175" s="356">
        <v>2</v>
      </c>
      <c r="BA175" s="356">
        <v>3</v>
      </c>
      <c r="BB175" s="356">
        <v>12</v>
      </c>
      <c r="BD175" s="353">
        <f t="shared" si="8"/>
        <v>82</v>
      </c>
      <c r="BE175" s="353">
        <f t="shared" si="9"/>
        <v>72</v>
      </c>
      <c r="BF175" s="353">
        <f t="shared" si="10"/>
        <v>85</v>
      </c>
      <c r="BG175" s="353">
        <f t="shared" si="11"/>
        <v>67</v>
      </c>
    </row>
    <row r="176" spans="2:59">
      <c r="B176" s="354">
        <v>168</v>
      </c>
      <c r="C176" s="743" t="s">
        <v>538</v>
      </c>
      <c r="D176" s="744" t="s">
        <v>538</v>
      </c>
      <c r="E176" s="744" t="s">
        <v>538</v>
      </c>
      <c r="F176" s="357">
        <v>13543561</v>
      </c>
      <c r="G176" s="356">
        <v>3</v>
      </c>
      <c r="H176" s="356">
        <v>1</v>
      </c>
      <c r="I176" s="356">
        <v>10</v>
      </c>
      <c r="J176" s="356">
        <v>1</v>
      </c>
      <c r="K176" s="356">
        <v>5</v>
      </c>
      <c r="L176" s="356">
        <v>0</v>
      </c>
      <c r="M176" s="356">
        <v>13</v>
      </c>
      <c r="N176" s="356">
        <v>6</v>
      </c>
      <c r="O176" s="356">
        <v>8</v>
      </c>
      <c r="P176" s="356">
        <v>3</v>
      </c>
      <c r="Q176" s="356">
        <v>10</v>
      </c>
      <c r="R176" s="356">
        <v>8</v>
      </c>
      <c r="S176" s="356">
        <v>7</v>
      </c>
      <c r="T176" s="356">
        <v>14</v>
      </c>
      <c r="U176" s="356">
        <v>14</v>
      </c>
      <c r="V176" s="356">
        <v>4</v>
      </c>
      <c r="W176" s="356">
        <v>14</v>
      </c>
      <c r="X176" s="356">
        <v>13</v>
      </c>
      <c r="Y176" s="356">
        <v>6</v>
      </c>
      <c r="Z176" s="356">
        <v>5</v>
      </c>
      <c r="AA176" s="356">
        <v>4</v>
      </c>
      <c r="AB176" s="356">
        <v>14</v>
      </c>
      <c r="AC176" s="356">
        <v>15</v>
      </c>
      <c r="AD176" s="356">
        <v>14</v>
      </c>
      <c r="AE176" s="356">
        <v>7</v>
      </c>
      <c r="AF176" s="356">
        <v>3</v>
      </c>
      <c r="AG176" s="356">
        <v>8</v>
      </c>
      <c r="AH176" s="356">
        <v>7</v>
      </c>
      <c r="AI176" s="356">
        <v>9</v>
      </c>
      <c r="AJ176" s="356">
        <v>14</v>
      </c>
      <c r="AK176" s="356">
        <v>0</v>
      </c>
      <c r="AL176" s="356">
        <v>13</v>
      </c>
      <c r="AM176" s="356">
        <v>1</v>
      </c>
      <c r="AN176" s="356">
        <v>1</v>
      </c>
      <c r="AO176" s="356">
        <v>10</v>
      </c>
      <c r="AP176" s="356">
        <v>7</v>
      </c>
      <c r="AQ176" s="356">
        <v>14</v>
      </c>
      <c r="AR176" s="356">
        <v>15</v>
      </c>
      <c r="AS176" s="356">
        <v>7</v>
      </c>
      <c r="AT176" s="356">
        <v>14</v>
      </c>
      <c r="AU176" s="356">
        <v>6</v>
      </c>
      <c r="AV176" s="356">
        <v>5</v>
      </c>
      <c r="AW176" s="356">
        <v>11</v>
      </c>
      <c r="AX176" s="356">
        <v>11</v>
      </c>
      <c r="AY176" s="356">
        <v>8</v>
      </c>
      <c r="AZ176" s="356">
        <v>4</v>
      </c>
      <c r="BA176" s="356">
        <v>2</v>
      </c>
      <c r="BB176" s="356">
        <v>2</v>
      </c>
      <c r="BD176" s="353">
        <f t="shared" si="8"/>
        <v>104</v>
      </c>
      <c r="BE176" s="353">
        <f t="shared" si="9"/>
        <v>86</v>
      </c>
      <c r="BF176" s="353">
        <f t="shared" si="10"/>
        <v>106</v>
      </c>
      <c r="BG176" s="353">
        <f t="shared" si="11"/>
        <v>83</v>
      </c>
    </row>
    <row r="177" spans="2:59">
      <c r="B177" s="354">
        <v>169</v>
      </c>
      <c r="C177" s="743" t="s">
        <v>537</v>
      </c>
      <c r="D177" s="744" t="s">
        <v>537</v>
      </c>
      <c r="E177" s="744" t="s">
        <v>537</v>
      </c>
      <c r="F177" s="357">
        <v>5796072</v>
      </c>
      <c r="G177" s="356">
        <v>6</v>
      </c>
      <c r="H177" s="356">
        <v>12</v>
      </c>
      <c r="I177" s="356">
        <v>14</v>
      </c>
      <c r="J177" s="356">
        <v>15</v>
      </c>
      <c r="K177" s="356">
        <v>10</v>
      </c>
      <c r="L177" s="356">
        <v>4</v>
      </c>
      <c r="M177" s="356">
        <v>2</v>
      </c>
      <c r="N177" s="356">
        <v>12</v>
      </c>
      <c r="O177" s="356">
        <v>8</v>
      </c>
      <c r="P177" s="356">
        <v>7</v>
      </c>
      <c r="Q177" s="356">
        <v>8</v>
      </c>
      <c r="R177" s="356">
        <v>6</v>
      </c>
      <c r="S177" s="356">
        <v>7</v>
      </c>
      <c r="T177" s="356">
        <v>7</v>
      </c>
      <c r="U177" s="356">
        <v>13</v>
      </c>
      <c r="V177" s="356">
        <v>13</v>
      </c>
      <c r="W177" s="356">
        <v>2</v>
      </c>
      <c r="X177" s="356">
        <v>5</v>
      </c>
      <c r="Y177" s="356">
        <v>15</v>
      </c>
      <c r="Z177" s="356">
        <v>4</v>
      </c>
      <c r="AA177" s="356">
        <v>3</v>
      </c>
      <c r="AB177" s="356">
        <v>7</v>
      </c>
      <c r="AC177" s="356">
        <v>4</v>
      </c>
      <c r="AD177" s="356">
        <v>13</v>
      </c>
      <c r="AE177" s="356">
        <v>11</v>
      </c>
      <c r="AF177" s="356">
        <v>9</v>
      </c>
      <c r="AG177" s="356">
        <v>9</v>
      </c>
      <c r="AH177" s="356">
        <v>6</v>
      </c>
      <c r="AI177" s="356">
        <v>15</v>
      </c>
      <c r="AJ177" s="356">
        <v>6</v>
      </c>
      <c r="AK177" s="356">
        <v>0</v>
      </c>
      <c r="AL177" s="356">
        <v>9</v>
      </c>
      <c r="AM177" s="356">
        <v>2</v>
      </c>
      <c r="AN177" s="356">
        <v>0</v>
      </c>
      <c r="AO177" s="356">
        <v>12</v>
      </c>
      <c r="AP177" s="356">
        <v>14</v>
      </c>
      <c r="AQ177" s="356">
        <v>5</v>
      </c>
      <c r="AR177" s="356">
        <v>3</v>
      </c>
      <c r="AS177" s="356">
        <v>1</v>
      </c>
      <c r="AT177" s="356">
        <v>9</v>
      </c>
      <c r="AU177" s="356">
        <v>9</v>
      </c>
      <c r="AV177" s="356">
        <v>8</v>
      </c>
      <c r="AW177" s="356">
        <v>2</v>
      </c>
      <c r="AX177" s="356">
        <v>13</v>
      </c>
      <c r="AY177" s="356">
        <v>15</v>
      </c>
      <c r="AZ177" s="356">
        <v>6</v>
      </c>
      <c r="BA177" s="356">
        <v>9</v>
      </c>
      <c r="BB177" s="356">
        <v>8</v>
      </c>
      <c r="BD177" s="353">
        <f t="shared" si="8"/>
        <v>80</v>
      </c>
      <c r="BE177" s="353">
        <f t="shared" si="9"/>
        <v>93</v>
      </c>
      <c r="BF177" s="353">
        <f t="shared" si="10"/>
        <v>89</v>
      </c>
      <c r="BG177" s="353">
        <f t="shared" si="11"/>
        <v>87</v>
      </c>
    </row>
    <row r="178" spans="2:59">
      <c r="B178" s="354">
        <v>170</v>
      </c>
      <c r="C178" s="743" t="s">
        <v>536</v>
      </c>
      <c r="D178" s="744" t="s">
        <v>536</v>
      </c>
      <c r="E178" s="744" t="s">
        <v>536</v>
      </c>
      <c r="F178" s="357">
        <v>28214872</v>
      </c>
      <c r="G178" s="356">
        <v>13</v>
      </c>
      <c r="H178" s="356">
        <v>10</v>
      </c>
      <c r="I178" s="356">
        <v>11</v>
      </c>
      <c r="J178" s="356">
        <v>9</v>
      </c>
      <c r="K178" s="356">
        <v>12</v>
      </c>
      <c r="L178" s="356">
        <v>3</v>
      </c>
      <c r="M178" s="356">
        <v>14</v>
      </c>
      <c r="N178" s="356">
        <v>8</v>
      </c>
      <c r="O178" s="356">
        <v>5</v>
      </c>
      <c r="P178" s="356">
        <v>11</v>
      </c>
      <c r="Q178" s="356">
        <v>12</v>
      </c>
      <c r="R178" s="356">
        <v>8</v>
      </c>
      <c r="S178" s="356">
        <v>4</v>
      </c>
      <c r="T178" s="356">
        <v>13</v>
      </c>
      <c r="U178" s="356">
        <v>7</v>
      </c>
      <c r="V178" s="356">
        <v>8</v>
      </c>
      <c r="W178" s="356">
        <v>13</v>
      </c>
      <c r="X178" s="356">
        <v>9</v>
      </c>
      <c r="Y178" s="356">
        <v>9</v>
      </c>
      <c r="Z178" s="356">
        <v>6</v>
      </c>
      <c r="AA178" s="356">
        <v>11</v>
      </c>
      <c r="AB178" s="356">
        <v>13</v>
      </c>
      <c r="AC178" s="356">
        <v>6</v>
      </c>
      <c r="AD178" s="356">
        <v>12</v>
      </c>
      <c r="AE178" s="356">
        <v>4</v>
      </c>
      <c r="AF178" s="356">
        <v>11</v>
      </c>
      <c r="AG178" s="356">
        <v>4</v>
      </c>
      <c r="AH178" s="356">
        <v>12</v>
      </c>
      <c r="AI178" s="356">
        <v>7</v>
      </c>
      <c r="AJ178" s="356">
        <v>9</v>
      </c>
      <c r="AK178" s="356">
        <v>12</v>
      </c>
      <c r="AL178" s="356">
        <v>6</v>
      </c>
      <c r="AM178" s="356">
        <v>3</v>
      </c>
      <c r="AN178" s="356">
        <v>0</v>
      </c>
      <c r="AO178" s="356">
        <v>12</v>
      </c>
      <c r="AP178" s="356">
        <v>6</v>
      </c>
      <c r="AQ178" s="356">
        <v>0</v>
      </c>
      <c r="AR178" s="356">
        <v>12</v>
      </c>
      <c r="AS178" s="356">
        <v>8</v>
      </c>
      <c r="AT178" s="356">
        <v>10</v>
      </c>
      <c r="AU178" s="356">
        <v>0</v>
      </c>
      <c r="AV178" s="356">
        <v>8</v>
      </c>
      <c r="AW178" s="356">
        <v>2</v>
      </c>
      <c r="AX178" s="356">
        <v>2</v>
      </c>
      <c r="AY178" s="356">
        <v>13</v>
      </c>
      <c r="AZ178" s="356">
        <v>8</v>
      </c>
      <c r="BA178" s="356">
        <v>12</v>
      </c>
      <c r="BB178" s="356">
        <v>6</v>
      </c>
      <c r="BD178" s="353">
        <f t="shared" si="8"/>
        <v>97</v>
      </c>
      <c r="BE178" s="353">
        <f t="shared" si="9"/>
        <v>85</v>
      </c>
      <c r="BF178" s="353">
        <f t="shared" si="10"/>
        <v>109</v>
      </c>
      <c r="BG178" s="353">
        <f t="shared" si="11"/>
        <v>72</v>
      </c>
    </row>
    <row r="179" spans="2:59">
      <c r="B179" s="354">
        <v>171</v>
      </c>
      <c r="C179" s="743" t="s">
        <v>535</v>
      </c>
      <c r="D179" s="744" t="s">
        <v>535</v>
      </c>
      <c r="E179" s="744" t="s">
        <v>535</v>
      </c>
      <c r="F179" s="357">
        <v>1005344985</v>
      </c>
      <c r="G179" s="356">
        <v>9</v>
      </c>
      <c r="H179" s="356">
        <v>8</v>
      </c>
      <c r="I179" s="356">
        <v>15</v>
      </c>
      <c r="J179" s="356">
        <v>1</v>
      </c>
      <c r="K179" s="356">
        <v>1</v>
      </c>
      <c r="L179" s="356">
        <v>4</v>
      </c>
      <c r="M179" s="356">
        <v>12</v>
      </c>
      <c r="N179" s="356">
        <v>8</v>
      </c>
      <c r="O179" s="356">
        <v>10</v>
      </c>
      <c r="P179" s="356">
        <v>2</v>
      </c>
      <c r="Q179" s="356">
        <v>0</v>
      </c>
      <c r="R179" s="356">
        <v>14</v>
      </c>
      <c r="S179" s="356">
        <v>15</v>
      </c>
      <c r="T179" s="356">
        <v>7</v>
      </c>
      <c r="U179" s="356">
        <v>4</v>
      </c>
      <c r="V179" s="356">
        <v>14</v>
      </c>
      <c r="W179" s="356">
        <v>8</v>
      </c>
      <c r="X179" s="356">
        <v>3</v>
      </c>
      <c r="Y179" s="356">
        <v>11</v>
      </c>
      <c r="Z179" s="356">
        <v>3</v>
      </c>
      <c r="AA179" s="356">
        <v>8</v>
      </c>
      <c r="AB179" s="356">
        <v>9</v>
      </c>
      <c r="AC179" s="356">
        <v>1</v>
      </c>
      <c r="AD179" s="356">
        <v>2</v>
      </c>
      <c r="AE179" s="356">
        <v>4</v>
      </c>
      <c r="AF179" s="356">
        <v>9</v>
      </c>
      <c r="AG179" s="356">
        <v>14</v>
      </c>
      <c r="AH179" s="356">
        <v>1</v>
      </c>
      <c r="AI179" s="356">
        <v>9</v>
      </c>
      <c r="AJ179" s="356">
        <v>3</v>
      </c>
      <c r="AK179" s="356">
        <v>6</v>
      </c>
      <c r="AL179" s="356">
        <v>0</v>
      </c>
      <c r="AM179" s="356">
        <v>3</v>
      </c>
      <c r="AN179" s="356">
        <v>12</v>
      </c>
      <c r="AO179" s="356">
        <v>10</v>
      </c>
      <c r="AP179" s="356">
        <v>2</v>
      </c>
      <c r="AQ179" s="356">
        <v>5</v>
      </c>
      <c r="AR179" s="356">
        <v>10</v>
      </c>
      <c r="AS179" s="356">
        <v>15</v>
      </c>
      <c r="AT179" s="356">
        <v>0</v>
      </c>
      <c r="AU179" s="356">
        <v>6</v>
      </c>
      <c r="AV179" s="356">
        <v>3</v>
      </c>
      <c r="AW179" s="356">
        <v>6</v>
      </c>
      <c r="AX179" s="356">
        <v>5</v>
      </c>
      <c r="AY179" s="356">
        <v>4</v>
      </c>
      <c r="AZ179" s="356">
        <v>2</v>
      </c>
      <c r="BA179" s="356">
        <v>6</v>
      </c>
      <c r="BB179" s="356">
        <v>2</v>
      </c>
      <c r="BD179" s="353">
        <f t="shared" si="8"/>
        <v>94</v>
      </c>
      <c r="BE179" s="353">
        <f t="shared" si="9"/>
        <v>82</v>
      </c>
      <c r="BF179" s="353">
        <f t="shared" si="10"/>
        <v>100</v>
      </c>
      <c r="BG179" s="353">
        <f t="shared" si="11"/>
        <v>73</v>
      </c>
    </row>
    <row r="180" spans="2:59">
      <c r="B180" s="354">
        <v>172</v>
      </c>
      <c r="C180" s="743" t="s">
        <v>534</v>
      </c>
      <c r="D180" s="744" t="s">
        <v>534</v>
      </c>
      <c r="E180" s="744" t="s">
        <v>534</v>
      </c>
      <c r="F180" s="357">
        <v>1099367032</v>
      </c>
      <c r="G180" s="356">
        <v>0</v>
      </c>
      <c r="H180" s="356">
        <v>15</v>
      </c>
      <c r="I180" s="356">
        <v>2</v>
      </c>
      <c r="J180" s="356">
        <v>7</v>
      </c>
      <c r="K180" s="356">
        <v>9</v>
      </c>
      <c r="L180" s="356">
        <v>15</v>
      </c>
      <c r="M180" s="356">
        <v>1</v>
      </c>
      <c r="N180" s="356">
        <v>6</v>
      </c>
      <c r="O180" s="356">
        <v>4</v>
      </c>
      <c r="P180" s="356">
        <v>11</v>
      </c>
      <c r="Q180" s="356">
        <v>0</v>
      </c>
      <c r="R180" s="356">
        <v>1</v>
      </c>
      <c r="S180" s="356">
        <v>2</v>
      </c>
      <c r="T180" s="356">
        <v>10</v>
      </c>
      <c r="U180" s="356">
        <v>14</v>
      </c>
      <c r="V180" s="356">
        <v>8</v>
      </c>
      <c r="W180" s="356">
        <v>11</v>
      </c>
      <c r="X180" s="356">
        <v>9</v>
      </c>
      <c r="Y180" s="356">
        <v>4</v>
      </c>
      <c r="Z180" s="356">
        <v>8</v>
      </c>
      <c r="AA180" s="356">
        <v>9</v>
      </c>
      <c r="AB180" s="356">
        <v>4</v>
      </c>
      <c r="AC180" s="356">
        <v>3</v>
      </c>
      <c r="AD180" s="356">
        <v>11</v>
      </c>
      <c r="AE180" s="356">
        <v>0</v>
      </c>
      <c r="AF180" s="356">
        <v>11</v>
      </c>
      <c r="AG180" s="356">
        <v>13</v>
      </c>
      <c r="AH180" s="356">
        <v>1</v>
      </c>
      <c r="AI180" s="356">
        <v>8</v>
      </c>
      <c r="AJ180" s="356">
        <v>0</v>
      </c>
      <c r="AK180" s="356">
        <v>3</v>
      </c>
      <c r="AL180" s="356">
        <v>7</v>
      </c>
      <c r="AM180" s="356">
        <v>11</v>
      </c>
      <c r="AN180" s="356">
        <v>15</v>
      </c>
      <c r="AO180" s="356">
        <v>7</v>
      </c>
      <c r="AP180" s="356">
        <v>4</v>
      </c>
      <c r="AQ180" s="356">
        <v>9</v>
      </c>
      <c r="AR180" s="356">
        <v>5</v>
      </c>
      <c r="AS180" s="356">
        <v>12</v>
      </c>
      <c r="AT180" s="356">
        <v>2</v>
      </c>
      <c r="AU180" s="356">
        <v>4</v>
      </c>
      <c r="AV180" s="356">
        <v>8</v>
      </c>
      <c r="AW180" s="356">
        <v>0</v>
      </c>
      <c r="AX180" s="356">
        <v>14</v>
      </c>
      <c r="AY180" s="356">
        <v>12</v>
      </c>
      <c r="AZ180" s="356">
        <v>3</v>
      </c>
      <c r="BA180" s="356">
        <v>12</v>
      </c>
      <c r="BB180" s="356">
        <v>4</v>
      </c>
      <c r="BD180" s="353">
        <f t="shared" si="8"/>
        <v>59</v>
      </c>
      <c r="BE180" s="353">
        <f t="shared" si="9"/>
        <v>79</v>
      </c>
      <c r="BF180" s="353">
        <f t="shared" si="10"/>
        <v>71</v>
      </c>
      <c r="BG180" s="353">
        <f t="shared" si="11"/>
        <v>79</v>
      </c>
    </row>
    <row r="181" spans="2:59">
      <c r="B181" s="354">
        <v>173</v>
      </c>
      <c r="C181" s="743" t="s">
        <v>533</v>
      </c>
      <c r="D181" s="744" t="s">
        <v>533</v>
      </c>
      <c r="E181" s="744" t="s">
        <v>533</v>
      </c>
      <c r="F181" s="357">
        <v>1099375620</v>
      </c>
      <c r="G181" s="356">
        <v>13</v>
      </c>
      <c r="H181" s="356">
        <v>4</v>
      </c>
      <c r="I181" s="356">
        <v>9</v>
      </c>
      <c r="J181" s="356">
        <v>5</v>
      </c>
      <c r="K181" s="356">
        <v>1</v>
      </c>
      <c r="L181" s="356">
        <v>5</v>
      </c>
      <c r="M181" s="356">
        <v>8</v>
      </c>
      <c r="N181" s="356">
        <v>11</v>
      </c>
      <c r="O181" s="356">
        <v>5</v>
      </c>
      <c r="P181" s="356">
        <v>13</v>
      </c>
      <c r="Q181" s="356">
        <v>8</v>
      </c>
      <c r="R181" s="356">
        <v>9</v>
      </c>
      <c r="S181" s="356">
        <v>10</v>
      </c>
      <c r="T181" s="356">
        <v>2</v>
      </c>
      <c r="U181" s="356">
        <v>12</v>
      </c>
      <c r="V181" s="356">
        <v>13</v>
      </c>
      <c r="W181" s="356">
        <v>4</v>
      </c>
      <c r="X181" s="356">
        <v>4</v>
      </c>
      <c r="Y181" s="356">
        <v>9</v>
      </c>
      <c r="Z181" s="356">
        <v>8</v>
      </c>
      <c r="AA181" s="356">
        <v>0</v>
      </c>
      <c r="AB181" s="356">
        <v>4</v>
      </c>
      <c r="AC181" s="356">
        <v>4</v>
      </c>
      <c r="AD181" s="356">
        <v>6</v>
      </c>
      <c r="AE181" s="356">
        <v>10</v>
      </c>
      <c r="AF181" s="356">
        <v>9</v>
      </c>
      <c r="AG181" s="356">
        <v>13</v>
      </c>
      <c r="AH181" s="356">
        <v>10</v>
      </c>
      <c r="AI181" s="356">
        <v>11</v>
      </c>
      <c r="AJ181" s="356">
        <v>9</v>
      </c>
      <c r="AK181" s="356">
        <v>10</v>
      </c>
      <c r="AL181" s="356">
        <v>11</v>
      </c>
      <c r="AM181" s="356">
        <v>5</v>
      </c>
      <c r="AN181" s="356">
        <v>15</v>
      </c>
      <c r="AO181" s="356">
        <v>0</v>
      </c>
      <c r="AP181" s="356">
        <v>13</v>
      </c>
      <c r="AQ181" s="356">
        <v>8</v>
      </c>
      <c r="AR181" s="356">
        <v>0</v>
      </c>
      <c r="AS181" s="356">
        <v>1</v>
      </c>
      <c r="AT181" s="356">
        <v>15</v>
      </c>
      <c r="AU181" s="356">
        <v>15</v>
      </c>
      <c r="AV181" s="356">
        <v>2</v>
      </c>
      <c r="AW181" s="356">
        <v>11</v>
      </c>
      <c r="AX181" s="356">
        <v>7</v>
      </c>
      <c r="AY181" s="356">
        <v>0</v>
      </c>
      <c r="AZ181" s="356">
        <v>7</v>
      </c>
      <c r="BA181" s="356">
        <v>4</v>
      </c>
      <c r="BB181" s="356">
        <v>2</v>
      </c>
      <c r="BD181" s="353">
        <f t="shared" si="8"/>
        <v>85</v>
      </c>
      <c r="BE181" s="353">
        <f t="shared" si="9"/>
        <v>82</v>
      </c>
      <c r="BF181" s="353">
        <f t="shared" si="10"/>
        <v>89</v>
      </c>
      <c r="BG181" s="353">
        <f t="shared" si="11"/>
        <v>69</v>
      </c>
    </row>
    <row r="182" spans="2:59">
      <c r="B182" s="354">
        <v>174</v>
      </c>
      <c r="C182" s="743" t="s">
        <v>532</v>
      </c>
      <c r="D182" s="744" t="s">
        <v>532</v>
      </c>
      <c r="E182" s="744" t="s">
        <v>532</v>
      </c>
      <c r="F182" s="357">
        <v>5942588</v>
      </c>
      <c r="G182" s="356">
        <v>11</v>
      </c>
      <c r="H182" s="356">
        <v>0</v>
      </c>
      <c r="I182" s="356">
        <v>9</v>
      </c>
      <c r="J182" s="356">
        <v>15</v>
      </c>
      <c r="K182" s="356">
        <v>6</v>
      </c>
      <c r="L182" s="356">
        <v>1</v>
      </c>
      <c r="M182" s="356">
        <v>10</v>
      </c>
      <c r="N182" s="356">
        <v>2</v>
      </c>
      <c r="O182" s="356">
        <v>1</v>
      </c>
      <c r="P182" s="356">
        <v>12</v>
      </c>
      <c r="Q182" s="356">
        <v>3</v>
      </c>
      <c r="R182" s="356">
        <v>4</v>
      </c>
      <c r="S182" s="356">
        <v>9</v>
      </c>
      <c r="T182" s="356">
        <v>8</v>
      </c>
      <c r="U182" s="356">
        <v>10</v>
      </c>
      <c r="V182" s="356">
        <v>5</v>
      </c>
      <c r="W182" s="356">
        <v>11</v>
      </c>
      <c r="X182" s="356">
        <v>6</v>
      </c>
      <c r="Y182" s="356">
        <v>10</v>
      </c>
      <c r="Z182" s="356">
        <v>9</v>
      </c>
      <c r="AA182" s="356">
        <v>14</v>
      </c>
      <c r="AB182" s="356">
        <v>12</v>
      </c>
      <c r="AC182" s="356">
        <v>2</v>
      </c>
      <c r="AD182" s="356">
        <v>8</v>
      </c>
      <c r="AE182" s="356">
        <v>6</v>
      </c>
      <c r="AF182" s="356">
        <v>1</v>
      </c>
      <c r="AG182" s="356">
        <v>5</v>
      </c>
      <c r="AH182" s="356">
        <v>12</v>
      </c>
      <c r="AI182" s="356">
        <v>10</v>
      </c>
      <c r="AJ182" s="356">
        <v>10</v>
      </c>
      <c r="AK182" s="356">
        <v>5</v>
      </c>
      <c r="AL182" s="356">
        <v>1</v>
      </c>
      <c r="AM182" s="356">
        <v>7</v>
      </c>
      <c r="AN182" s="356">
        <v>10</v>
      </c>
      <c r="AO182" s="356">
        <v>6</v>
      </c>
      <c r="AP182" s="356">
        <v>7</v>
      </c>
      <c r="AQ182" s="356">
        <v>1</v>
      </c>
      <c r="AR182" s="356">
        <v>3</v>
      </c>
      <c r="AS182" s="356">
        <v>1</v>
      </c>
      <c r="AT182" s="356">
        <v>10</v>
      </c>
      <c r="AU182" s="356">
        <v>2</v>
      </c>
      <c r="AV182" s="356">
        <v>14</v>
      </c>
      <c r="AW182" s="356">
        <v>8</v>
      </c>
      <c r="AX182" s="356">
        <v>8</v>
      </c>
      <c r="AY182" s="356">
        <v>13</v>
      </c>
      <c r="AZ182" s="356">
        <v>7</v>
      </c>
      <c r="BA182" s="356">
        <v>11</v>
      </c>
      <c r="BB182" s="356">
        <v>6</v>
      </c>
      <c r="BD182" s="353">
        <f t="shared" si="8"/>
        <v>69</v>
      </c>
      <c r="BE182" s="353">
        <f t="shared" si="9"/>
        <v>91</v>
      </c>
      <c r="BF182" s="353">
        <f t="shared" si="10"/>
        <v>80</v>
      </c>
      <c r="BG182" s="353">
        <f t="shared" si="11"/>
        <v>80</v>
      </c>
    </row>
    <row r="183" spans="2:59">
      <c r="B183" s="354">
        <v>175</v>
      </c>
      <c r="C183" s="743" t="s">
        <v>531</v>
      </c>
      <c r="D183" s="744" t="s">
        <v>531</v>
      </c>
      <c r="E183" s="744" t="s">
        <v>531</v>
      </c>
      <c r="F183" s="357">
        <v>28401862</v>
      </c>
      <c r="G183" s="356">
        <v>6</v>
      </c>
      <c r="H183" s="356">
        <v>13</v>
      </c>
      <c r="I183" s="356">
        <v>11</v>
      </c>
      <c r="J183" s="356">
        <v>10</v>
      </c>
      <c r="K183" s="356">
        <v>3</v>
      </c>
      <c r="L183" s="356">
        <v>12</v>
      </c>
      <c r="M183" s="356">
        <v>6</v>
      </c>
      <c r="N183" s="356">
        <v>10</v>
      </c>
      <c r="O183" s="356">
        <v>15</v>
      </c>
      <c r="P183" s="356">
        <v>7</v>
      </c>
      <c r="Q183" s="356">
        <v>0</v>
      </c>
      <c r="R183" s="356">
        <v>11</v>
      </c>
      <c r="S183" s="356">
        <v>13</v>
      </c>
      <c r="T183" s="356">
        <v>10</v>
      </c>
      <c r="U183" s="356">
        <v>10</v>
      </c>
      <c r="V183" s="356">
        <v>0</v>
      </c>
      <c r="W183" s="356">
        <v>8</v>
      </c>
      <c r="X183" s="356">
        <v>7</v>
      </c>
      <c r="Y183" s="356">
        <v>3</v>
      </c>
      <c r="Z183" s="356">
        <v>8</v>
      </c>
      <c r="AA183" s="356">
        <v>9</v>
      </c>
      <c r="AB183" s="356">
        <v>9</v>
      </c>
      <c r="AC183" s="356">
        <v>15</v>
      </c>
      <c r="AD183" s="356">
        <v>10</v>
      </c>
      <c r="AE183" s="356">
        <v>8</v>
      </c>
      <c r="AF183" s="356">
        <v>3</v>
      </c>
      <c r="AG183" s="356">
        <v>5</v>
      </c>
      <c r="AH183" s="356">
        <v>11</v>
      </c>
      <c r="AI183" s="356">
        <v>13</v>
      </c>
      <c r="AJ183" s="356">
        <v>3</v>
      </c>
      <c r="AK183" s="356">
        <v>0</v>
      </c>
      <c r="AL183" s="356">
        <v>0</v>
      </c>
      <c r="AM183" s="356">
        <v>11</v>
      </c>
      <c r="AN183" s="356">
        <v>10</v>
      </c>
      <c r="AO183" s="356">
        <v>6</v>
      </c>
      <c r="AP183" s="356">
        <v>11</v>
      </c>
      <c r="AQ183" s="356">
        <v>3</v>
      </c>
      <c r="AR183" s="356">
        <v>15</v>
      </c>
      <c r="AS183" s="356">
        <v>5</v>
      </c>
      <c r="AT183" s="356">
        <v>9</v>
      </c>
      <c r="AU183" s="356">
        <v>0</v>
      </c>
      <c r="AV183" s="356">
        <v>14</v>
      </c>
      <c r="AW183" s="356">
        <v>9</v>
      </c>
      <c r="AX183" s="356">
        <v>3</v>
      </c>
      <c r="AY183" s="356">
        <v>12</v>
      </c>
      <c r="AZ183" s="356">
        <v>0</v>
      </c>
      <c r="BA183" s="356">
        <v>5</v>
      </c>
      <c r="BB183" s="356">
        <v>8</v>
      </c>
      <c r="BD183" s="353">
        <f t="shared" si="8"/>
        <v>70</v>
      </c>
      <c r="BE183" s="353">
        <f t="shared" si="9"/>
        <v>101</v>
      </c>
      <c r="BF183" s="353">
        <f t="shared" si="10"/>
        <v>75</v>
      </c>
      <c r="BG183" s="353">
        <f t="shared" si="11"/>
        <v>95</v>
      </c>
    </row>
    <row r="184" spans="2:59">
      <c r="B184" s="354">
        <v>176</v>
      </c>
      <c r="C184" s="743" t="s">
        <v>530</v>
      </c>
      <c r="D184" s="744" t="s">
        <v>530</v>
      </c>
      <c r="E184" s="744" t="s">
        <v>530</v>
      </c>
      <c r="F184" s="357">
        <v>37655542</v>
      </c>
      <c r="G184" s="356">
        <v>4</v>
      </c>
      <c r="H184" s="356">
        <v>1</v>
      </c>
      <c r="I184" s="356">
        <v>5</v>
      </c>
      <c r="J184" s="356">
        <v>12</v>
      </c>
      <c r="K184" s="356">
        <v>2</v>
      </c>
      <c r="L184" s="356">
        <v>3</v>
      </c>
      <c r="M184" s="356">
        <v>4</v>
      </c>
      <c r="N184" s="356">
        <v>1</v>
      </c>
      <c r="O184" s="356">
        <v>9</v>
      </c>
      <c r="P184" s="356">
        <v>15</v>
      </c>
      <c r="Q184" s="356">
        <v>1</v>
      </c>
      <c r="R184" s="356">
        <v>15</v>
      </c>
      <c r="S184" s="356">
        <v>9</v>
      </c>
      <c r="T184" s="356">
        <v>3</v>
      </c>
      <c r="U184" s="356">
        <v>15</v>
      </c>
      <c r="V184" s="356">
        <v>11</v>
      </c>
      <c r="W184" s="356">
        <v>0</v>
      </c>
      <c r="X184" s="356">
        <v>9</v>
      </c>
      <c r="Y184" s="356">
        <v>3</v>
      </c>
      <c r="Z184" s="356">
        <v>6</v>
      </c>
      <c r="AA184" s="356">
        <v>7</v>
      </c>
      <c r="AB184" s="356">
        <v>9</v>
      </c>
      <c r="AC184" s="356">
        <v>11</v>
      </c>
      <c r="AD184" s="356">
        <v>15</v>
      </c>
      <c r="AE184" s="356">
        <v>10</v>
      </c>
      <c r="AF184" s="356">
        <v>7</v>
      </c>
      <c r="AG184" s="356">
        <v>14</v>
      </c>
      <c r="AH184" s="356">
        <v>10</v>
      </c>
      <c r="AI184" s="356">
        <v>15</v>
      </c>
      <c r="AJ184" s="356">
        <v>6</v>
      </c>
      <c r="AK184" s="356">
        <v>8</v>
      </c>
      <c r="AL184" s="356">
        <v>8</v>
      </c>
      <c r="AM184" s="356">
        <v>9</v>
      </c>
      <c r="AN184" s="356">
        <v>9</v>
      </c>
      <c r="AO184" s="356">
        <v>3</v>
      </c>
      <c r="AP184" s="356">
        <v>1</v>
      </c>
      <c r="AQ184" s="356">
        <v>7</v>
      </c>
      <c r="AR184" s="356">
        <v>13</v>
      </c>
      <c r="AS184" s="356">
        <v>3</v>
      </c>
      <c r="AT184" s="356">
        <v>10</v>
      </c>
      <c r="AU184" s="356">
        <v>9</v>
      </c>
      <c r="AV184" s="356">
        <v>1</v>
      </c>
      <c r="AW184" s="356">
        <v>3</v>
      </c>
      <c r="AX184" s="356">
        <v>3</v>
      </c>
      <c r="AY184" s="356">
        <v>8</v>
      </c>
      <c r="AZ184" s="356">
        <v>7</v>
      </c>
      <c r="BA184" s="356">
        <v>11</v>
      </c>
      <c r="BB184" s="356">
        <v>10</v>
      </c>
      <c r="BD184" s="353">
        <f t="shared" si="8"/>
        <v>70</v>
      </c>
      <c r="BE184" s="353">
        <f t="shared" si="9"/>
        <v>89</v>
      </c>
      <c r="BF184" s="353">
        <f t="shared" si="10"/>
        <v>81</v>
      </c>
      <c r="BG184" s="353">
        <f t="shared" si="11"/>
        <v>85</v>
      </c>
    </row>
    <row r="185" spans="2:59">
      <c r="B185" s="354">
        <v>177</v>
      </c>
      <c r="C185" s="743" t="s">
        <v>529</v>
      </c>
      <c r="D185" s="744" t="s">
        <v>529</v>
      </c>
      <c r="E185" s="744" t="s">
        <v>529</v>
      </c>
      <c r="F185" s="357">
        <v>91042653</v>
      </c>
      <c r="G185" s="356">
        <v>5</v>
      </c>
      <c r="H185" s="356">
        <v>4</v>
      </c>
      <c r="I185" s="356">
        <v>14</v>
      </c>
      <c r="J185" s="356">
        <v>0</v>
      </c>
      <c r="K185" s="356">
        <v>13</v>
      </c>
      <c r="L185" s="356">
        <v>11</v>
      </c>
      <c r="M185" s="356">
        <v>12</v>
      </c>
      <c r="N185" s="356">
        <v>0</v>
      </c>
      <c r="O185" s="356">
        <v>11</v>
      </c>
      <c r="P185" s="356">
        <v>8</v>
      </c>
      <c r="Q185" s="356">
        <v>2</v>
      </c>
      <c r="R185" s="356">
        <v>4</v>
      </c>
      <c r="S185" s="356">
        <v>11</v>
      </c>
      <c r="T185" s="356">
        <v>12</v>
      </c>
      <c r="U185" s="356">
        <v>7</v>
      </c>
      <c r="V185" s="356">
        <v>3</v>
      </c>
      <c r="W185" s="356">
        <v>7</v>
      </c>
      <c r="X185" s="356">
        <v>7</v>
      </c>
      <c r="Y185" s="356">
        <v>14</v>
      </c>
      <c r="Z185" s="356">
        <v>3</v>
      </c>
      <c r="AA185" s="356">
        <v>9</v>
      </c>
      <c r="AB185" s="356">
        <v>8</v>
      </c>
      <c r="AC185" s="356">
        <v>14</v>
      </c>
      <c r="AD185" s="356">
        <v>6</v>
      </c>
      <c r="AE185" s="356">
        <v>7</v>
      </c>
      <c r="AF185" s="356">
        <v>8</v>
      </c>
      <c r="AG185" s="356">
        <v>3</v>
      </c>
      <c r="AH185" s="356">
        <v>5</v>
      </c>
      <c r="AI185" s="356">
        <v>4</v>
      </c>
      <c r="AJ185" s="356">
        <v>2</v>
      </c>
      <c r="AK185" s="356">
        <v>0</v>
      </c>
      <c r="AL185" s="356">
        <v>4</v>
      </c>
      <c r="AM185" s="356">
        <v>6</v>
      </c>
      <c r="AN185" s="356">
        <v>5</v>
      </c>
      <c r="AO185" s="356">
        <v>15</v>
      </c>
      <c r="AP185" s="356">
        <v>1</v>
      </c>
      <c r="AQ185" s="356">
        <v>3</v>
      </c>
      <c r="AR185" s="356">
        <v>15</v>
      </c>
      <c r="AS185" s="356">
        <v>15</v>
      </c>
      <c r="AT185" s="356">
        <v>9</v>
      </c>
      <c r="AU185" s="356">
        <v>12</v>
      </c>
      <c r="AV185" s="356">
        <v>13</v>
      </c>
      <c r="AW185" s="356">
        <v>6</v>
      </c>
      <c r="AX185" s="356">
        <v>15</v>
      </c>
      <c r="AY185" s="356">
        <v>0</v>
      </c>
      <c r="AZ185" s="356">
        <v>12</v>
      </c>
      <c r="BA185" s="356">
        <v>3</v>
      </c>
      <c r="BB185" s="356">
        <v>4</v>
      </c>
      <c r="BD185" s="353">
        <f t="shared" si="8"/>
        <v>102</v>
      </c>
      <c r="BE185" s="353">
        <f t="shared" si="9"/>
        <v>88</v>
      </c>
      <c r="BF185" s="353">
        <f t="shared" si="10"/>
        <v>105</v>
      </c>
      <c r="BG185" s="353">
        <f t="shared" si="11"/>
        <v>83</v>
      </c>
    </row>
    <row r="186" spans="2:59">
      <c r="B186" s="354">
        <v>178</v>
      </c>
      <c r="C186" s="743" t="s">
        <v>528</v>
      </c>
      <c r="D186" s="744" t="s">
        <v>528</v>
      </c>
      <c r="E186" s="744" t="s">
        <v>528</v>
      </c>
      <c r="F186" s="357">
        <v>1099373668</v>
      </c>
      <c r="G186" s="356">
        <v>14</v>
      </c>
      <c r="H186" s="356">
        <v>13</v>
      </c>
      <c r="I186" s="356">
        <v>9</v>
      </c>
      <c r="J186" s="356">
        <v>8</v>
      </c>
      <c r="K186" s="356">
        <v>1</v>
      </c>
      <c r="L186" s="356">
        <v>13</v>
      </c>
      <c r="M186" s="356">
        <v>13</v>
      </c>
      <c r="N186" s="356">
        <v>14</v>
      </c>
      <c r="O186" s="356">
        <v>0</v>
      </c>
      <c r="P186" s="356">
        <v>8</v>
      </c>
      <c r="Q186" s="356">
        <v>14</v>
      </c>
      <c r="R186" s="356">
        <v>5</v>
      </c>
      <c r="S186" s="356">
        <v>8</v>
      </c>
      <c r="T186" s="356">
        <v>11</v>
      </c>
      <c r="U186" s="356">
        <v>6</v>
      </c>
      <c r="V186" s="356">
        <v>3</v>
      </c>
      <c r="W186" s="356">
        <v>8</v>
      </c>
      <c r="X186" s="356">
        <v>9</v>
      </c>
      <c r="Y186" s="356">
        <v>4</v>
      </c>
      <c r="Z186" s="356">
        <v>4</v>
      </c>
      <c r="AA186" s="356">
        <v>9</v>
      </c>
      <c r="AB186" s="356">
        <v>4</v>
      </c>
      <c r="AC186" s="356">
        <v>7</v>
      </c>
      <c r="AD186" s="356">
        <v>1</v>
      </c>
      <c r="AE186" s="356">
        <v>5</v>
      </c>
      <c r="AF186" s="356">
        <v>12</v>
      </c>
      <c r="AG186" s="356">
        <v>4</v>
      </c>
      <c r="AH186" s="356">
        <v>2</v>
      </c>
      <c r="AI186" s="356">
        <v>1</v>
      </c>
      <c r="AJ186" s="356">
        <v>13</v>
      </c>
      <c r="AK186" s="356">
        <v>12</v>
      </c>
      <c r="AL186" s="356">
        <v>0</v>
      </c>
      <c r="AM186" s="356">
        <v>9</v>
      </c>
      <c r="AN186" s="356">
        <v>13</v>
      </c>
      <c r="AO186" s="356">
        <v>13</v>
      </c>
      <c r="AP186" s="356">
        <v>15</v>
      </c>
      <c r="AQ186" s="356">
        <v>11</v>
      </c>
      <c r="AR186" s="356">
        <v>15</v>
      </c>
      <c r="AS186" s="356">
        <v>6</v>
      </c>
      <c r="AT186" s="356">
        <v>7</v>
      </c>
      <c r="AU186" s="356">
        <v>3</v>
      </c>
      <c r="AV186" s="356">
        <v>11</v>
      </c>
      <c r="AW186" s="356">
        <v>7</v>
      </c>
      <c r="AX186" s="356">
        <v>8</v>
      </c>
      <c r="AY186" s="356">
        <v>4</v>
      </c>
      <c r="AZ186" s="356">
        <v>4</v>
      </c>
      <c r="BA186" s="356">
        <v>11</v>
      </c>
      <c r="BB186" s="356">
        <v>5</v>
      </c>
      <c r="BD186" s="353">
        <f t="shared" si="8"/>
        <v>95</v>
      </c>
      <c r="BE186" s="353">
        <f t="shared" si="9"/>
        <v>73</v>
      </c>
      <c r="BF186" s="353">
        <f t="shared" si="10"/>
        <v>106</v>
      </c>
      <c r="BG186" s="353">
        <f t="shared" si="11"/>
        <v>59</v>
      </c>
    </row>
    <row r="187" spans="2:59">
      <c r="B187" s="354">
        <v>179</v>
      </c>
      <c r="C187" s="743" t="s">
        <v>527</v>
      </c>
      <c r="D187" s="744" t="s">
        <v>527</v>
      </c>
      <c r="E187" s="744" t="s">
        <v>527</v>
      </c>
      <c r="F187" s="357">
        <v>91466996</v>
      </c>
      <c r="G187" s="356">
        <v>11</v>
      </c>
      <c r="H187" s="356">
        <v>8</v>
      </c>
      <c r="I187" s="356">
        <v>7</v>
      </c>
      <c r="J187" s="356">
        <v>12</v>
      </c>
      <c r="K187" s="356">
        <v>5</v>
      </c>
      <c r="L187" s="356">
        <v>11</v>
      </c>
      <c r="M187" s="356">
        <v>9</v>
      </c>
      <c r="N187" s="356">
        <v>11</v>
      </c>
      <c r="O187" s="356">
        <v>14</v>
      </c>
      <c r="P187" s="356">
        <v>13</v>
      </c>
      <c r="Q187" s="356">
        <v>6</v>
      </c>
      <c r="R187" s="356">
        <v>9</v>
      </c>
      <c r="S187" s="356">
        <v>4</v>
      </c>
      <c r="T187" s="356">
        <v>10</v>
      </c>
      <c r="U187" s="356">
        <v>14</v>
      </c>
      <c r="V187" s="356">
        <v>7</v>
      </c>
      <c r="W187" s="356">
        <v>1</v>
      </c>
      <c r="X187" s="356">
        <v>11</v>
      </c>
      <c r="Y187" s="356">
        <v>15</v>
      </c>
      <c r="Z187" s="356">
        <v>13</v>
      </c>
      <c r="AA187" s="356">
        <v>6</v>
      </c>
      <c r="AB187" s="356">
        <v>4</v>
      </c>
      <c r="AC187" s="356">
        <v>14</v>
      </c>
      <c r="AD187" s="356">
        <v>13</v>
      </c>
      <c r="AE187" s="356">
        <v>4</v>
      </c>
      <c r="AF187" s="356">
        <v>6</v>
      </c>
      <c r="AG187" s="356">
        <v>9</v>
      </c>
      <c r="AH187" s="356">
        <v>11</v>
      </c>
      <c r="AI187" s="356">
        <v>8</v>
      </c>
      <c r="AJ187" s="356">
        <v>2</v>
      </c>
      <c r="AK187" s="356">
        <v>15</v>
      </c>
      <c r="AL187" s="356">
        <v>10</v>
      </c>
      <c r="AM187" s="356">
        <v>15</v>
      </c>
      <c r="AN187" s="356">
        <v>0</v>
      </c>
      <c r="AO187" s="356">
        <v>12</v>
      </c>
      <c r="AP187" s="356">
        <v>4</v>
      </c>
      <c r="AQ187" s="356">
        <v>4</v>
      </c>
      <c r="AR187" s="356">
        <v>5</v>
      </c>
      <c r="AS187" s="356">
        <v>3</v>
      </c>
      <c r="AT187" s="356">
        <v>9</v>
      </c>
      <c r="AU187" s="356">
        <v>0</v>
      </c>
      <c r="AV187" s="356">
        <v>15</v>
      </c>
      <c r="AW187" s="356">
        <v>10</v>
      </c>
      <c r="AX187" s="356">
        <v>14</v>
      </c>
      <c r="AY187" s="356">
        <v>5</v>
      </c>
      <c r="AZ187" s="356">
        <v>3</v>
      </c>
      <c r="BA187" s="356">
        <v>10</v>
      </c>
      <c r="BB187" s="356">
        <v>4</v>
      </c>
      <c r="BD187" s="353">
        <f t="shared" si="8"/>
        <v>114</v>
      </c>
      <c r="BE187" s="353">
        <f t="shared" si="9"/>
        <v>77</v>
      </c>
      <c r="BF187" s="353">
        <f t="shared" si="10"/>
        <v>124</v>
      </c>
      <c r="BG187" s="353">
        <f t="shared" si="11"/>
        <v>66</v>
      </c>
    </row>
    <row r="188" spans="2:59">
      <c r="B188" s="354">
        <v>180</v>
      </c>
      <c r="C188" s="743" t="s">
        <v>526</v>
      </c>
      <c r="D188" s="744" t="s">
        <v>526</v>
      </c>
      <c r="E188" s="744" t="s">
        <v>526</v>
      </c>
      <c r="F188" s="357">
        <v>1098506069</v>
      </c>
      <c r="G188" s="356">
        <v>10</v>
      </c>
      <c r="H188" s="356">
        <v>11</v>
      </c>
      <c r="I188" s="356">
        <v>3</v>
      </c>
      <c r="J188" s="356">
        <v>3</v>
      </c>
      <c r="K188" s="356">
        <v>12</v>
      </c>
      <c r="L188" s="356">
        <v>13</v>
      </c>
      <c r="M188" s="356">
        <v>12</v>
      </c>
      <c r="N188" s="356">
        <v>1</v>
      </c>
      <c r="O188" s="356">
        <v>6</v>
      </c>
      <c r="P188" s="356">
        <v>6</v>
      </c>
      <c r="Q188" s="356">
        <v>8</v>
      </c>
      <c r="R188" s="356">
        <v>15</v>
      </c>
      <c r="S188" s="356">
        <v>10</v>
      </c>
      <c r="T188" s="356">
        <v>8</v>
      </c>
      <c r="U188" s="356">
        <v>12</v>
      </c>
      <c r="V188" s="356">
        <v>12</v>
      </c>
      <c r="W188" s="356">
        <v>13</v>
      </c>
      <c r="X188" s="356">
        <v>6</v>
      </c>
      <c r="Y188" s="356">
        <v>14</v>
      </c>
      <c r="Z188" s="356">
        <v>4</v>
      </c>
      <c r="AA188" s="356">
        <v>4</v>
      </c>
      <c r="AB188" s="356">
        <v>2</v>
      </c>
      <c r="AC188" s="356">
        <v>6</v>
      </c>
      <c r="AD188" s="356">
        <v>0</v>
      </c>
      <c r="AE188" s="356">
        <v>2</v>
      </c>
      <c r="AF188" s="356">
        <v>9</v>
      </c>
      <c r="AG188" s="356">
        <v>8</v>
      </c>
      <c r="AH188" s="356">
        <v>8</v>
      </c>
      <c r="AI188" s="356">
        <v>2</v>
      </c>
      <c r="AJ188" s="356">
        <v>7</v>
      </c>
      <c r="AK188" s="356">
        <v>3</v>
      </c>
      <c r="AL188" s="356">
        <v>9</v>
      </c>
      <c r="AM188" s="356">
        <v>14</v>
      </c>
      <c r="AN188" s="356">
        <v>8</v>
      </c>
      <c r="AO188" s="356">
        <v>11</v>
      </c>
      <c r="AP188" s="356">
        <v>6</v>
      </c>
      <c r="AQ188" s="356">
        <v>5</v>
      </c>
      <c r="AR188" s="356">
        <v>5</v>
      </c>
      <c r="AS188" s="356">
        <v>4</v>
      </c>
      <c r="AT188" s="356">
        <v>8</v>
      </c>
      <c r="AU188" s="356">
        <v>9</v>
      </c>
      <c r="AV188" s="356">
        <v>8</v>
      </c>
      <c r="AW188" s="356">
        <v>5</v>
      </c>
      <c r="AX188" s="356">
        <v>1</v>
      </c>
      <c r="AY188" s="356">
        <v>0</v>
      </c>
      <c r="AZ188" s="356">
        <v>1</v>
      </c>
      <c r="BA188" s="356">
        <v>15</v>
      </c>
      <c r="BB188" s="356">
        <v>12</v>
      </c>
      <c r="BD188" s="353">
        <f t="shared" si="8"/>
        <v>86</v>
      </c>
      <c r="BE188" s="353">
        <f t="shared" si="9"/>
        <v>87</v>
      </c>
      <c r="BF188" s="353">
        <f t="shared" si="10"/>
        <v>101</v>
      </c>
      <c r="BG188" s="353">
        <f t="shared" si="11"/>
        <v>77</v>
      </c>
    </row>
    <row r="189" spans="2:59">
      <c r="B189" s="354">
        <v>181</v>
      </c>
      <c r="C189" s="743" t="s">
        <v>525</v>
      </c>
      <c r="D189" s="744" t="s">
        <v>525</v>
      </c>
      <c r="E189" s="744" t="s">
        <v>525</v>
      </c>
      <c r="F189" s="357">
        <v>1099370149</v>
      </c>
      <c r="G189" s="356">
        <v>6</v>
      </c>
      <c r="H189" s="356">
        <v>8</v>
      </c>
      <c r="I189" s="356">
        <v>14</v>
      </c>
      <c r="J189" s="356">
        <v>11</v>
      </c>
      <c r="K189" s="356">
        <v>3</v>
      </c>
      <c r="L189" s="356">
        <v>7</v>
      </c>
      <c r="M189" s="356">
        <v>12</v>
      </c>
      <c r="N189" s="356">
        <v>7</v>
      </c>
      <c r="O189" s="356">
        <v>6</v>
      </c>
      <c r="P189" s="356">
        <v>1</v>
      </c>
      <c r="Q189" s="356">
        <v>1</v>
      </c>
      <c r="R189" s="356">
        <v>3</v>
      </c>
      <c r="S189" s="356">
        <v>9</v>
      </c>
      <c r="T189" s="356">
        <v>15</v>
      </c>
      <c r="U189" s="356">
        <v>7</v>
      </c>
      <c r="V189" s="356">
        <v>13</v>
      </c>
      <c r="W189" s="356">
        <v>9</v>
      </c>
      <c r="X189" s="356">
        <v>7</v>
      </c>
      <c r="Y189" s="356">
        <v>3</v>
      </c>
      <c r="Z189" s="356">
        <v>2</v>
      </c>
      <c r="AA189" s="356">
        <v>14</v>
      </c>
      <c r="AB189" s="356">
        <v>3</v>
      </c>
      <c r="AC189" s="356">
        <v>0</v>
      </c>
      <c r="AD189" s="356">
        <v>15</v>
      </c>
      <c r="AE189" s="356">
        <v>3</v>
      </c>
      <c r="AF189" s="356">
        <v>6</v>
      </c>
      <c r="AG189" s="356">
        <v>6</v>
      </c>
      <c r="AH189" s="356">
        <v>14</v>
      </c>
      <c r="AI189" s="356">
        <v>2</v>
      </c>
      <c r="AJ189" s="356">
        <v>10</v>
      </c>
      <c r="AK189" s="356">
        <v>2</v>
      </c>
      <c r="AL189" s="356">
        <v>4</v>
      </c>
      <c r="AM189" s="356">
        <v>7</v>
      </c>
      <c r="AN189" s="356">
        <v>9</v>
      </c>
      <c r="AO189" s="356">
        <v>6</v>
      </c>
      <c r="AP189" s="356">
        <v>11</v>
      </c>
      <c r="AQ189" s="356">
        <v>4</v>
      </c>
      <c r="AR189" s="356">
        <v>3</v>
      </c>
      <c r="AS189" s="356">
        <v>14</v>
      </c>
      <c r="AT189" s="356">
        <v>11</v>
      </c>
      <c r="AU189" s="356">
        <v>1</v>
      </c>
      <c r="AV189" s="356">
        <v>4</v>
      </c>
      <c r="AW189" s="356">
        <v>4</v>
      </c>
      <c r="AX189" s="356">
        <v>7</v>
      </c>
      <c r="AY189" s="356">
        <v>5</v>
      </c>
      <c r="AZ189" s="356">
        <v>3</v>
      </c>
      <c r="BA189" s="356">
        <v>2</v>
      </c>
      <c r="BB189" s="356">
        <v>10</v>
      </c>
      <c r="BD189" s="353">
        <f t="shared" si="8"/>
        <v>69</v>
      </c>
      <c r="BE189" s="353">
        <f t="shared" si="9"/>
        <v>69</v>
      </c>
      <c r="BF189" s="353">
        <f t="shared" si="10"/>
        <v>71</v>
      </c>
      <c r="BG189" s="353">
        <f t="shared" si="11"/>
        <v>63</v>
      </c>
    </row>
    <row r="190" spans="2:59">
      <c r="B190" s="354">
        <v>182</v>
      </c>
      <c r="C190" s="743" t="s">
        <v>524</v>
      </c>
      <c r="D190" s="744" t="s">
        <v>524</v>
      </c>
      <c r="E190" s="744" t="s">
        <v>524</v>
      </c>
      <c r="F190" s="357">
        <v>98</v>
      </c>
      <c r="G190" s="356">
        <v>7</v>
      </c>
      <c r="H190" s="356">
        <v>14</v>
      </c>
      <c r="I190" s="356">
        <v>14</v>
      </c>
      <c r="J190" s="356">
        <v>2</v>
      </c>
      <c r="K190" s="356">
        <v>13</v>
      </c>
      <c r="L190" s="356">
        <v>15</v>
      </c>
      <c r="M190" s="356">
        <v>12</v>
      </c>
      <c r="N190" s="356">
        <v>7</v>
      </c>
      <c r="O190" s="356">
        <v>3</v>
      </c>
      <c r="P190" s="356">
        <v>9</v>
      </c>
      <c r="Q190" s="356">
        <v>6</v>
      </c>
      <c r="R190" s="356">
        <v>5</v>
      </c>
      <c r="S190" s="356">
        <v>8</v>
      </c>
      <c r="T190" s="356">
        <v>11</v>
      </c>
      <c r="U190" s="356">
        <v>14</v>
      </c>
      <c r="V190" s="356">
        <v>15</v>
      </c>
      <c r="W190" s="356">
        <v>11</v>
      </c>
      <c r="X190" s="356">
        <v>6</v>
      </c>
      <c r="Y190" s="356">
        <v>10</v>
      </c>
      <c r="Z190" s="356">
        <v>10</v>
      </c>
      <c r="AA190" s="356">
        <v>9</v>
      </c>
      <c r="AB190" s="356">
        <v>13</v>
      </c>
      <c r="AC190" s="356">
        <v>4</v>
      </c>
      <c r="AD190" s="356">
        <v>3</v>
      </c>
      <c r="AE190" s="356">
        <v>2</v>
      </c>
      <c r="AF190" s="356">
        <v>9</v>
      </c>
      <c r="AG190" s="356">
        <v>14</v>
      </c>
      <c r="AH190" s="356">
        <v>11</v>
      </c>
      <c r="AI190" s="356">
        <v>13</v>
      </c>
      <c r="AJ190" s="356">
        <v>6</v>
      </c>
      <c r="AK190" s="356">
        <v>8</v>
      </c>
      <c r="AL190" s="356">
        <v>7</v>
      </c>
      <c r="AM190" s="356">
        <v>6</v>
      </c>
      <c r="AN190" s="356">
        <v>13</v>
      </c>
      <c r="AO190" s="356">
        <v>1</v>
      </c>
      <c r="AP190" s="356">
        <v>15</v>
      </c>
      <c r="AQ190" s="356">
        <v>13</v>
      </c>
      <c r="AR190" s="356">
        <v>11</v>
      </c>
      <c r="AS190" s="356">
        <v>4</v>
      </c>
      <c r="AT190" s="356">
        <v>10</v>
      </c>
      <c r="AU190" s="356">
        <v>6</v>
      </c>
      <c r="AV190" s="356">
        <v>14</v>
      </c>
      <c r="AW190" s="356">
        <v>13</v>
      </c>
      <c r="AX190" s="356">
        <v>11</v>
      </c>
      <c r="AY190" s="356">
        <v>1</v>
      </c>
      <c r="AZ190" s="356">
        <v>14</v>
      </c>
      <c r="BA190" s="356">
        <v>0</v>
      </c>
      <c r="BB190" s="356">
        <v>8</v>
      </c>
      <c r="BD190" s="353">
        <f t="shared" si="8"/>
        <v>100</v>
      </c>
      <c r="BE190" s="353">
        <f t="shared" si="9"/>
        <v>92</v>
      </c>
      <c r="BF190" s="353">
        <f t="shared" si="10"/>
        <v>100</v>
      </c>
      <c r="BG190" s="353">
        <f t="shared" si="11"/>
        <v>85</v>
      </c>
    </row>
    <row r="191" spans="2:59">
      <c r="B191" s="354">
        <v>183</v>
      </c>
      <c r="C191" s="743" t="s">
        <v>523</v>
      </c>
      <c r="D191" s="744" t="s">
        <v>523</v>
      </c>
      <c r="E191" s="744" t="s">
        <v>523</v>
      </c>
      <c r="F191" s="357">
        <v>91356222</v>
      </c>
      <c r="G191" s="356">
        <v>3</v>
      </c>
      <c r="H191" s="356">
        <v>10</v>
      </c>
      <c r="I191" s="356">
        <v>1</v>
      </c>
      <c r="J191" s="356">
        <v>11</v>
      </c>
      <c r="K191" s="356">
        <v>2</v>
      </c>
      <c r="L191" s="356">
        <v>2</v>
      </c>
      <c r="M191" s="356">
        <v>0</v>
      </c>
      <c r="N191" s="356">
        <v>3</v>
      </c>
      <c r="O191" s="356">
        <v>10</v>
      </c>
      <c r="P191" s="356">
        <v>6</v>
      </c>
      <c r="Q191" s="356">
        <v>1</v>
      </c>
      <c r="R191" s="356">
        <v>9</v>
      </c>
      <c r="S191" s="356">
        <v>1</v>
      </c>
      <c r="T191" s="356">
        <v>10</v>
      </c>
      <c r="U191" s="356">
        <v>5</v>
      </c>
      <c r="V191" s="356">
        <v>7</v>
      </c>
      <c r="W191" s="356">
        <v>3</v>
      </c>
      <c r="X191" s="356">
        <v>3</v>
      </c>
      <c r="Y191" s="356">
        <v>9</v>
      </c>
      <c r="Z191" s="356">
        <v>15</v>
      </c>
      <c r="AA191" s="356">
        <v>14</v>
      </c>
      <c r="AB191" s="356">
        <v>6</v>
      </c>
      <c r="AC191" s="356">
        <v>8</v>
      </c>
      <c r="AD191" s="356">
        <v>4</v>
      </c>
      <c r="AE191" s="356">
        <v>7</v>
      </c>
      <c r="AF191" s="356">
        <v>15</v>
      </c>
      <c r="AG191" s="356">
        <v>3</v>
      </c>
      <c r="AH191" s="356">
        <v>0</v>
      </c>
      <c r="AI191" s="356">
        <v>1</v>
      </c>
      <c r="AJ191" s="356">
        <v>6</v>
      </c>
      <c r="AK191" s="356">
        <v>13</v>
      </c>
      <c r="AL191" s="356">
        <v>6</v>
      </c>
      <c r="AM191" s="356">
        <v>9</v>
      </c>
      <c r="AN191" s="356">
        <v>1</v>
      </c>
      <c r="AO191" s="356">
        <v>5</v>
      </c>
      <c r="AP191" s="356">
        <v>4</v>
      </c>
      <c r="AQ191" s="356">
        <v>1</v>
      </c>
      <c r="AR191" s="356">
        <v>12</v>
      </c>
      <c r="AS191" s="356">
        <v>8</v>
      </c>
      <c r="AT191" s="356">
        <v>3</v>
      </c>
      <c r="AU191" s="356">
        <v>7</v>
      </c>
      <c r="AV191" s="356">
        <v>2</v>
      </c>
      <c r="AW191" s="356">
        <v>5</v>
      </c>
      <c r="AX191" s="356">
        <v>0</v>
      </c>
      <c r="AY191" s="356">
        <v>1</v>
      </c>
      <c r="AZ191" s="356">
        <v>2</v>
      </c>
      <c r="BA191" s="356">
        <v>9</v>
      </c>
      <c r="BB191" s="356">
        <v>1</v>
      </c>
      <c r="BD191" s="353">
        <f t="shared" si="8"/>
        <v>58</v>
      </c>
      <c r="BE191" s="353">
        <f t="shared" si="9"/>
        <v>59</v>
      </c>
      <c r="BF191" s="353">
        <f t="shared" si="10"/>
        <v>67</v>
      </c>
      <c r="BG191" s="353">
        <f t="shared" si="11"/>
        <v>56</v>
      </c>
    </row>
    <row r="192" spans="2:59">
      <c r="B192" s="354">
        <v>184</v>
      </c>
      <c r="C192" s="743" t="s">
        <v>522</v>
      </c>
      <c r="D192" s="744" t="s">
        <v>522</v>
      </c>
      <c r="E192" s="744" t="s">
        <v>522</v>
      </c>
      <c r="F192" s="357">
        <v>63302680</v>
      </c>
      <c r="G192" s="356">
        <v>7</v>
      </c>
      <c r="H192" s="356">
        <v>13</v>
      </c>
      <c r="I192" s="356">
        <v>7</v>
      </c>
      <c r="J192" s="356">
        <v>13</v>
      </c>
      <c r="K192" s="356">
        <v>11</v>
      </c>
      <c r="L192" s="356">
        <v>11</v>
      </c>
      <c r="M192" s="356">
        <v>11</v>
      </c>
      <c r="N192" s="356">
        <v>9</v>
      </c>
      <c r="O192" s="356">
        <v>10</v>
      </c>
      <c r="P192" s="356">
        <v>12</v>
      </c>
      <c r="Q192" s="356">
        <v>9</v>
      </c>
      <c r="R192" s="356">
        <v>7</v>
      </c>
      <c r="S192" s="356">
        <v>8</v>
      </c>
      <c r="T192" s="356">
        <v>15</v>
      </c>
      <c r="U192" s="356">
        <v>15</v>
      </c>
      <c r="V192" s="356">
        <v>4</v>
      </c>
      <c r="W192" s="356">
        <v>10</v>
      </c>
      <c r="X192" s="356">
        <v>12</v>
      </c>
      <c r="Y192" s="356">
        <v>0</v>
      </c>
      <c r="Z192" s="356">
        <v>5</v>
      </c>
      <c r="AA192" s="356">
        <v>13</v>
      </c>
      <c r="AB192" s="356">
        <v>0</v>
      </c>
      <c r="AC192" s="356">
        <v>3</v>
      </c>
      <c r="AD192" s="356">
        <v>1</v>
      </c>
      <c r="AE192" s="356">
        <v>7</v>
      </c>
      <c r="AF192" s="356">
        <v>13</v>
      </c>
      <c r="AG192" s="356">
        <v>8</v>
      </c>
      <c r="AH192" s="356">
        <v>4</v>
      </c>
      <c r="AI192" s="356">
        <v>9</v>
      </c>
      <c r="AJ192" s="356">
        <v>2</v>
      </c>
      <c r="AK192" s="356">
        <v>8</v>
      </c>
      <c r="AL192" s="356">
        <v>11</v>
      </c>
      <c r="AM192" s="356">
        <v>12</v>
      </c>
      <c r="AN192" s="356">
        <v>14</v>
      </c>
      <c r="AO192" s="356">
        <v>13</v>
      </c>
      <c r="AP192" s="356">
        <v>10</v>
      </c>
      <c r="AQ192" s="356">
        <v>5</v>
      </c>
      <c r="AR192" s="356">
        <v>5</v>
      </c>
      <c r="AS192" s="356">
        <v>10</v>
      </c>
      <c r="AT192" s="356">
        <v>10</v>
      </c>
      <c r="AU192" s="356">
        <v>4</v>
      </c>
      <c r="AV192" s="356">
        <v>11</v>
      </c>
      <c r="AW192" s="356">
        <v>1</v>
      </c>
      <c r="AX192" s="356">
        <v>7</v>
      </c>
      <c r="AY192" s="356">
        <v>15</v>
      </c>
      <c r="AZ192" s="356">
        <v>12</v>
      </c>
      <c r="BA192" s="356">
        <v>2</v>
      </c>
      <c r="BB192" s="356">
        <v>11</v>
      </c>
      <c r="BD192" s="353">
        <f t="shared" si="8"/>
        <v>85</v>
      </c>
      <c r="BE192" s="353">
        <f t="shared" si="9"/>
        <v>111</v>
      </c>
      <c r="BF192" s="353">
        <f t="shared" si="10"/>
        <v>87</v>
      </c>
      <c r="BG192" s="353">
        <f t="shared" si="11"/>
        <v>104</v>
      </c>
    </row>
    <row r="193" spans="2:59">
      <c r="B193" s="354">
        <v>185</v>
      </c>
      <c r="C193" s="743" t="s">
        <v>521</v>
      </c>
      <c r="D193" s="744" t="s">
        <v>521</v>
      </c>
      <c r="E193" s="744" t="s">
        <v>521</v>
      </c>
      <c r="F193" s="357">
        <v>13537768</v>
      </c>
      <c r="G193" s="356">
        <v>9</v>
      </c>
      <c r="H193" s="356">
        <v>4</v>
      </c>
      <c r="I193" s="356">
        <v>0</v>
      </c>
      <c r="J193" s="356">
        <v>0</v>
      </c>
      <c r="K193" s="356">
        <v>2</v>
      </c>
      <c r="L193" s="356">
        <v>9</v>
      </c>
      <c r="M193" s="356">
        <v>13</v>
      </c>
      <c r="N193" s="356">
        <v>4</v>
      </c>
      <c r="O193" s="356">
        <v>7</v>
      </c>
      <c r="P193" s="356">
        <v>5</v>
      </c>
      <c r="Q193" s="356">
        <v>6</v>
      </c>
      <c r="R193" s="356">
        <v>0</v>
      </c>
      <c r="S193" s="356">
        <v>9</v>
      </c>
      <c r="T193" s="356">
        <v>1</v>
      </c>
      <c r="U193" s="356">
        <v>4</v>
      </c>
      <c r="V193" s="356">
        <v>6</v>
      </c>
      <c r="W193" s="356">
        <v>7</v>
      </c>
      <c r="X193" s="356">
        <v>4</v>
      </c>
      <c r="Y193" s="356">
        <v>5</v>
      </c>
      <c r="Z193" s="356">
        <v>4</v>
      </c>
      <c r="AA193" s="356">
        <v>7</v>
      </c>
      <c r="AB193" s="356">
        <v>9</v>
      </c>
      <c r="AC193" s="356">
        <v>9</v>
      </c>
      <c r="AD193" s="356">
        <v>11</v>
      </c>
      <c r="AE193" s="356">
        <v>13</v>
      </c>
      <c r="AF193" s="356">
        <v>13</v>
      </c>
      <c r="AG193" s="356">
        <v>13</v>
      </c>
      <c r="AH193" s="356">
        <v>11</v>
      </c>
      <c r="AI193" s="356">
        <v>1</v>
      </c>
      <c r="AJ193" s="356">
        <v>3</v>
      </c>
      <c r="AK193" s="356">
        <v>0</v>
      </c>
      <c r="AL193" s="356">
        <v>14</v>
      </c>
      <c r="AM193" s="356">
        <v>8</v>
      </c>
      <c r="AN193" s="356">
        <v>12</v>
      </c>
      <c r="AO193" s="356">
        <v>4</v>
      </c>
      <c r="AP193" s="356">
        <v>14</v>
      </c>
      <c r="AQ193" s="356">
        <v>14</v>
      </c>
      <c r="AR193" s="356">
        <v>1</v>
      </c>
      <c r="AS193" s="356">
        <v>4</v>
      </c>
      <c r="AT193" s="356">
        <v>1</v>
      </c>
      <c r="AU193" s="356">
        <v>7</v>
      </c>
      <c r="AV193" s="356">
        <v>8</v>
      </c>
      <c r="AW193" s="356">
        <v>1</v>
      </c>
      <c r="AX193" s="356">
        <v>12</v>
      </c>
      <c r="AY193" s="356">
        <v>12</v>
      </c>
      <c r="AZ193" s="356">
        <v>1</v>
      </c>
      <c r="BA193" s="356">
        <v>6</v>
      </c>
      <c r="BB193" s="356">
        <v>0</v>
      </c>
      <c r="BD193" s="353">
        <f t="shared" si="8"/>
        <v>59</v>
      </c>
      <c r="BE193" s="353">
        <f t="shared" si="9"/>
        <v>96</v>
      </c>
      <c r="BF193" s="353">
        <f t="shared" si="10"/>
        <v>65</v>
      </c>
      <c r="BG193" s="353">
        <f t="shared" si="11"/>
        <v>87</v>
      </c>
    </row>
    <row r="194" spans="2:59">
      <c r="B194" s="354">
        <v>186</v>
      </c>
      <c r="C194" s="743" t="s">
        <v>520</v>
      </c>
      <c r="D194" s="744" t="s">
        <v>520</v>
      </c>
      <c r="E194" s="744" t="s">
        <v>520</v>
      </c>
      <c r="F194" s="357">
        <v>37711163</v>
      </c>
      <c r="G194" s="356">
        <v>0</v>
      </c>
      <c r="H194" s="356">
        <v>5</v>
      </c>
      <c r="I194" s="356">
        <v>9</v>
      </c>
      <c r="J194" s="356">
        <v>11</v>
      </c>
      <c r="K194" s="356">
        <v>14</v>
      </c>
      <c r="L194" s="356">
        <v>14</v>
      </c>
      <c r="M194" s="356">
        <v>12</v>
      </c>
      <c r="N194" s="356">
        <v>8</v>
      </c>
      <c r="O194" s="356">
        <v>15</v>
      </c>
      <c r="P194" s="356">
        <v>5</v>
      </c>
      <c r="Q194" s="356">
        <v>11</v>
      </c>
      <c r="R194" s="356">
        <v>15</v>
      </c>
      <c r="S194" s="356">
        <v>13</v>
      </c>
      <c r="T194" s="356">
        <v>2</v>
      </c>
      <c r="U194" s="356">
        <v>3</v>
      </c>
      <c r="V194" s="356">
        <v>14</v>
      </c>
      <c r="W194" s="356">
        <v>3</v>
      </c>
      <c r="X194" s="356">
        <v>1</v>
      </c>
      <c r="Y194" s="356">
        <v>13</v>
      </c>
      <c r="Z194" s="356">
        <v>11</v>
      </c>
      <c r="AA194" s="356">
        <v>0</v>
      </c>
      <c r="AB194" s="356">
        <v>8</v>
      </c>
      <c r="AC194" s="356">
        <v>11</v>
      </c>
      <c r="AD194" s="356">
        <v>14</v>
      </c>
      <c r="AE194" s="356">
        <v>7</v>
      </c>
      <c r="AF194" s="356">
        <v>5</v>
      </c>
      <c r="AG194" s="356">
        <v>11</v>
      </c>
      <c r="AH194" s="356">
        <v>14</v>
      </c>
      <c r="AI194" s="356">
        <v>4</v>
      </c>
      <c r="AJ194" s="356">
        <v>9</v>
      </c>
      <c r="AK194" s="356">
        <v>1</v>
      </c>
      <c r="AL194" s="356">
        <v>0</v>
      </c>
      <c r="AM194" s="356">
        <v>11</v>
      </c>
      <c r="AN194" s="356">
        <v>14</v>
      </c>
      <c r="AO194" s="356">
        <v>11</v>
      </c>
      <c r="AP194" s="356">
        <v>4</v>
      </c>
      <c r="AQ194" s="356">
        <v>13</v>
      </c>
      <c r="AR194" s="356">
        <v>5</v>
      </c>
      <c r="AS194" s="356">
        <v>2</v>
      </c>
      <c r="AT194" s="356">
        <v>1</v>
      </c>
      <c r="AU194" s="356">
        <v>9</v>
      </c>
      <c r="AV194" s="356">
        <v>10</v>
      </c>
      <c r="AW194" s="356">
        <v>6</v>
      </c>
      <c r="AX194" s="356">
        <v>7</v>
      </c>
      <c r="AY194" s="356">
        <v>11</v>
      </c>
      <c r="AZ194" s="356">
        <v>4</v>
      </c>
      <c r="BA194" s="356">
        <v>11</v>
      </c>
      <c r="BB194" s="356">
        <v>6</v>
      </c>
      <c r="BD194" s="353">
        <f t="shared" si="8"/>
        <v>90</v>
      </c>
      <c r="BE194" s="353">
        <f t="shared" si="9"/>
        <v>100</v>
      </c>
      <c r="BF194" s="353">
        <f t="shared" si="10"/>
        <v>101</v>
      </c>
      <c r="BG194" s="353">
        <f t="shared" si="11"/>
        <v>100</v>
      </c>
    </row>
    <row r="195" spans="2:59">
      <c r="B195" s="354">
        <v>187</v>
      </c>
      <c r="C195" s="743" t="s">
        <v>519</v>
      </c>
      <c r="D195" s="744" t="s">
        <v>519</v>
      </c>
      <c r="E195" s="744" t="s">
        <v>519</v>
      </c>
      <c r="F195" s="357">
        <v>1098707062</v>
      </c>
      <c r="G195" s="356">
        <v>15</v>
      </c>
      <c r="H195" s="356">
        <v>15</v>
      </c>
      <c r="I195" s="356">
        <v>6</v>
      </c>
      <c r="J195" s="356">
        <v>15</v>
      </c>
      <c r="K195" s="356">
        <v>9</v>
      </c>
      <c r="L195" s="356">
        <v>13</v>
      </c>
      <c r="M195" s="356">
        <v>3</v>
      </c>
      <c r="N195" s="356">
        <v>1</v>
      </c>
      <c r="O195" s="356">
        <v>15</v>
      </c>
      <c r="P195" s="356">
        <v>8</v>
      </c>
      <c r="Q195" s="356">
        <v>12</v>
      </c>
      <c r="R195" s="356">
        <v>12</v>
      </c>
      <c r="S195" s="356">
        <v>15</v>
      </c>
      <c r="T195" s="356">
        <v>10</v>
      </c>
      <c r="U195" s="356">
        <v>8</v>
      </c>
      <c r="V195" s="356">
        <v>3</v>
      </c>
      <c r="W195" s="356">
        <v>6</v>
      </c>
      <c r="X195" s="356">
        <v>6</v>
      </c>
      <c r="Y195" s="356">
        <v>8</v>
      </c>
      <c r="Z195" s="356">
        <v>0</v>
      </c>
      <c r="AA195" s="356">
        <v>0</v>
      </c>
      <c r="AB195" s="356">
        <v>15</v>
      </c>
      <c r="AC195" s="356">
        <v>3</v>
      </c>
      <c r="AD195" s="356">
        <v>14</v>
      </c>
      <c r="AE195" s="356">
        <v>3</v>
      </c>
      <c r="AF195" s="356">
        <v>9</v>
      </c>
      <c r="AG195" s="356">
        <v>14</v>
      </c>
      <c r="AH195" s="356">
        <v>3</v>
      </c>
      <c r="AI195" s="356">
        <v>3</v>
      </c>
      <c r="AJ195" s="356">
        <v>10</v>
      </c>
      <c r="AK195" s="356">
        <v>13</v>
      </c>
      <c r="AL195" s="356">
        <v>3</v>
      </c>
      <c r="AM195" s="356">
        <v>5</v>
      </c>
      <c r="AN195" s="356">
        <v>1</v>
      </c>
      <c r="AO195" s="356">
        <v>4</v>
      </c>
      <c r="AP195" s="356">
        <v>0</v>
      </c>
      <c r="AQ195" s="356">
        <v>12</v>
      </c>
      <c r="AR195" s="356">
        <v>2</v>
      </c>
      <c r="AS195" s="356">
        <v>13</v>
      </c>
      <c r="AT195" s="356">
        <v>7</v>
      </c>
      <c r="AU195" s="356">
        <v>14</v>
      </c>
      <c r="AV195" s="356">
        <v>15</v>
      </c>
      <c r="AW195" s="356">
        <v>8</v>
      </c>
      <c r="AX195" s="356">
        <v>14</v>
      </c>
      <c r="AY195" s="356">
        <v>2</v>
      </c>
      <c r="AZ195" s="356">
        <v>9</v>
      </c>
      <c r="BA195" s="356">
        <v>14</v>
      </c>
      <c r="BB195" s="356">
        <v>5</v>
      </c>
      <c r="BD195" s="353">
        <f t="shared" si="8"/>
        <v>92</v>
      </c>
      <c r="BE195" s="353">
        <f t="shared" si="9"/>
        <v>99</v>
      </c>
      <c r="BF195" s="353">
        <f t="shared" si="10"/>
        <v>106</v>
      </c>
      <c r="BG195" s="353">
        <f t="shared" si="11"/>
        <v>84</v>
      </c>
    </row>
    <row r="196" spans="2:59">
      <c r="B196" s="354">
        <v>188</v>
      </c>
      <c r="C196" s="743" t="s">
        <v>518</v>
      </c>
      <c r="D196" s="744" t="s">
        <v>518</v>
      </c>
      <c r="E196" s="744" t="s">
        <v>518</v>
      </c>
      <c r="F196" s="357">
        <v>1098679393</v>
      </c>
      <c r="G196" s="356">
        <v>1</v>
      </c>
      <c r="H196" s="356">
        <v>6</v>
      </c>
      <c r="I196" s="356">
        <v>8</v>
      </c>
      <c r="J196" s="356">
        <v>5</v>
      </c>
      <c r="K196" s="356">
        <v>7</v>
      </c>
      <c r="L196" s="356">
        <v>4</v>
      </c>
      <c r="M196" s="356">
        <v>5</v>
      </c>
      <c r="N196" s="356">
        <v>4</v>
      </c>
      <c r="O196" s="356">
        <v>3</v>
      </c>
      <c r="P196" s="356">
        <v>12</v>
      </c>
      <c r="Q196" s="356">
        <v>3</v>
      </c>
      <c r="R196" s="356">
        <v>12</v>
      </c>
      <c r="S196" s="356">
        <v>4</v>
      </c>
      <c r="T196" s="356">
        <v>2</v>
      </c>
      <c r="U196" s="356">
        <v>13</v>
      </c>
      <c r="V196" s="356">
        <v>3</v>
      </c>
      <c r="W196" s="356">
        <v>9</v>
      </c>
      <c r="X196" s="356">
        <v>13</v>
      </c>
      <c r="Y196" s="356">
        <v>8</v>
      </c>
      <c r="Z196" s="356">
        <v>15</v>
      </c>
      <c r="AA196" s="356">
        <v>9</v>
      </c>
      <c r="AB196" s="356">
        <v>0</v>
      </c>
      <c r="AC196" s="356">
        <v>8</v>
      </c>
      <c r="AD196" s="356">
        <v>13</v>
      </c>
      <c r="AE196" s="356">
        <v>9</v>
      </c>
      <c r="AF196" s="356">
        <v>11</v>
      </c>
      <c r="AG196" s="356">
        <v>11</v>
      </c>
      <c r="AH196" s="356">
        <v>11</v>
      </c>
      <c r="AI196" s="356">
        <v>8</v>
      </c>
      <c r="AJ196" s="356">
        <v>14</v>
      </c>
      <c r="AK196" s="356">
        <v>8</v>
      </c>
      <c r="AL196" s="356">
        <v>12</v>
      </c>
      <c r="AM196" s="356">
        <v>6</v>
      </c>
      <c r="AN196" s="356">
        <v>5</v>
      </c>
      <c r="AO196" s="356">
        <v>6</v>
      </c>
      <c r="AP196" s="356">
        <v>4</v>
      </c>
      <c r="AQ196" s="356">
        <v>5</v>
      </c>
      <c r="AR196" s="356">
        <v>9</v>
      </c>
      <c r="AS196" s="356">
        <v>13</v>
      </c>
      <c r="AT196" s="356">
        <v>15</v>
      </c>
      <c r="AU196" s="356">
        <v>0</v>
      </c>
      <c r="AV196" s="356">
        <v>4</v>
      </c>
      <c r="AW196" s="356">
        <v>4</v>
      </c>
      <c r="AX196" s="356">
        <v>2</v>
      </c>
      <c r="AY196" s="356">
        <v>7</v>
      </c>
      <c r="AZ196" s="356">
        <v>8</v>
      </c>
      <c r="BA196" s="356">
        <v>6</v>
      </c>
      <c r="BB196" s="356">
        <v>7</v>
      </c>
      <c r="BD196" s="353">
        <f t="shared" si="8"/>
        <v>87</v>
      </c>
      <c r="BE196" s="353">
        <f t="shared" si="9"/>
        <v>68</v>
      </c>
      <c r="BF196" s="353">
        <f t="shared" si="10"/>
        <v>93</v>
      </c>
      <c r="BG196" s="353">
        <f t="shared" si="11"/>
        <v>67</v>
      </c>
    </row>
    <row r="197" spans="2:59">
      <c r="B197" s="354">
        <v>189</v>
      </c>
      <c r="C197" s="743" t="s">
        <v>517</v>
      </c>
      <c r="D197" s="744" t="s">
        <v>517</v>
      </c>
      <c r="E197" s="744" t="s">
        <v>517</v>
      </c>
      <c r="F197" s="357">
        <v>28413410</v>
      </c>
      <c r="G197" s="356">
        <v>14</v>
      </c>
      <c r="H197" s="356">
        <v>6</v>
      </c>
      <c r="I197" s="356">
        <v>11</v>
      </c>
      <c r="J197" s="356">
        <v>13</v>
      </c>
      <c r="K197" s="356">
        <v>6</v>
      </c>
      <c r="L197" s="356">
        <v>4</v>
      </c>
      <c r="M197" s="356">
        <v>5</v>
      </c>
      <c r="N197" s="356">
        <v>4</v>
      </c>
      <c r="O197" s="356">
        <v>1</v>
      </c>
      <c r="P197" s="356">
        <v>7</v>
      </c>
      <c r="Q197" s="356">
        <v>10</v>
      </c>
      <c r="R197" s="356">
        <v>2</v>
      </c>
      <c r="S197" s="356">
        <v>10</v>
      </c>
      <c r="T197" s="356">
        <v>9</v>
      </c>
      <c r="U197" s="356">
        <v>0</v>
      </c>
      <c r="V197" s="356">
        <v>13</v>
      </c>
      <c r="W197" s="356">
        <v>7</v>
      </c>
      <c r="X197" s="356">
        <v>1</v>
      </c>
      <c r="Y197" s="356">
        <v>14</v>
      </c>
      <c r="Z197" s="356">
        <v>9</v>
      </c>
      <c r="AA197" s="356">
        <v>13</v>
      </c>
      <c r="AB197" s="356">
        <v>12</v>
      </c>
      <c r="AC197" s="356">
        <v>14</v>
      </c>
      <c r="AD197" s="356">
        <v>5</v>
      </c>
      <c r="AE197" s="356">
        <v>4</v>
      </c>
      <c r="AF197" s="356">
        <v>6</v>
      </c>
      <c r="AG197" s="356">
        <v>15</v>
      </c>
      <c r="AH197" s="356">
        <v>11</v>
      </c>
      <c r="AI197" s="356">
        <v>0</v>
      </c>
      <c r="AJ197" s="356">
        <v>10</v>
      </c>
      <c r="AK197" s="356">
        <v>8</v>
      </c>
      <c r="AL197" s="356">
        <v>4</v>
      </c>
      <c r="AM197" s="356">
        <v>2</v>
      </c>
      <c r="AN197" s="356">
        <v>2</v>
      </c>
      <c r="AO197" s="356">
        <v>13</v>
      </c>
      <c r="AP197" s="356">
        <v>0</v>
      </c>
      <c r="AQ197" s="356">
        <v>4</v>
      </c>
      <c r="AR197" s="356">
        <v>15</v>
      </c>
      <c r="AS197" s="356">
        <v>6</v>
      </c>
      <c r="AT197" s="356">
        <v>2</v>
      </c>
      <c r="AU197" s="356">
        <v>9</v>
      </c>
      <c r="AV197" s="356">
        <v>10</v>
      </c>
      <c r="AW197" s="356">
        <v>3</v>
      </c>
      <c r="AX197" s="356">
        <v>8</v>
      </c>
      <c r="AY197" s="356">
        <v>13</v>
      </c>
      <c r="AZ197" s="356">
        <v>0</v>
      </c>
      <c r="BA197" s="356">
        <v>3</v>
      </c>
      <c r="BB197" s="356">
        <v>8</v>
      </c>
      <c r="BD197" s="353">
        <f t="shared" si="8"/>
        <v>99</v>
      </c>
      <c r="BE197" s="353">
        <f t="shared" si="9"/>
        <v>83</v>
      </c>
      <c r="BF197" s="353">
        <f t="shared" si="10"/>
        <v>102</v>
      </c>
      <c r="BG197" s="353">
        <f t="shared" si="11"/>
        <v>69</v>
      </c>
    </row>
    <row r="198" spans="2:59">
      <c r="B198" s="354">
        <v>190</v>
      </c>
      <c r="C198" s="743" t="s">
        <v>516</v>
      </c>
      <c r="D198" s="744" t="s">
        <v>516</v>
      </c>
      <c r="E198" s="744" t="s">
        <v>516</v>
      </c>
      <c r="F198" s="357">
        <v>91206178</v>
      </c>
      <c r="G198" s="356">
        <v>3</v>
      </c>
      <c r="H198" s="356">
        <v>3</v>
      </c>
      <c r="I198" s="356">
        <v>4</v>
      </c>
      <c r="J198" s="356">
        <v>4</v>
      </c>
      <c r="K198" s="356">
        <v>12</v>
      </c>
      <c r="L198" s="356">
        <v>11</v>
      </c>
      <c r="M198" s="356">
        <v>8</v>
      </c>
      <c r="N198" s="356">
        <v>8</v>
      </c>
      <c r="O198" s="356">
        <v>14</v>
      </c>
      <c r="P198" s="356">
        <v>10</v>
      </c>
      <c r="Q198" s="356">
        <v>5</v>
      </c>
      <c r="R198" s="356">
        <v>9</v>
      </c>
      <c r="S198" s="356">
        <v>2</v>
      </c>
      <c r="T198" s="356">
        <v>11</v>
      </c>
      <c r="U198" s="356">
        <v>12</v>
      </c>
      <c r="V198" s="356">
        <v>11</v>
      </c>
      <c r="W198" s="356">
        <v>8</v>
      </c>
      <c r="X198" s="356">
        <v>14</v>
      </c>
      <c r="Y198" s="356">
        <v>8</v>
      </c>
      <c r="Z198" s="356">
        <v>11</v>
      </c>
      <c r="AA198" s="356">
        <v>5</v>
      </c>
      <c r="AB198" s="356">
        <v>13</v>
      </c>
      <c r="AC198" s="356">
        <v>11</v>
      </c>
      <c r="AD198" s="356">
        <v>10</v>
      </c>
      <c r="AE198" s="356">
        <v>5</v>
      </c>
      <c r="AF198" s="356">
        <v>8</v>
      </c>
      <c r="AG198" s="356">
        <v>15</v>
      </c>
      <c r="AH198" s="356">
        <v>7</v>
      </c>
      <c r="AI198" s="356">
        <v>10</v>
      </c>
      <c r="AJ198" s="356">
        <v>13</v>
      </c>
      <c r="AK198" s="356">
        <v>3</v>
      </c>
      <c r="AL198" s="356">
        <v>14</v>
      </c>
      <c r="AM198" s="356">
        <v>7</v>
      </c>
      <c r="AN198" s="356">
        <v>8</v>
      </c>
      <c r="AO198" s="356">
        <v>2</v>
      </c>
      <c r="AP198" s="356">
        <v>6</v>
      </c>
      <c r="AQ198" s="356">
        <v>1</v>
      </c>
      <c r="AR198" s="356">
        <v>0</v>
      </c>
      <c r="AS198" s="356">
        <v>5</v>
      </c>
      <c r="AT198" s="356">
        <v>8</v>
      </c>
      <c r="AU198" s="356">
        <v>9</v>
      </c>
      <c r="AV198" s="356">
        <v>9</v>
      </c>
      <c r="AW198" s="356">
        <v>14</v>
      </c>
      <c r="AX198" s="356">
        <v>6</v>
      </c>
      <c r="AY198" s="356">
        <v>12</v>
      </c>
      <c r="AZ198" s="356">
        <v>15</v>
      </c>
      <c r="BA198" s="356">
        <v>15</v>
      </c>
      <c r="BB198" s="356">
        <v>3</v>
      </c>
      <c r="BD198" s="353">
        <f t="shared" si="8"/>
        <v>87</v>
      </c>
      <c r="BE198" s="353">
        <f t="shared" si="9"/>
        <v>88</v>
      </c>
      <c r="BF198" s="353">
        <f t="shared" si="10"/>
        <v>102</v>
      </c>
      <c r="BG198" s="353">
        <f t="shared" si="11"/>
        <v>85</v>
      </c>
    </row>
    <row r="199" spans="2:59">
      <c r="B199" s="354">
        <v>191</v>
      </c>
      <c r="C199" s="743" t="s">
        <v>515</v>
      </c>
      <c r="D199" s="744" t="s">
        <v>515</v>
      </c>
      <c r="E199" s="744" t="s">
        <v>515</v>
      </c>
      <c r="F199" s="357">
        <v>1099370768</v>
      </c>
      <c r="G199" s="356">
        <v>10</v>
      </c>
      <c r="H199" s="356">
        <v>12</v>
      </c>
      <c r="I199" s="356">
        <v>6</v>
      </c>
      <c r="J199" s="356">
        <v>10</v>
      </c>
      <c r="K199" s="356">
        <v>4</v>
      </c>
      <c r="L199" s="356">
        <v>1</v>
      </c>
      <c r="M199" s="356">
        <v>2</v>
      </c>
      <c r="N199" s="356">
        <v>14</v>
      </c>
      <c r="O199" s="356">
        <v>14</v>
      </c>
      <c r="P199" s="356">
        <v>1</v>
      </c>
      <c r="Q199" s="356">
        <v>4</v>
      </c>
      <c r="R199" s="356">
        <v>9</v>
      </c>
      <c r="S199" s="356">
        <v>6</v>
      </c>
      <c r="T199" s="356">
        <v>7</v>
      </c>
      <c r="U199" s="356">
        <v>5</v>
      </c>
      <c r="V199" s="356">
        <v>4</v>
      </c>
      <c r="W199" s="356">
        <v>9</v>
      </c>
      <c r="X199" s="356">
        <v>12</v>
      </c>
      <c r="Y199" s="356">
        <v>8</v>
      </c>
      <c r="Z199" s="356">
        <v>7</v>
      </c>
      <c r="AA199" s="356">
        <v>2</v>
      </c>
      <c r="AB199" s="356">
        <v>1</v>
      </c>
      <c r="AC199" s="356">
        <v>13</v>
      </c>
      <c r="AD199" s="356">
        <v>4</v>
      </c>
      <c r="AE199" s="356">
        <v>3</v>
      </c>
      <c r="AF199" s="356">
        <v>12</v>
      </c>
      <c r="AG199" s="356">
        <v>5</v>
      </c>
      <c r="AH199" s="356">
        <v>3</v>
      </c>
      <c r="AI199" s="356">
        <v>13</v>
      </c>
      <c r="AJ199" s="356">
        <v>3</v>
      </c>
      <c r="AK199" s="356">
        <v>5</v>
      </c>
      <c r="AL199" s="356">
        <v>9</v>
      </c>
      <c r="AM199" s="356">
        <v>4</v>
      </c>
      <c r="AN199" s="356">
        <v>4</v>
      </c>
      <c r="AO199" s="356">
        <v>15</v>
      </c>
      <c r="AP199" s="356">
        <v>12</v>
      </c>
      <c r="AQ199" s="356">
        <v>1</v>
      </c>
      <c r="AR199" s="356">
        <v>7</v>
      </c>
      <c r="AS199" s="356">
        <v>4</v>
      </c>
      <c r="AT199" s="356">
        <v>6</v>
      </c>
      <c r="AU199" s="356">
        <v>9</v>
      </c>
      <c r="AV199" s="356">
        <v>8</v>
      </c>
      <c r="AW199" s="356">
        <v>7</v>
      </c>
      <c r="AX199" s="356">
        <v>11</v>
      </c>
      <c r="AY199" s="356">
        <v>7</v>
      </c>
      <c r="AZ199" s="356">
        <v>1</v>
      </c>
      <c r="BA199" s="356">
        <v>1</v>
      </c>
      <c r="BB199" s="356">
        <v>3</v>
      </c>
      <c r="BD199" s="353">
        <f t="shared" si="8"/>
        <v>74</v>
      </c>
      <c r="BE199" s="353">
        <f t="shared" si="9"/>
        <v>82</v>
      </c>
      <c r="BF199" s="353">
        <f t="shared" si="10"/>
        <v>75</v>
      </c>
      <c r="BG199" s="353">
        <f t="shared" si="11"/>
        <v>72</v>
      </c>
    </row>
    <row r="200" spans="2:59">
      <c r="B200" s="354">
        <v>192</v>
      </c>
      <c r="C200" s="743" t="s">
        <v>514</v>
      </c>
      <c r="D200" s="744" t="s">
        <v>514</v>
      </c>
      <c r="E200" s="744" t="s">
        <v>514</v>
      </c>
      <c r="F200" s="357">
        <v>1099373144</v>
      </c>
      <c r="G200" s="356">
        <v>9</v>
      </c>
      <c r="H200" s="356">
        <v>0</v>
      </c>
      <c r="I200" s="356">
        <v>15</v>
      </c>
      <c r="J200" s="356">
        <v>11</v>
      </c>
      <c r="K200" s="356">
        <v>15</v>
      </c>
      <c r="L200" s="356">
        <v>12</v>
      </c>
      <c r="M200" s="356">
        <v>15</v>
      </c>
      <c r="N200" s="356">
        <v>8</v>
      </c>
      <c r="O200" s="356">
        <v>3</v>
      </c>
      <c r="P200" s="356">
        <v>8</v>
      </c>
      <c r="Q200" s="356">
        <v>0</v>
      </c>
      <c r="R200" s="356">
        <v>7</v>
      </c>
      <c r="S200" s="356">
        <v>5</v>
      </c>
      <c r="T200" s="356">
        <v>4</v>
      </c>
      <c r="U200" s="356">
        <v>7</v>
      </c>
      <c r="V200" s="356">
        <v>12</v>
      </c>
      <c r="W200" s="356">
        <v>9</v>
      </c>
      <c r="X200" s="356">
        <v>14</v>
      </c>
      <c r="Y200" s="356">
        <v>8</v>
      </c>
      <c r="Z200" s="356">
        <v>6</v>
      </c>
      <c r="AA200" s="356">
        <v>12</v>
      </c>
      <c r="AB200" s="356">
        <v>1</v>
      </c>
      <c r="AC200" s="356">
        <v>12</v>
      </c>
      <c r="AD200" s="356">
        <v>5</v>
      </c>
      <c r="AE200" s="356">
        <v>8</v>
      </c>
      <c r="AF200" s="356">
        <v>13</v>
      </c>
      <c r="AG200" s="356">
        <v>13</v>
      </c>
      <c r="AH200" s="356">
        <v>8</v>
      </c>
      <c r="AI200" s="356">
        <v>7</v>
      </c>
      <c r="AJ200" s="356">
        <v>12</v>
      </c>
      <c r="AK200" s="356">
        <v>1</v>
      </c>
      <c r="AL200" s="356">
        <v>0</v>
      </c>
      <c r="AM200" s="356">
        <v>4</v>
      </c>
      <c r="AN200" s="356">
        <v>14</v>
      </c>
      <c r="AO200" s="356">
        <v>3</v>
      </c>
      <c r="AP200" s="356">
        <v>8</v>
      </c>
      <c r="AQ200" s="356">
        <v>14</v>
      </c>
      <c r="AR200" s="356">
        <v>1</v>
      </c>
      <c r="AS200" s="356">
        <v>13</v>
      </c>
      <c r="AT200" s="356">
        <v>2</v>
      </c>
      <c r="AU200" s="356">
        <v>7</v>
      </c>
      <c r="AV200" s="356">
        <v>4</v>
      </c>
      <c r="AW200" s="356">
        <v>4</v>
      </c>
      <c r="AX200" s="356">
        <v>6</v>
      </c>
      <c r="AY200" s="356">
        <v>0</v>
      </c>
      <c r="AZ200" s="356">
        <v>9</v>
      </c>
      <c r="BA200" s="356">
        <v>3</v>
      </c>
      <c r="BB200" s="356">
        <v>11</v>
      </c>
      <c r="BD200" s="353">
        <f t="shared" si="8"/>
        <v>91</v>
      </c>
      <c r="BE200" s="353">
        <f t="shared" si="9"/>
        <v>93</v>
      </c>
      <c r="BF200" s="353">
        <f t="shared" si="10"/>
        <v>94</v>
      </c>
      <c r="BG200" s="353">
        <f t="shared" si="11"/>
        <v>84</v>
      </c>
    </row>
    <row r="201" spans="2:59">
      <c r="B201" s="354">
        <v>193</v>
      </c>
      <c r="C201" s="743" t="s">
        <v>513</v>
      </c>
      <c r="D201" s="744" t="s">
        <v>513</v>
      </c>
      <c r="E201" s="744" t="s">
        <v>513</v>
      </c>
      <c r="F201" s="357">
        <v>1099375859</v>
      </c>
      <c r="G201" s="356">
        <v>0</v>
      </c>
      <c r="H201" s="356">
        <v>13</v>
      </c>
      <c r="I201" s="356">
        <v>8</v>
      </c>
      <c r="J201" s="356">
        <v>3</v>
      </c>
      <c r="K201" s="356">
        <v>1</v>
      </c>
      <c r="L201" s="356">
        <v>14</v>
      </c>
      <c r="M201" s="356">
        <v>4</v>
      </c>
      <c r="N201" s="356">
        <v>9</v>
      </c>
      <c r="O201" s="356">
        <v>4</v>
      </c>
      <c r="P201" s="356">
        <v>13</v>
      </c>
      <c r="Q201" s="356">
        <v>1</v>
      </c>
      <c r="R201" s="356">
        <v>4</v>
      </c>
      <c r="S201" s="356">
        <v>10</v>
      </c>
      <c r="T201" s="356">
        <v>8</v>
      </c>
      <c r="U201" s="356">
        <v>14</v>
      </c>
      <c r="V201" s="356">
        <v>10</v>
      </c>
      <c r="W201" s="356">
        <v>10</v>
      </c>
      <c r="X201" s="356">
        <v>11</v>
      </c>
      <c r="Y201" s="356">
        <v>13</v>
      </c>
      <c r="Z201" s="356">
        <v>8</v>
      </c>
      <c r="AA201" s="356">
        <v>11</v>
      </c>
      <c r="AB201" s="356">
        <v>4</v>
      </c>
      <c r="AC201" s="356">
        <v>3</v>
      </c>
      <c r="AD201" s="356">
        <v>1</v>
      </c>
      <c r="AE201" s="356">
        <v>10</v>
      </c>
      <c r="AF201" s="356">
        <v>0</v>
      </c>
      <c r="AG201" s="356">
        <v>1</v>
      </c>
      <c r="AH201" s="356">
        <v>1</v>
      </c>
      <c r="AI201" s="356">
        <v>12</v>
      </c>
      <c r="AJ201" s="356">
        <v>11</v>
      </c>
      <c r="AK201" s="356">
        <v>14</v>
      </c>
      <c r="AL201" s="356">
        <v>13</v>
      </c>
      <c r="AM201" s="356">
        <v>8</v>
      </c>
      <c r="AN201" s="356">
        <v>1</v>
      </c>
      <c r="AO201" s="356">
        <v>2</v>
      </c>
      <c r="AP201" s="356">
        <v>6</v>
      </c>
      <c r="AQ201" s="356">
        <v>6</v>
      </c>
      <c r="AR201" s="356">
        <v>1</v>
      </c>
      <c r="AS201" s="356">
        <v>9</v>
      </c>
      <c r="AT201" s="356">
        <v>10</v>
      </c>
      <c r="AU201" s="356">
        <v>5</v>
      </c>
      <c r="AV201" s="356">
        <v>13</v>
      </c>
      <c r="AW201" s="356">
        <v>7</v>
      </c>
      <c r="AX201" s="356">
        <v>4</v>
      </c>
      <c r="AY201" s="356">
        <v>4</v>
      </c>
      <c r="AZ201" s="356">
        <v>4</v>
      </c>
      <c r="BA201" s="356">
        <v>0</v>
      </c>
      <c r="BB201" s="356">
        <v>2</v>
      </c>
      <c r="BD201" s="353">
        <f t="shared" ref="BD201:BD264" si="12">SUMIF($G$8:$BB$8,"PREMIUM",E201:AZ201)</f>
        <v>76</v>
      </c>
      <c r="BE201" s="353">
        <f t="shared" ref="BE201:BE264" si="13">SUMIF($G$8:$BB$8,"SILVER",F201:BA201)</f>
        <v>81</v>
      </c>
      <c r="BF201" s="353">
        <f t="shared" ref="BF201:BF264" si="14">SUMIF($G$8:$BB$8,"GOLD",G201:BB201)</f>
        <v>76</v>
      </c>
      <c r="BG201" s="353">
        <f t="shared" ref="BG201:BG264" si="15">SUMIF($G$8:$BB$8,"DELUXE",H201:BC201)</f>
        <v>81</v>
      </c>
    </row>
    <row r="202" spans="2:59">
      <c r="B202" s="354">
        <v>194</v>
      </c>
      <c r="C202" s="743" t="s">
        <v>512</v>
      </c>
      <c r="D202" s="744" t="s">
        <v>512</v>
      </c>
      <c r="E202" s="744" t="s">
        <v>512</v>
      </c>
      <c r="F202" s="357">
        <v>28215929</v>
      </c>
      <c r="G202" s="356">
        <v>5</v>
      </c>
      <c r="H202" s="356">
        <v>5</v>
      </c>
      <c r="I202" s="356">
        <v>2</v>
      </c>
      <c r="J202" s="356">
        <v>14</v>
      </c>
      <c r="K202" s="356">
        <v>9</v>
      </c>
      <c r="L202" s="356">
        <v>0</v>
      </c>
      <c r="M202" s="356">
        <v>0</v>
      </c>
      <c r="N202" s="356">
        <v>13</v>
      </c>
      <c r="O202" s="356">
        <v>4</v>
      </c>
      <c r="P202" s="356">
        <v>5</v>
      </c>
      <c r="Q202" s="356">
        <v>14</v>
      </c>
      <c r="R202" s="356">
        <v>0</v>
      </c>
      <c r="S202" s="356">
        <v>1</v>
      </c>
      <c r="T202" s="356">
        <v>6</v>
      </c>
      <c r="U202" s="356">
        <v>10</v>
      </c>
      <c r="V202" s="356">
        <v>10</v>
      </c>
      <c r="W202" s="356">
        <v>13</v>
      </c>
      <c r="X202" s="356">
        <v>10</v>
      </c>
      <c r="Y202" s="356">
        <v>9</v>
      </c>
      <c r="Z202" s="356">
        <v>1</v>
      </c>
      <c r="AA202" s="356">
        <v>4</v>
      </c>
      <c r="AB202" s="356">
        <v>6</v>
      </c>
      <c r="AC202" s="356">
        <v>10</v>
      </c>
      <c r="AD202" s="356">
        <v>12</v>
      </c>
      <c r="AE202" s="356">
        <v>3</v>
      </c>
      <c r="AF202" s="356">
        <v>13</v>
      </c>
      <c r="AG202" s="356">
        <v>15</v>
      </c>
      <c r="AH202" s="356">
        <v>13</v>
      </c>
      <c r="AI202" s="356">
        <v>5</v>
      </c>
      <c r="AJ202" s="356">
        <v>14</v>
      </c>
      <c r="AK202" s="356">
        <v>9</v>
      </c>
      <c r="AL202" s="356">
        <v>11</v>
      </c>
      <c r="AM202" s="356">
        <v>13</v>
      </c>
      <c r="AN202" s="356">
        <v>3</v>
      </c>
      <c r="AO202" s="356">
        <v>12</v>
      </c>
      <c r="AP202" s="356">
        <v>14</v>
      </c>
      <c r="AQ202" s="356">
        <v>8</v>
      </c>
      <c r="AR202" s="356">
        <v>10</v>
      </c>
      <c r="AS202" s="356">
        <v>10</v>
      </c>
      <c r="AT202" s="356">
        <v>1</v>
      </c>
      <c r="AU202" s="356">
        <v>1</v>
      </c>
      <c r="AV202" s="356">
        <v>5</v>
      </c>
      <c r="AW202" s="356">
        <v>3</v>
      </c>
      <c r="AX202" s="356">
        <v>14</v>
      </c>
      <c r="AY202" s="356">
        <v>5</v>
      </c>
      <c r="AZ202" s="356">
        <v>0</v>
      </c>
      <c r="BA202" s="356">
        <v>12</v>
      </c>
      <c r="BB202" s="356">
        <v>14</v>
      </c>
      <c r="BD202" s="353">
        <f t="shared" si="12"/>
        <v>94</v>
      </c>
      <c r="BE202" s="353">
        <f t="shared" si="13"/>
        <v>71</v>
      </c>
      <c r="BF202" s="353">
        <f t="shared" si="14"/>
        <v>106</v>
      </c>
      <c r="BG202" s="353">
        <f t="shared" si="15"/>
        <v>66</v>
      </c>
    </row>
    <row r="203" spans="2:59">
      <c r="B203" s="354">
        <v>195</v>
      </c>
      <c r="C203" s="743" t="s">
        <v>511</v>
      </c>
      <c r="D203" s="744" t="s">
        <v>511</v>
      </c>
      <c r="E203" s="744" t="s">
        <v>511</v>
      </c>
      <c r="F203" s="357">
        <v>91352167</v>
      </c>
      <c r="G203" s="356">
        <v>1</v>
      </c>
      <c r="H203" s="356">
        <v>14</v>
      </c>
      <c r="I203" s="356">
        <v>10</v>
      </c>
      <c r="J203" s="356">
        <v>7</v>
      </c>
      <c r="K203" s="356">
        <v>4</v>
      </c>
      <c r="L203" s="356">
        <v>2</v>
      </c>
      <c r="M203" s="356">
        <v>0</v>
      </c>
      <c r="N203" s="356">
        <v>10</v>
      </c>
      <c r="O203" s="356">
        <v>2</v>
      </c>
      <c r="P203" s="356">
        <v>3</v>
      </c>
      <c r="Q203" s="356">
        <v>10</v>
      </c>
      <c r="R203" s="356">
        <v>14</v>
      </c>
      <c r="S203" s="356">
        <v>8</v>
      </c>
      <c r="T203" s="356">
        <v>3</v>
      </c>
      <c r="U203" s="356">
        <v>9</v>
      </c>
      <c r="V203" s="356">
        <v>15</v>
      </c>
      <c r="W203" s="356">
        <v>4</v>
      </c>
      <c r="X203" s="356">
        <v>6</v>
      </c>
      <c r="Y203" s="356">
        <v>11</v>
      </c>
      <c r="Z203" s="356">
        <v>12</v>
      </c>
      <c r="AA203" s="356">
        <v>13</v>
      </c>
      <c r="AB203" s="356">
        <v>5</v>
      </c>
      <c r="AC203" s="356">
        <v>3</v>
      </c>
      <c r="AD203" s="356">
        <v>12</v>
      </c>
      <c r="AE203" s="356">
        <v>10</v>
      </c>
      <c r="AF203" s="356">
        <v>10</v>
      </c>
      <c r="AG203" s="356">
        <v>13</v>
      </c>
      <c r="AH203" s="356">
        <v>7</v>
      </c>
      <c r="AI203" s="356">
        <v>0</v>
      </c>
      <c r="AJ203" s="356">
        <v>8</v>
      </c>
      <c r="AK203" s="356">
        <v>9</v>
      </c>
      <c r="AL203" s="356">
        <v>3</v>
      </c>
      <c r="AM203" s="356">
        <v>10</v>
      </c>
      <c r="AN203" s="356">
        <v>5</v>
      </c>
      <c r="AO203" s="356">
        <v>13</v>
      </c>
      <c r="AP203" s="356">
        <v>2</v>
      </c>
      <c r="AQ203" s="356">
        <v>5</v>
      </c>
      <c r="AR203" s="356">
        <v>9</v>
      </c>
      <c r="AS203" s="356">
        <v>15</v>
      </c>
      <c r="AT203" s="356">
        <v>6</v>
      </c>
      <c r="AU203" s="356">
        <v>15</v>
      </c>
      <c r="AV203" s="356">
        <v>3</v>
      </c>
      <c r="AW203" s="356">
        <v>8</v>
      </c>
      <c r="AX203" s="356">
        <v>1</v>
      </c>
      <c r="AY203" s="356">
        <v>9</v>
      </c>
      <c r="AZ203" s="356">
        <v>13</v>
      </c>
      <c r="BA203" s="356">
        <v>12</v>
      </c>
      <c r="BB203" s="356">
        <v>14</v>
      </c>
      <c r="BD203" s="353">
        <f t="shared" si="12"/>
        <v>101</v>
      </c>
      <c r="BE203" s="353">
        <f t="shared" si="13"/>
        <v>81</v>
      </c>
      <c r="BF203" s="353">
        <f t="shared" si="14"/>
        <v>113</v>
      </c>
      <c r="BG203" s="353">
        <f t="shared" si="15"/>
        <v>80</v>
      </c>
    </row>
    <row r="204" spans="2:59">
      <c r="B204" s="354">
        <v>196</v>
      </c>
      <c r="C204" s="743" t="s">
        <v>510</v>
      </c>
      <c r="D204" s="744" t="s">
        <v>510</v>
      </c>
      <c r="E204" s="744" t="s">
        <v>510</v>
      </c>
      <c r="F204" s="357">
        <v>1099741998</v>
      </c>
      <c r="G204" s="356">
        <v>9</v>
      </c>
      <c r="H204" s="356">
        <v>3</v>
      </c>
      <c r="I204" s="356">
        <v>1</v>
      </c>
      <c r="J204" s="356">
        <v>4</v>
      </c>
      <c r="K204" s="356">
        <v>12</v>
      </c>
      <c r="L204" s="356">
        <v>9</v>
      </c>
      <c r="M204" s="356">
        <v>9</v>
      </c>
      <c r="N204" s="356">
        <v>14</v>
      </c>
      <c r="O204" s="356">
        <v>15</v>
      </c>
      <c r="P204" s="356">
        <v>13</v>
      </c>
      <c r="Q204" s="356">
        <v>3</v>
      </c>
      <c r="R204" s="356">
        <v>4</v>
      </c>
      <c r="S204" s="356">
        <v>14</v>
      </c>
      <c r="T204" s="356">
        <v>6</v>
      </c>
      <c r="U204" s="356">
        <v>3</v>
      </c>
      <c r="V204" s="356">
        <v>6</v>
      </c>
      <c r="W204" s="356">
        <v>0</v>
      </c>
      <c r="X204" s="356">
        <v>3</v>
      </c>
      <c r="Y204" s="356">
        <v>5</v>
      </c>
      <c r="Z204" s="356">
        <v>8</v>
      </c>
      <c r="AA204" s="356">
        <v>0</v>
      </c>
      <c r="AB204" s="356">
        <v>0</v>
      </c>
      <c r="AC204" s="356">
        <v>5</v>
      </c>
      <c r="AD204" s="356">
        <v>15</v>
      </c>
      <c r="AE204" s="356">
        <v>12</v>
      </c>
      <c r="AF204" s="356">
        <v>12</v>
      </c>
      <c r="AG204" s="356">
        <v>5</v>
      </c>
      <c r="AH204" s="356">
        <v>6</v>
      </c>
      <c r="AI204" s="356">
        <v>7</v>
      </c>
      <c r="AJ204" s="356">
        <v>6</v>
      </c>
      <c r="AK204" s="356">
        <v>6</v>
      </c>
      <c r="AL204" s="356">
        <v>2</v>
      </c>
      <c r="AM204" s="356">
        <v>3</v>
      </c>
      <c r="AN204" s="356">
        <v>6</v>
      </c>
      <c r="AO204" s="356">
        <v>3</v>
      </c>
      <c r="AP204" s="356">
        <v>4</v>
      </c>
      <c r="AQ204" s="356">
        <v>9</v>
      </c>
      <c r="AR204" s="356">
        <v>3</v>
      </c>
      <c r="AS204" s="356">
        <v>2</v>
      </c>
      <c r="AT204" s="356">
        <v>13</v>
      </c>
      <c r="AU204" s="356">
        <v>8</v>
      </c>
      <c r="AV204" s="356">
        <v>0</v>
      </c>
      <c r="AW204" s="356">
        <v>9</v>
      </c>
      <c r="AX204" s="356">
        <v>3</v>
      </c>
      <c r="AY204" s="356">
        <v>5</v>
      </c>
      <c r="AZ204" s="356">
        <v>8</v>
      </c>
      <c r="BA204" s="356">
        <v>8</v>
      </c>
      <c r="BB204" s="356">
        <v>15</v>
      </c>
      <c r="BD204" s="353">
        <f t="shared" si="12"/>
        <v>51</v>
      </c>
      <c r="BE204" s="353">
        <f t="shared" si="13"/>
        <v>94</v>
      </c>
      <c r="BF204" s="353">
        <f t="shared" si="14"/>
        <v>59</v>
      </c>
      <c r="BG204" s="353">
        <f t="shared" si="15"/>
        <v>85</v>
      </c>
    </row>
    <row r="205" spans="2:59">
      <c r="B205" s="354">
        <v>197</v>
      </c>
      <c r="C205" s="743" t="s">
        <v>509</v>
      </c>
      <c r="D205" s="744" t="s">
        <v>509</v>
      </c>
      <c r="E205" s="744" t="s">
        <v>509</v>
      </c>
      <c r="F205" s="357">
        <v>1099747467</v>
      </c>
      <c r="G205" s="356">
        <v>7</v>
      </c>
      <c r="H205" s="356">
        <v>2</v>
      </c>
      <c r="I205" s="356">
        <v>15</v>
      </c>
      <c r="J205" s="356">
        <v>14</v>
      </c>
      <c r="K205" s="356">
        <v>13</v>
      </c>
      <c r="L205" s="356">
        <v>3</v>
      </c>
      <c r="M205" s="356">
        <v>11</v>
      </c>
      <c r="N205" s="356">
        <v>9</v>
      </c>
      <c r="O205" s="356">
        <v>11</v>
      </c>
      <c r="P205" s="356">
        <v>3</v>
      </c>
      <c r="Q205" s="356">
        <v>6</v>
      </c>
      <c r="R205" s="356">
        <v>4</v>
      </c>
      <c r="S205" s="356">
        <v>5</v>
      </c>
      <c r="T205" s="356">
        <v>15</v>
      </c>
      <c r="U205" s="356">
        <v>14</v>
      </c>
      <c r="V205" s="356">
        <v>2</v>
      </c>
      <c r="W205" s="356">
        <v>5</v>
      </c>
      <c r="X205" s="356">
        <v>13</v>
      </c>
      <c r="Y205" s="356">
        <v>3</v>
      </c>
      <c r="Z205" s="356">
        <v>13</v>
      </c>
      <c r="AA205" s="356">
        <v>7</v>
      </c>
      <c r="AB205" s="356">
        <v>0</v>
      </c>
      <c r="AC205" s="356">
        <v>11</v>
      </c>
      <c r="AD205" s="356">
        <v>9</v>
      </c>
      <c r="AE205" s="356">
        <v>12</v>
      </c>
      <c r="AF205" s="356">
        <v>7</v>
      </c>
      <c r="AG205" s="356">
        <v>13</v>
      </c>
      <c r="AH205" s="356">
        <v>6</v>
      </c>
      <c r="AI205" s="356">
        <v>3</v>
      </c>
      <c r="AJ205" s="356">
        <v>2</v>
      </c>
      <c r="AK205" s="356">
        <v>1</v>
      </c>
      <c r="AL205" s="356">
        <v>8</v>
      </c>
      <c r="AM205" s="356">
        <v>6</v>
      </c>
      <c r="AN205" s="356">
        <v>12</v>
      </c>
      <c r="AO205" s="356">
        <v>10</v>
      </c>
      <c r="AP205" s="356">
        <v>4</v>
      </c>
      <c r="AQ205" s="356">
        <v>0</v>
      </c>
      <c r="AR205" s="356">
        <v>12</v>
      </c>
      <c r="AS205" s="356">
        <v>4</v>
      </c>
      <c r="AT205" s="356">
        <v>6</v>
      </c>
      <c r="AU205" s="356">
        <v>0</v>
      </c>
      <c r="AV205" s="356">
        <v>3</v>
      </c>
      <c r="AW205" s="356">
        <v>13</v>
      </c>
      <c r="AX205" s="356">
        <v>2</v>
      </c>
      <c r="AY205" s="356">
        <v>9</v>
      </c>
      <c r="AZ205" s="356">
        <v>3</v>
      </c>
      <c r="BA205" s="356">
        <v>0</v>
      </c>
      <c r="BB205" s="356">
        <v>2</v>
      </c>
      <c r="BD205" s="353">
        <f t="shared" si="12"/>
        <v>101</v>
      </c>
      <c r="BE205" s="353">
        <f t="shared" si="13"/>
        <v>78</v>
      </c>
      <c r="BF205" s="353">
        <f t="shared" si="14"/>
        <v>101</v>
      </c>
      <c r="BG205" s="353">
        <f t="shared" si="15"/>
        <v>71</v>
      </c>
    </row>
    <row r="206" spans="2:59">
      <c r="B206" s="354">
        <v>198</v>
      </c>
      <c r="C206" s="743" t="s">
        <v>508</v>
      </c>
      <c r="D206" s="744" t="s">
        <v>508</v>
      </c>
      <c r="E206" s="744" t="s">
        <v>508</v>
      </c>
      <c r="F206" s="357">
        <v>28359449</v>
      </c>
      <c r="G206" s="356">
        <v>1</v>
      </c>
      <c r="H206" s="356">
        <v>12</v>
      </c>
      <c r="I206" s="356">
        <v>3</v>
      </c>
      <c r="J206" s="356">
        <v>9</v>
      </c>
      <c r="K206" s="356">
        <v>11</v>
      </c>
      <c r="L206" s="356">
        <v>10</v>
      </c>
      <c r="M206" s="356">
        <v>3</v>
      </c>
      <c r="N206" s="356">
        <v>12</v>
      </c>
      <c r="O206" s="356">
        <v>6</v>
      </c>
      <c r="P206" s="356">
        <v>1</v>
      </c>
      <c r="Q206" s="356">
        <v>1</v>
      </c>
      <c r="R206" s="356">
        <v>4</v>
      </c>
      <c r="S206" s="356">
        <v>7</v>
      </c>
      <c r="T206" s="356">
        <v>5</v>
      </c>
      <c r="U206" s="356">
        <v>3</v>
      </c>
      <c r="V206" s="356">
        <v>8</v>
      </c>
      <c r="W206" s="356">
        <v>8</v>
      </c>
      <c r="X206" s="356">
        <v>15</v>
      </c>
      <c r="Y206" s="356">
        <v>9</v>
      </c>
      <c r="Z206" s="356">
        <v>1</v>
      </c>
      <c r="AA206" s="356">
        <v>0</v>
      </c>
      <c r="AB206" s="356">
        <v>14</v>
      </c>
      <c r="AC206" s="356">
        <v>0</v>
      </c>
      <c r="AD206" s="356">
        <v>14</v>
      </c>
      <c r="AE206" s="356">
        <v>15</v>
      </c>
      <c r="AF206" s="356">
        <v>3</v>
      </c>
      <c r="AG206" s="356">
        <v>11</v>
      </c>
      <c r="AH206" s="356">
        <v>2</v>
      </c>
      <c r="AI206" s="356">
        <v>1</v>
      </c>
      <c r="AJ206" s="356">
        <v>0</v>
      </c>
      <c r="AK206" s="356">
        <v>2</v>
      </c>
      <c r="AL206" s="356">
        <v>9</v>
      </c>
      <c r="AM206" s="356">
        <v>12</v>
      </c>
      <c r="AN206" s="356">
        <v>8</v>
      </c>
      <c r="AO206" s="356">
        <v>1</v>
      </c>
      <c r="AP206" s="356">
        <v>12</v>
      </c>
      <c r="AQ206" s="356">
        <v>11</v>
      </c>
      <c r="AR206" s="356">
        <v>12</v>
      </c>
      <c r="AS206" s="356">
        <v>1</v>
      </c>
      <c r="AT206" s="356">
        <v>12</v>
      </c>
      <c r="AU206" s="356">
        <v>11</v>
      </c>
      <c r="AV206" s="356">
        <v>2</v>
      </c>
      <c r="AW206" s="356">
        <v>9</v>
      </c>
      <c r="AX206" s="356">
        <v>5</v>
      </c>
      <c r="AY206" s="356">
        <v>2</v>
      </c>
      <c r="AZ206" s="356">
        <v>6</v>
      </c>
      <c r="BA206" s="356">
        <v>4</v>
      </c>
      <c r="BB206" s="356">
        <v>7</v>
      </c>
      <c r="BD206" s="353">
        <f t="shared" si="12"/>
        <v>43</v>
      </c>
      <c r="BE206" s="353">
        <f t="shared" si="13"/>
        <v>85</v>
      </c>
      <c r="BF206" s="353">
        <f t="shared" si="14"/>
        <v>47</v>
      </c>
      <c r="BG206" s="353">
        <f t="shared" si="15"/>
        <v>84</v>
      </c>
    </row>
    <row r="207" spans="2:59">
      <c r="B207" s="354">
        <v>199</v>
      </c>
      <c r="C207" s="743" t="s">
        <v>507</v>
      </c>
      <c r="D207" s="744" t="s">
        <v>507</v>
      </c>
      <c r="E207" s="744" t="s">
        <v>507</v>
      </c>
      <c r="F207" s="357">
        <v>91457821</v>
      </c>
      <c r="G207" s="356">
        <v>14</v>
      </c>
      <c r="H207" s="356">
        <v>11</v>
      </c>
      <c r="I207" s="356">
        <v>6</v>
      </c>
      <c r="J207" s="356">
        <v>6</v>
      </c>
      <c r="K207" s="356">
        <v>15</v>
      </c>
      <c r="L207" s="356">
        <v>1</v>
      </c>
      <c r="M207" s="356">
        <v>3</v>
      </c>
      <c r="N207" s="356">
        <v>8</v>
      </c>
      <c r="O207" s="356">
        <v>0</v>
      </c>
      <c r="P207" s="356">
        <v>5</v>
      </c>
      <c r="Q207" s="356">
        <v>11</v>
      </c>
      <c r="R207" s="356">
        <v>15</v>
      </c>
      <c r="S207" s="356">
        <v>0</v>
      </c>
      <c r="T207" s="356">
        <v>4</v>
      </c>
      <c r="U207" s="356">
        <v>11</v>
      </c>
      <c r="V207" s="356">
        <v>9</v>
      </c>
      <c r="W207" s="356">
        <v>13</v>
      </c>
      <c r="X207" s="356">
        <v>15</v>
      </c>
      <c r="Y207" s="356">
        <v>9</v>
      </c>
      <c r="Z207" s="356">
        <v>13</v>
      </c>
      <c r="AA207" s="356">
        <v>8</v>
      </c>
      <c r="AB207" s="356">
        <v>12</v>
      </c>
      <c r="AC207" s="356">
        <v>10</v>
      </c>
      <c r="AD207" s="356">
        <v>12</v>
      </c>
      <c r="AE207" s="356">
        <v>7</v>
      </c>
      <c r="AF207" s="356">
        <v>0</v>
      </c>
      <c r="AG207" s="356">
        <v>4</v>
      </c>
      <c r="AH207" s="356">
        <v>12</v>
      </c>
      <c r="AI207" s="356">
        <v>5</v>
      </c>
      <c r="AJ207" s="356">
        <v>7</v>
      </c>
      <c r="AK207" s="356">
        <v>14</v>
      </c>
      <c r="AL207" s="356">
        <v>14</v>
      </c>
      <c r="AM207" s="356">
        <v>6</v>
      </c>
      <c r="AN207" s="356">
        <v>14</v>
      </c>
      <c r="AO207" s="356">
        <v>10</v>
      </c>
      <c r="AP207" s="356">
        <v>7</v>
      </c>
      <c r="AQ207" s="356">
        <v>4</v>
      </c>
      <c r="AR207" s="356">
        <v>5</v>
      </c>
      <c r="AS207" s="356">
        <v>11</v>
      </c>
      <c r="AT207" s="356">
        <v>9</v>
      </c>
      <c r="AU207" s="356">
        <v>4</v>
      </c>
      <c r="AV207" s="356">
        <v>2</v>
      </c>
      <c r="AW207" s="356">
        <v>5</v>
      </c>
      <c r="AX207" s="356">
        <v>8</v>
      </c>
      <c r="AY207" s="356">
        <v>2</v>
      </c>
      <c r="AZ207" s="356">
        <v>1</v>
      </c>
      <c r="BA207" s="356">
        <v>6</v>
      </c>
      <c r="BB207" s="356">
        <v>12</v>
      </c>
      <c r="BD207" s="353">
        <f t="shared" si="12"/>
        <v>94</v>
      </c>
      <c r="BE207" s="353">
        <f t="shared" si="13"/>
        <v>78</v>
      </c>
      <c r="BF207" s="353">
        <f t="shared" si="14"/>
        <v>100</v>
      </c>
      <c r="BG207" s="353">
        <f t="shared" si="15"/>
        <v>64</v>
      </c>
    </row>
    <row r="208" spans="2:59">
      <c r="B208" s="354">
        <v>200</v>
      </c>
      <c r="C208" s="743" t="s">
        <v>506</v>
      </c>
      <c r="D208" s="744" t="s">
        <v>506</v>
      </c>
      <c r="E208" s="744" t="s">
        <v>506</v>
      </c>
      <c r="F208" s="357">
        <v>1099371046</v>
      </c>
      <c r="G208" s="356">
        <v>15</v>
      </c>
      <c r="H208" s="356">
        <v>5</v>
      </c>
      <c r="I208" s="356">
        <v>6</v>
      </c>
      <c r="J208" s="356">
        <v>8</v>
      </c>
      <c r="K208" s="356">
        <v>2</v>
      </c>
      <c r="L208" s="356">
        <v>12</v>
      </c>
      <c r="M208" s="356">
        <v>15</v>
      </c>
      <c r="N208" s="356">
        <v>3</v>
      </c>
      <c r="O208" s="356">
        <v>2</v>
      </c>
      <c r="P208" s="356">
        <v>3</v>
      </c>
      <c r="Q208" s="356">
        <v>13</v>
      </c>
      <c r="R208" s="356">
        <v>6</v>
      </c>
      <c r="S208" s="356">
        <v>14</v>
      </c>
      <c r="T208" s="356">
        <v>12</v>
      </c>
      <c r="U208" s="356">
        <v>7</v>
      </c>
      <c r="V208" s="356">
        <v>9</v>
      </c>
      <c r="W208" s="356">
        <v>8</v>
      </c>
      <c r="X208" s="356">
        <v>10</v>
      </c>
      <c r="Y208" s="356">
        <v>6</v>
      </c>
      <c r="Z208" s="356">
        <v>13</v>
      </c>
      <c r="AA208" s="356">
        <v>5</v>
      </c>
      <c r="AB208" s="356">
        <v>12</v>
      </c>
      <c r="AC208" s="356">
        <v>7</v>
      </c>
      <c r="AD208" s="356">
        <v>8</v>
      </c>
      <c r="AE208" s="356">
        <v>14</v>
      </c>
      <c r="AF208" s="356">
        <v>10</v>
      </c>
      <c r="AG208" s="356">
        <v>10</v>
      </c>
      <c r="AH208" s="356">
        <v>12</v>
      </c>
      <c r="AI208" s="356">
        <v>11</v>
      </c>
      <c r="AJ208" s="356">
        <v>7</v>
      </c>
      <c r="AK208" s="356">
        <v>13</v>
      </c>
      <c r="AL208" s="356">
        <v>5</v>
      </c>
      <c r="AM208" s="356">
        <v>7</v>
      </c>
      <c r="AN208" s="356">
        <v>6</v>
      </c>
      <c r="AO208" s="356">
        <v>9</v>
      </c>
      <c r="AP208" s="356">
        <v>4</v>
      </c>
      <c r="AQ208" s="356">
        <v>8</v>
      </c>
      <c r="AR208" s="356">
        <v>14</v>
      </c>
      <c r="AS208" s="356">
        <v>3</v>
      </c>
      <c r="AT208" s="356">
        <v>15</v>
      </c>
      <c r="AU208" s="356">
        <v>3</v>
      </c>
      <c r="AV208" s="356">
        <v>4</v>
      </c>
      <c r="AW208" s="356">
        <v>12</v>
      </c>
      <c r="AX208" s="356">
        <v>9</v>
      </c>
      <c r="AY208" s="356">
        <v>8</v>
      </c>
      <c r="AZ208" s="356">
        <v>2</v>
      </c>
      <c r="BA208" s="356">
        <v>0</v>
      </c>
      <c r="BB208" s="356">
        <v>15</v>
      </c>
      <c r="BD208" s="353">
        <f t="shared" si="12"/>
        <v>101</v>
      </c>
      <c r="BE208" s="353">
        <f t="shared" si="13"/>
        <v>97</v>
      </c>
      <c r="BF208" s="353">
        <f t="shared" si="14"/>
        <v>101</v>
      </c>
      <c r="BG208" s="353">
        <f t="shared" si="15"/>
        <v>82</v>
      </c>
    </row>
    <row r="209" spans="2:59">
      <c r="B209" s="354">
        <v>201</v>
      </c>
      <c r="C209" s="743" t="s">
        <v>505</v>
      </c>
      <c r="D209" s="744" t="s">
        <v>505</v>
      </c>
      <c r="E209" s="744" t="s">
        <v>505</v>
      </c>
      <c r="F209" s="357">
        <v>1099373610</v>
      </c>
      <c r="G209" s="356">
        <v>9</v>
      </c>
      <c r="H209" s="356">
        <v>3</v>
      </c>
      <c r="I209" s="356">
        <v>15</v>
      </c>
      <c r="J209" s="356">
        <v>7</v>
      </c>
      <c r="K209" s="356">
        <v>1</v>
      </c>
      <c r="L209" s="356">
        <v>14</v>
      </c>
      <c r="M209" s="356">
        <v>14</v>
      </c>
      <c r="N209" s="356">
        <v>5</v>
      </c>
      <c r="O209" s="356">
        <v>0</v>
      </c>
      <c r="P209" s="356">
        <v>14</v>
      </c>
      <c r="Q209" s="356">
        <v>8</v>
      </c>
      <c r="R209" s="356">
        <v>10</v>
      </c>
      <c r="S209" s="356">
        <v>13</v>
      </c>
      <c r="T209" s="356">
        <v>8</v>
      </c>
      <c r="U209" s="356">
        <v>3</v>
      </c>
      <c r="V209" s="356">
        <v>10</v>
      </c>
      <c r="W209" s="356">
        <v>3</v>
      </c>
      <c r="X209" s="356">
        <v>14</v>
      </c>
      <c r="Y209" s="356">
        <v>11</v>
      </c>
      <c r="Z209" s="356">
        <v>6</v>
      </c>
      <c r="AA209" s="356">
        <v>7</v>
      </c>
      <c r="AB209" s="356">
        <v>9</v>
      </c>
      <c r="AC209" s="356">
        <v>14</v>
      </c>
      <c r="AD209" s="356">
        <v>5</v>
      </c>
      <c r="AE209" s="356">
        <v>7</v>
      </c>
      <c r="AF209" s="356">
        <v>1</v>
      </c>
      <c r="AG209" s="356">
        <v>2</v>
      </c>
      <c r="AH209" s="356">
        <v>12</v>
      </c>
      <c r="AI209" s="356">
        <v>9</v>
      </c>
      <c r="AJ209" s="356">
        <v>9</v>
      </c>
      <c r="AK209" s="356">
        <v>7</v>
      </c>
      <c r="AL209" s="356">
        <v>0</v>
      </c>
      <c r="AM209" s="356">
        <v>9</v>
      </c>
      <c r="AN209" s="356">
        <v>13</v>
      </c>
      <c r="AO209" s="356">
        <v>0</v>
      </c>
      <c r="AP209" s="356">
        <v>10</v>
      </c>
      <c r="AQ209" s="356">
        <v>0</v>
      </c>
      <c r="AR209" s="356">
        <v>13</v>
      </c>
      <c r="AS209" s="356">
        <v>1</v>
      </c>
      <c r="AT209" s="356">
        <v>13</v>
      </c>
      <c r="AU209" s="356">
        <v>11</v>
      </c>
      <c r="AV209" s="356">
        <v>10</v>
      </c>
      <c r="AW209" s="356">
        <v>1</v>
      </c>
      <c r="AX209" s="356">
        <v>5</v>
      </c>
      <c r="AY209" s="356">
        <v>2</v>
      </c>
      <c r="AZ209" s="356">
        <v>12</v>
      </c>
      <c r="BA209" s="356">
        <v>9</v>
      </c>
      <c r="BB209" s="356">
        <v>2</v>
      </c>
      <c r="BD209" s="353">
        <f t="shared" si="12"/>
        <v>76</v>
      </c>
      <c r="BE209" s="353">
        <f t="shared" si="13"/>
        <v>71</v>
      </c>
      <c r="BF209" s="353">
        <f t="shared" si="14"/>
        <v>85</v>
      </c>
      <c r="BG209" s="353">
        <f t="shared" si="15"/>
        <v>62</v>
      </c>
    </row>
    <row r="210" spans="2:59">
      <c r="B210" s="354">
        <v>202</v>
      </c>
      <c r="C210" s="743" t="s">
        <v>504</v>
      </c>
      <c r="D210" s="744" t="s">
        <v>504</v>
      </c>
      <c r="E210" s="744" t="s">
        <v>504</v>
      </c>
      <c r="F210" s="357">
        <v>1097101687</v>
      </c>
      <c r="G210" s="356">
        <v>14</v>
      </c>
      <c r="H210" s="356">
        <v>13</v>
      </c>
      <c r="I210" s="356">
        <v>0</v>
      </c>
      <c r="J210" s="356">
        <v>15</v>
      </c>
      <c r="K210" s="356">
        <v>14</v>
      </c>
      <c r="L210" s="356">
        <v>10</v>
      </c>
      <c r="M210" s="356">
        <v>10</v>
      </c>
      <c r="N210" s="356">
        <v>2</v>
      </c>
      <c r="O210" s="356">
        <v>6</v>
      </c>
      <c r="P210" s="356">
        <v>8</v>
      </c>
      <c r="Q210" s="356">
        <v>2</v>
      </c>
      <c r="R210" s="356">
        <v>15</v>
      </c>
      <c r="S210" s="356">
        <v>6</v>
      </c>
      <c r="T210" s="356">
        <v>10</v>
      </c>
      <c r="U210" s="356">
        <v>8</v>
      </c>
      <c r="V210" s="356">
        <v>11</v>
      </c>
      <c r="W210" s="356">
        <v>4</v>
      </c>
      <c r="X210" s="356">
        <v>6</v>
      </c>
      <c r="Y210" s="356">
        <v>5</v>
      </c>
      <c r="Z210" s="356">
        <v>7</v>
      </c>
      <c r="AA210" s="356">
        <v>3</v>
      </c>
      <c r="AB210" s="356">
        <v>6</v>
      </c>
      <c r="AC210" s="356">
        <v>6</v>
      </c>
      <c r="AD210" s="356">
        <v>2</v>
      </c>
      <c r="AE210" s="356">
        <v>3</v>
      </c>
      <c r="AF210" s="356">
        <v>8</v>
      </c>
      <c r="AG210" s="356">
        <v>11</v>
      </c>
      <c r="AH210" s="356">
        <v>8</v>
      </c>
      <c r="AI210" s="356">
        <v>7</v>
      </c>
      <c r="AJ210" s="356">
        <v>15</v>
      </c>
      <c r="AK210" s="356">
        <v>2</v>
      </c>
      <c r="AL210" s="356">
        <v>4</v>
      </c>
      <c r="AM210" s="356">
        <v>0</v>
      </c>
      <c r="AN210" s="356">
        <v>13</v>
      </c>
      <c r="AO210" s="356">
        <v>12</v>
      </c>
      <c r="AP210" s="356">
        <v>10</v>
      </c>
      <c r="AQ210" s="356">
        <v>4</v>
      </c>
      <c r="AR210" s="356">
        <v>4</v>
      </c>
      <c r="AS210" s="356">
        <v>13</v>
      </c>
      <c r="AT210" s="356">
        <v>1</v>
      </c>
      <c r="AU210" s="356">
        <v>2</v>
      </c>
      <c r="AV210" s="356">
        <v>3</v>
      </c>
      <c r="AW210" s="356">
        <v>12</v>
      </c>
      <c r="AX210" s="356">
        <v>2</v>
      </c>
      <c r="AY210" s="356">
        <v>8</v>
      </c>
      <c r="AZ210" s="356">
        <v>8</v>
      </c>
      <c r="BA210" s="356">
        <v>6</v>
      </c>
      <c r="BB210" s="356">
        <v>5</v>
      </c>
      <c r="BD210" s="353">
        <f t="shared" si="12"/>
        <v>81</v>
      </c>
      <c r="BE210" s="353">
        <f t="shared" si="13"/>
        <v>71</v>
      </c>
      <c r="BF210" s="353">
        <f t="shared" si="14"/>
        <v>87</v>
      </c>
      <c r="BG210" s="353">
        <f t="shared" si="15"/>
        <v>57</v>
      </c>
    </row>
    <row r="211" spans="2:59">
      <c r="B211" s="354">
        <v>203</v>
      </c>
      <c r="C211" s="743" t="s">
        <v>503</v>
      </c>
      <c r="D211" s="744" t="s">
        <v>503</v>
      </c>
      <c r="E211" s="744" t="s">
        <v>503</v>
      </c>
      <c r="F211" s="357">
        <v>1099363611</v>
      </c>
      <c r="G211" s="356">
        <v>7</v>
      </c>
      <c r="H211" s="356">
        <v>1</v>
      </c>
      <c r="I211" s="356">
        <v>12</v>
      </c>
      <c r="J211" s="356">
        <v>7</v>
      </c>
      <c r="K211" s="356">
        <v>11</v>
      </c>
      <c r="L211" s="356">
        <v>8</v>
      </c>
      <c r="M211" s="356">
        <v>7</v>
      </c>
      <c r="N211" s="356">
        <v>13</v>
      </c>
      <c r="O211" s="356">
        <v>12</v>
      </c>
      <c r="P211" s="356">
        <v>10</v>
      </c>
      <c r="Q211" s="356">
        <v>3</v>
      </c>
      <c r="R211" s="356">
        <v>14</v>
      </c>
      <c r="S211" s="356">
        <v>12</v>
      </c>
      <c r="T211" s="356">
        <v>2</v>
      </c>
      <c r="U211" s="356">
        <v>0</v>
      </c>
      <c r="V211" s="356">
        <v>7</v>
      </c>
      <c r="W211" s="356">
        <v>14</v>
      </c>
      <c r="X211" s="356">
        <v>15</v>
      </c>
      <c r="Y211" s="356">
        <v>9</v>
      </c>
      <c r="Z211" s="356">
        <v>12</v>
      </c>
      <c r="AA211" s="356">
        <v>11</v>
      </c>
      <c r="AB211" s="356">
        <v>2</v>
      </c>
      <c r="AC211" s="356">
        <v>2</v>
      </c>
      <c r="AD211" s="356">
        <v>8</v>
      </c>
      <c r="AE211" s="356">
        <v>10</v>
      </c>
      <c r="AF211" s="356">
        <v>6</v>
      </c>
      <c r="AG211" s="356">
        <v>0</v>
      </c>
      <c r="AH211" s="356">
        <v>0</v>
      </c>
      <c r="AI211" s="356">
        <v>7</v>
      </c>
      <c r="AJ211" s="356">
        <v>2</v>
      </c>
      <c r="AK211" s="356">
        <v>2</v>
      </c>
      <c r="AL211" s="356">
        <v>4</v>
      </c>
      <c r="AM211" s="356">
        <v>2</v>
      </c>
      <c r="AN211" s="356">
        <v>9</v>
      </c>
      <c r="AO211" s="356">
        <v>4</v>
      </c>
      <c r="AP211" s="356">
        <v>7</v>
      </c>
      <c r="AQ211" s="356">
        <v>13</v>
      </c>
      <c r="AR211" s="356">
        <v>1</v>
      </c>
      <c r="AS211" s="356">
        <v>2</v>
      </c>
      <c r="AT211" s="356">
        <v>12</v>
      </c>
      <c r="AU211" s="356">
        <v>12</v>
      </c>
      <c r="AV211" s="356">
        <v>8</v>
      </c>
      <c r="AW211" s="356">
        <v>0</v>
      </c>
      <c r="AX211" s="356">
        <v>15</v>
      </c>
      <c r="AY211" s="356">
        <v>2</v>
      </c>
      <c r="AZ211" s="356">
        <v>9</v>
      </c>
      <c r="BA211" s="356">
        <v>14</v>
      </c>
      <c r="BB211" s="356">
        <v>10</v>
      </c>
      <c r="BD211" s="353">
        <f t="shared" si="12"/>
        <v>41</v>
      </c>
      <c r="BE211" s="353">
        <f t="shared" si="13"/>
        <v>113</v>
      </c>
      <c r="BF211" s="353">
        <f t="shared" si="14"/>
        <v>55</v>
      </c>
      <c r="BG211" s="353">
        <f t="shared" si="15"/>
        <v>106</v>
      </c>
    </row>
    <row r="212" spans="2:59">
      <c r="B212" s="354">
        <v>204</v>
      </c>
      <c r="C212" s="743" t="s">
        <v>502</v>
      </c>
      <c r="D212" s="744" t="s">
        <v>502</v>
      </c>
      <c r="E212" s="744" t="s">
        <v>502</v>
      </c>
      <c r="F212" s="357">
        <v>1099365925</v>
      </c>
      <c r="G212" s="356">
        <v>8</v>
      </c>
      <c r="H212" s="356">
        <v>15</v>
      </c>
      <c r="I212" s="356">
        <v>0</v>
      </c>
      <c r="J212" s="356">
        <v>10</v>
      </c>
      <c r="K212" s="356">
        <v>11</v>
      </c>
      <c r="L212" s="356">
        <v>4</v>
      </c>
      <c r="M212" s="356">
        <v>15</v>
      </c>
      <c r="N212" s="356">
        <v>0</v>
      </c>
      <c r="O212" s="356">
        <v>11</v>
      </c>
      <c r="P212" s="356">
        <v>11</v>
      </c>
      <c r="Q212" s="356">
        <v>0</v>
      </c>
      <c r="R212" s="356">
        <v>12</v>
      </c>
      <c r="S212" s="356">
        <v>9</v>
      </c>
      <c r="T212" s="356">
        <v>13</v>
      </c>
      <c r="U212" s="356">
        <v>4</v>
      </c>
      <c r="V212" s="356">
        <v>12</v>
      </c>
      <c r="W212" s="356">
        <v>1</v>
      </c>
      <c r="X212" s="356">
        <v>13</v>
      </c>
      <c r="Y212" s="356">
        <v>11</v>
      </c>
      <c r="Z212" s="356">
        <v>12</v>
      </c>
      <c r="AA212" s="356">
        <v>12</v>
      </c>
      <c r="AB212" s="356">
        <v>5</v>
      </c>
      <c r="AC212" s="356">
        <v>9</v>
      </c>
      <c r="AD212" s="356">
        <v>5</v>
      </c>
      <c r="AE212" s="356">
        <v>9</v>
      </c>
      <c r="AF212" s="356">
        <v>1</v>
      </c>
      <c r="AG212" s="356">
        <v>5</v>
      </c>
      <c r="AH212" s="356">
        <v>9</v>
      </c>
      <c r="AI212" s="356">
        <v>11</v>
      </c>
      <c r="AJ212" s="356">
        <v>9</v>
      </c>
      <c r="AK212" s="356">
        <v>15</v>
      </c>
      <c r="AL212" s="356">
        <v>0</v>
      </c>
      <c r="AM212" s="356">
        <v>2</v>
      </c>
      <c r="AN212" s="356">
        <v>7</v>
      </c>
      <c r="AO212" s="356">
        <v>4</v>
      </c>
      <c r="AP212" s="356">
        <v>8</v>
      </c>
      <c r="AQ212" s="356">
        <v>0</v>
      </c>
      <c r="AR212" s="356">
        <v>2</v>
      </c>
      <c r="AS212" s="356">
        <v>8</v>
      </c>
      <c r="AT212" s="356">
        <v>12</v>
      </c>
      <c r="AU212" s="356">
        <v>12</v>
      </c>
      <c r="AV212" s="356">
        <v>3</v>
      </c>
      <c r="AW212" s="356">
        <v>14</v>
      </c>
      <c r="AX212" s="356">
        <v>4</v>
      </c>
      <c r="AY212" s="356">
        <v>13</v>
      </c>
      <c r="AZ212" s="356">
        <v>1</v>
      </c>
      <c r="BA212" s="356">
        <v>15</v>
      </c>
      <c r="BB212" s="356">
        <v>13</v>
      </c>
      <c r="BD212" s="353">
        <f t="shared" si="12"/>
        <v>85</v>
      </c>
      <c r="BE212" s="353">
        <f t="shared" si="13"/>
        <v>99</v>
      </c>
      <c r="BF212" s="353">
        <f t="shared" si="14"/>
        <v>100</v>
      </c>
      <c r="BG212" s="353">
        <f t="shared" si="15"/>
        <v>91</v>
      </c>
    </row>
    <row r="213" spans="2:59">
      <c r="B213" s="354">
        <v>205</v>
      </c>
      <c r="C213" s="743" t="s">
        <v>501</v>
      </c>
      <c r="D213" s="744" t="s">
        <v>501</v>
      </c>
      <c r="E213" s="744" t="s">
        <v>501</v>
      </c>
      <c r="F213" s="357">
        <v>1082939970</v>
      </c>
      <c r="G213" s="356">
        <v>13</v>
      </c>
      <c r="H213" s="356">
        <v>10</v>
      </c>
      <c r="I213" s="356">
        <v>10</v>
      </c>
      <c r="J213" s="356">
        <v>8</v>
      </c>
      <c r="K213" s="356">
        <v>8</v>
      </c>
      <c r="L213" s="356">
        <v>7</v>
      </c>
      <c r="M213" s="356">
        <v>0</v>
      </c>
      <c r="N213" s="356">
        <v>2</v>
      </c>
      <c r="O213" s="356">
        <v>8</v>
      </c>
      <c r="P213" s="356">
        <v>3</v>
      </c>
      <c r="Q213" s="356">
        <v>8</v>
      </c>
      <c r="R213" s="356">
        <v>8</v>
      </c>
      <c r="S213" s="356">
        <v>1</v>
      </c>
      <c r="T213" s="356">
        <v>2</v>
      </c>
      <c r="U213" s="356">
        <v>7</v>
      </c>
      <c r="V213" s="356">
        <v>2</v>
      </c>
      <c r="W213" s="356">
        <v>14</v>
      </c>
      <c r="X213" s="356">
        <v>7</v>
      </c>
      <c r="Y213" s="356">
        <v>14</v>
      </c>
      <c r="Z213" s="356">
        <v>3</v>
      </c>
      <c r="AA213" s="356">
        <v>2</v>
      </c>
      <c r="AB213" s="356">
        <v>0</v>
      </c>
      <c r="AC213" s="356">
        <v>9</v>
      </c>
      <c r="AD213" s="356">
        <v>2</v>
      </c>
      <c r="AE213" s="356">
        <v>8</v>
      </c>
      <c r="AF213" s="356">
        <v>9</v>
      </c>
      <c r="AG213" s="356">
        <v>6</v>
      </c>
      <c r="AH213" s="356">
        <v>12</v>
      </c>
      <c r="AI213" s="356">
        <v>5</v>
      </c>
      <c r="AJ213" s="356">
        <v>3</v>
      </c>
      <c r="AK213" s="356">
        <v>6</v>
      </c>
      <c r="AL213" s="356">
        <v>12</v>
      </c>
      <c r="AM213" s="356">
        <v>6</v>
      </c>
      <c r="AN213" s="356">
        <v>4</v>
      </c>
      <c r="AO213" s="356">
        <v>11</v>
      </c>
      <c r="AP213" s="356">
        <v>13</v>
      </c>
      <c r="AQ213" s="356">
        <v>14</v>
      </c>
      <c r="AR213" s="356">
        <v>13</v>
      </c>
      <c r="AS213" s="356">
        <v>14</v>
      </c>
      <c r="AT213" s="356">
        <v>14</v>
      </c>
      <c r="AU213" s="356">
        <v>15</v>
      </c>
      <c r="AV213" s="356">
        <v>7</v>
      </c>
      <c r="AW213" s="356">
        <v>1</v>
      </c>
      <c r="AX213" s="356">
        <v>11</v>
      </c>
      <c r="AY213" s="356">
        <v>11</v>
      </c>
      <c r="AZ213" s="356">
        <v>4</v>
      </c>
      <c r="BA213" s="356">
        <v>5</v>
      </c>
      <c r="BB213" s="356">
        <v>14</v>
      </c>
      <c r="BD213" s="353">
        <f t="shared" si="12"/>
        <v>86</v>
      </c>
      <c r="BE213" s="353">
        <f t="shared" si="13"/>
        <v>105</v>
      </c>
      <c r="BF213" s="353">
        <f t="shared" si="14"/>
        <v>91</v>
      </c>
      <c r="BG213" s="353">
        <f t="shared" si="15"/>
        <v>92</v>
      </c>
    </row>
    <row r="214" spans="2:59">
      <c r="B214" s="354">
        <v>206</v>
      </c>
      <c r="C214" s="743" t="s">
        <v>500</v>
      </c>
      <c r="D214" s="744" t="s">
        <v>500</v>
      </c>
      <c r="E214" s="744" t="s">
        <v>500</v>
      </c>
      <c r="F214" s="357">
        <v>1099367150</v>
      </c>
      <c r="G214" s="356">
        <v>6</v>
      </c>
      <c r="H214" s="356">
        <v>5</v>
      </c>
      <c r="I214" s="356">
        <v>8</v>
      </c>
      <c r="J214" s="356">
        <v>7</v>
      </c>
      <c r="K214" s="356">
        <v>7</v>
      </c>
      <c r="L214" s="356">
        <v>11</v>
      </c>
      <c r="M214" s="356">
        <v>5</v>
      </c>
      <c r="N214" s="356">
        <v>3</v>
      </c>
      <c r="O214" s="356">
        <v>14</v>
      </c>
      <c r="P214" s="356">
        <v>4</v>
      </c>
      <c r="Q214" s="356">
        <v>6</v>
      </c>
      <c r="R214" s="356">
        <v>9</v>
      </c>
      <c r="S214" s="356">
        <v>6</v>
      </c>
      <c r="T214" s="356">
        <v>3</v>
      </c>
      <c r="U214" s="356">
        <v>4</v>
      </c>
      <c r="V214" s="356">
        <v>5</v>
      </c>
      <c r="W214" s="356">
        <v>6</v>
      </c>
      <c r="X214" s="356">
        <v>2</v>
      </c>
      <c r="Y214" s="356">
        <v>2</v>
      </c>
      <c r="Z214" s="356">
        <v>1</v>
      </c>
      <c r="AA214" s="356">
        <v>3</v>
      </c>
      <c r="AB214" s="356">
        <v>13</v>
      </c>
      <c r="AC214" s="356">
        <v>3</v>
      </c>
      <c r="AD214" s="356">
        <v>11</v>
      </c>
      <c r="AE214" s="356">
        <v>15</v>
      </c>
      <c r="AF214" s="356">
        <v>3</v>
      </c>
      <c r="AG214" s="356">
        <v>12</v>
      </c>
      <c r="AH214" s="356">
        <v>15</v>
      </c>
      <c r="AI214" s="356">
        <v>13</v>
      </c>
      <c r="AJ214" s="356">
        <v>1</v>
      </c>
      <c r="AK214" s="356">
        <v>12</v>
      </c>
      <c r="AL214" s="356">
        <v>15</v>
      </c>
      <c r="AM214" s="356">
        <v>6</v>
      </c>
      <c r="AN214" s="356">
        <v>12</v>
      </c>
      <c r="AO214" s="356">
        <v>12</v>
      </c>
      <c r="AP214" s="356">
        <v>6</v>
      </c>
      <c r="AQ214" s="356">
        <v>10</v>
      </c>
      <c r="AR214" s="356">
        <v>12</v>
      </c>
      <c r="AS214" s="356">
        <v>5</v>
      </c>
      <c r="AT214" s="356">
        <v>13</v>
      </c>
      <c r="AU214" s="356">
        <v>4</v>
      </c>
      <c r="AV214" s="356">
        <v>2</v>
      </c>
      <c r="AW214" s="356">
        <v>13</v>
      </c>
      <c r="AX214" s="356">
        <v>14</v>
      </c>
      <c r="AY214" s="356">
        <v>6</v>
      </c>
      <c r="AZ214" s="356">
        <v>12</v>
      </c>
      <c r="BA214" s="356">
        <v>5</v>
      </c>
      <c r="BB214" s="356">
        <v>5</v>
      </c>
      <c r="BD214" s="353">
        <f t="shared" si="12"/>
        <v>82</v>
      </c>
      <c r="BE214" s="353">
        <f t="shared" si="13"/>
        <v>96</v>
      </c>
      <c r="BF214" s="353">
        <f t="shared" si="14"/>
        <v>87</v>
      </c>
      <c r="BG214" s="353">
        <f t="shared" si="15"/>
        <v>90</v>
      </c>
    </row>
    <row r="215" spans="2:59">
      <c r="B215" s="354">
        <v>207</v>
      </c>
      <c r="C215" s="743" t="s">
        <v>499</v>
      </c>
      <c r="D215" s="744" t="s">
        <v>499</v>
      </c>
      <c r="E215" s="744" t="s">
        <v>499</v>
      </c>
      <c r="F215" s="357">
        <v>1099375801</v>
      </c>
      <c r="G215" s="356">
        <v>4</v>
      </c>
      <c r="H215" s="356">
        <v>1</v>
      </c>
      <c r="I215" s="356">
        <v>13</v>
      </c>
      <c r="J215" s="356">
        <v>12</v>
      </c>
      <c r="K215" s="356">
        <v>7</v>
      </c>
      <c r="L215" s="356">
        <v>0</v>
      </c>
      <c r="M215" s="356">
        <v>9</v>
      </c>
      <c r="N215" s="356">
        <v>15</v>
      </c>
      <c r="O215" s="356">
        <v>8</v>
      </c>
      <c r="P215" s="356">
        <v>1</v>
      </c>
      <c r="Q215" s="356">
        <v>10</v>
      </c>
      <c r="R215" s="356">
        <v>10</v>
      </c>
      <c r="S215" s="356">
        <v>6</v>
      </c>
      <c r="T215" s="356">
        <v>10</v>
      </c>
      <c r="U215" s="356">
        <v>14</v>
      </c>
      <c r="V215" s="356">
        <v>3</v>
      </c>
      <c r="W215" s="356">
        <v>1</v>
      </c>
      <c r="X215" s="356">
        <v>9</v>
      </c>
      <c r="Y215" s="356">
        <v>3</v>
      </c>
      <c r="Z215" s="356">
        <v>0</v>
      </c>
      <c r="AA215" s="356">
        <v>3</v>
      </c>
      <c r="AB215" s="356">
        <v>4</v>
      </c>
      <c r="AC215" s="356">
        <v>5</v>
      </c>
      <c r="AD215" s="356">
        <v>1</v>
      </c>
      <c r="AE215" s="356">
        <v>11</v>
      </c>
      <c r="AF215" s="356">
        <v>2</v>
      </c>
      <c r="AG215" s="356">
        <v>3</v>
      </c>
      <c r="AH215" s="356">
        <v>4</v>
      </c>
      <c r="AI215" s="356">
        <v>9</v>
      </c>
      <c r="AJ215" s="356">
        <v>1</v>
      </c>
      <c r="AK215" s="356">
        <v>12</v>
      </c>
      <c r="AL215" s="356">
        <v>3</v>
      </c>
      <c r="AM215" s="356">
        <v>9</v>
      </c>
      <c r="AN215" s="356">
        <v>0</v>
      </c>
      <c r="AO215" s="356">
        <v>10</v>
      </c>
      <c r="AP215" s="356">
        <v>0</v>
      </c>
      <c r="AQ215" s="356">
        <v>7</v>
      </c>
      <c r="AR215" s="356">
        <v>1</v>
      </c>
      <c r="AS215" s="356">
        <v>14</v>
      </c>
      <c r="AT215" s="356">
        <v>1</v>
      </c>
      <c r="AU215" s="356">
        <v>4</v>
      </c>
      <c r="AV215" s="356">
        <v>12</v>
      </c>
      <c r="AW215" s="356">
        <v>4</v>
      </c>
      <c r="AX215" s="356">
        <v>11</v>
      </c>
      <c r="AY215" s="356">
        <v>12</v>
      </c>
      <c r="AZ215" s="356">
        <v>11</v>
      </c>
      <c r="BA215" s="356">
        <v>10</v>
      </c>
      <c r="BB215" s="356">
        <v>9</v>
      </c>
      <c r="BD215" s="353">
        <f t="shared" si="12"/>
        <v>97</v>
      </c>
      <c r="BE215" s="353">
        <f t="shared" si="13"/>
        <v>81</v>
      </c>
      <c r="BF215" s="353">
        <f t="shared" si="14"/>
        <v>107</v>
      </c>
      <c r="BG215" s="353">
        <f t="shared" si="15"/>
        <v>77</v>
      </c>
    </row>
    <row r="216" spans="2:59">
      <c r="B216" s="354">
        <v>208</v>
      </c>
      <c r="C216" s="743" t="s">
        <v>498</v>
      </c>
      <c r="D216" s="744" t="s">
        <v>498</v>
      </c>
      <c r="E216" s="744" t="s">
        <v>498</v>
      </c>
      <c r="F216" s="357">
        <v>28217881</v>
      </c>
      <c r="G216" s="356">
        <v>10</v>
      </c>
      <c r="H216" s="356">
        <v>1</v>
      </c>
      <c r="I216" s="356">
        <v>7</v>
      </c>
      <c r="J216" s="356">
        <v>1</v>
      </c>
      <c r="K216" s="356">
        <v>11</v>
      </c>
      <c r="L216" s="356">
        <v>9</v>
      </c>
      <c r="M216" s="356">
        <v>4</v>
      </c>
      <c r="N216" s="356">
        <v>11</v>
      </c>
      <c r="O216" s="356">
        <v>1</v>
      </c>
      <c r="P216" s="356">
        <v>1</v>
      </c>
      <c r="Q216" s="356">
        <v>3</v>
      </c>
      <c r="R216" s="356">
        <v>13</v>
      </c>
      <c r="S216" s="356">
        <v>13</v>
      </c>
      <c r="T216" s="356">
        <v>3</v>
      </c>
      <c r="U216" s="356">
        <v>13</v>
      </c>
      <c r="V216" s="356">
        <v>2</v>
      </c>
      <c r="W216" s="356">
        <v>10</v>
      </c>
      <c r="X216" s="356">
        <v>15</v>
      </c>
      <c r="Y216" s="356">
        <v>8</v>
      </c>
      <c r="Z216" s="356">
        <v>11</v>
      </c>
      <c r="AA216" s="356">
        <v>13</v>
      </c>
      <c r="AB216" s="356">
        <v>6</v>
      </c>
      <c r="AC216" s="356">
        <v>9</v>
      </c>
      <c r="AD216" s="356">
        <v>9</v>
      </c>
      <c r="AE216" s="356">
        <v>12</v>
      </c>
      <c r="AF216" s="356">
        <v>7</v>
      </c>
      <c r="AG216" s="356">
        <v>8</v>
      </c>
      <c r="AH216" s="356">
        <v>9</v>
      </c>
      <c r="AI216" s="356">
        <v>13</v>
      </c>
      <c r="AJ216" s="356">
        <v>7</v>
      </c>
      <c r="AK216" s="356">
        <v>9</v>
      </c>
      <c r="AL216" s="356">
        <v>10</v>
      </c>
      <c r="AM216" s="356">
        <v>2</v>
      </c>
      <c r="AN216" s="356">
        <v>11</v>
      </c>
      <c r="AO216" s="356">
        <v>15</v>
      </c>
      <c r="AP216" s="356">
        <v>2</v>
      </c>
      <c r="AQ216" s="356">
        <v>10</v>
      </c>
      <c r="AR216" s="356">
        <v>8</v>
      </c>
      <c r="AS216" s="356">
        <v>14</v>
      </c>
      <c r="AT216" s="356">
        <v>15</v>
      </c>
      <c r="AU216" s="356">
        <v>5</v>
      </c>
      <c r="AV216" s="356">
        <v>9</v>
      </c>
      <c r="AW216" s="356">
        <v>5</v>
      </c>
      <c r="AX216" s="356">
        <v>1</v>
      </c>
      <c r="AY216" s="356">
        <v>5</v>
      </c>
      <c r="AZ216" s="356">
        <v>6</v>
      </c>
      <c r="BA216" s="356">
        <v>8</v>
      </c>
      <c r="BB216" s="356">
        <v>12</v>
      </c>
      <c r="BD216" s="353">
        <f t="shared" si="12"/>
        <v>95</v>
      </c>
      <c r="BE216" s="353">
        <f t="shared" si="13"/>
        <v>105</v>
      </c>
      <c r="BF216" s="353">
        <f t="shared" si="14"/>
        <v>103</v>
      </c>
      <c r="BG216" s="353">
        <f t="shared" si="15"/>
        <v>95</v>
      </c>
    </row>
    <row r="217" spans="2:59">
      <c r="B217" s="354">
        <v>209</v>
      </c>
      <c r="C217" s="743" t="s">
        <v>497</v>
      </c>
      <c r="D217" s="744" t="s">
        <v>497</v>
      </c>
      <c r="E217" s="744" t="s">
        <v>497</v>
      </c>
      <c r="F217" s="357">
        <v>1099366751</v>
      </c>
      <c r="G217" s="356">
        <v>10</v>
      </c>
      <c r="H217" s="356">
        <v>4</v>
      </c>
      <c r="I217" s="356">
        <v>3</v>
      </c>
      <c r="J217" s="356">
        <v>15</v>
      </c>
      <c r="K217" s="356">
        <v>8</v>
      </c>
      <c r="L217" s="356">
        <v>6</v>
      </c>
      <c r="M217" s="356">
        <v>4</v>
      </c>
      <c r="N217" s="356">
        <v>12</v>
      </c>
      <c r="O217" s="356">
        <v>2</v>
      </c>
      <c r="P217" s="356">
        <v>14</v>
      </c>
      <c r="Q217" s="356">
        <v>12</v>
      </c>
      <c r="R217" s="356">
        <v>0</v>
      </c>
      <c r="S217" s="356">
        <v>4</v>
      </c>
      <c r="T217" s="356">
        <v>6</v>
      </c>
      <c r="U217" s="356">
        <v>7</v>
      </c>
      <c r="V217" s="356">
        <v>11</v>
      </c>
      <c r="W217" s="356">
        <v>15</v>
      </c>
      <c r="X217" s="356">
        <v>12</v>
      </c>
      <c r="Y217" s="356">
        <v>3</v>
      </c>
      <c r="Z217" s="356">
        <v>15</v>
      </c>
      <c r="AA217" s="356">
        <v>11</v>
      </c>
      <c r="AB217" s="356">
        <v>10</v>
      </c>
      <c r="AC217" s="356">
        <v>6</v>
      </c>
      <c r="AD217" s="356">
        <v>11</v>
      </c>
      <c r="AE217" s="356">
        <v>9</v>
      </c>
      <c r="AF217" s="356">
        <v>0</v>
      </c>
      <c r="AG217" s="356">
        <v>13</v>
      </c>
      <c r="AH217" s="356">
        <v>13</v>
      </c>
      <c r="AI217" s="356">
        <v>7</v>
      </c>
      <c r="AJ217" s="356">
        <v>0</v>
      </c>
      <c r="AK217" s="356">
        <v>12</v>
      </c>
      <c r="AL217" s="356">
        <v>10</v>
      </c>
      <c r="AM217" s="356">
        <v>15</v>
      </c>
      <c r="AN217" s="356">
        <v>12</v>
      </c>
      <c r="AO217" s="356">
        <v>3</v>
      </c>
      <c r="AP217" s="356">
        <v>4</v>
      </c>
      <c r="AQ217" s="356">
        <v>3</v>
      </c>
      <c r="AR217" s="356">
        <v>3</v>
      </c>
      <c r="AS217" s="356">
        <v>3</v>
      </c>
      <c r="AT217" s="356">
        <v>13</v>
      </c>
      <c r="AU217" s="356">
        <v>10</v>
      </c>
      <c r="AV217" s="356">
        <v>0</v>
      </c>
      <c r="AW217" s="356">
        <v>13</v>
      </c>
      <c r="AX217" s="356">
        <v>7</v>
      </c>
      <c r="AY217" s="356">
        <v>8</v>
      </c>
      <c r="AZ217" s="356">
        <v>14</v>
      </c>
      <c r="BA217" s="356">
        <v>12</v>
      </c>
      <c r="BB217" s="356">
        <v>4</v>
      </c>
      <c r="BD217" s="353">
        <f t="shared" si="12"/>
        <v>79</v>
      </c>
      <c r="BE217" s="353">
        <f t="shared" si="13"/>
        <v>102</v>
      </c>
      <c r="BF217" s="353">
        <f t="shared" si="14"/>
        <v>91</v>
      </c>
      <c r="BG217" s="353">
        <f t="shared" si="15"/>
        <v>92</v>
      </c>
    </row>
    <row r="218" spans="2:59">
      <c r="B218" s="354">
        <v>210</v>
      </c>
      <c r="C218" s="743" t="s">
        <v>496</v>
      </c>
      <c r="D218" s="744" t="s">
        <v>496</v>
      </c>
      <c r="E218" s="744" t="s">
        <v>496</v>
      </c>
      <c r="F218" s="357">
        <v>22712335</v>
      </c>
      <c r="G218" s="356">
        <v>15</v>
      </c>
      <c r="H218" s="356">
        <v>2</v>
      </c>
      <c r="I218" s="356">
        <v>3</v>
      </c>
      <c r="J218" s="356">
        <v>2</v>
      </c>
      <c r="K218" s="356">
        <v>9</v>
      </c>
      <c r="L218" s="356">
        <v>1</v>
      </c>
      <c r="M218" s="356">
        <v>10</v>
      </c>
      <c r="N218" s="356">
        <v>13</v>
      </c>
      <c r="O218" s="356">
        <v>15</v>
      </c>
      <c r="P218" s="356">
        <v>8</v>
      </c>
      <c r="Q218" s="356">
        <v>5</v>
      </c>
      <c r="R218" s="356">
        <v>7</v>
      </c>
      <c r="S218" s="356">
        <v>0</v>
      </c>
      <c r="T218" s="356">
        <v>4</v>
      </c>
      <c r="U218" s="356">
        <v>9</v>
      </c>
      <c r="V218" s="356">
        <v>5</v>
      </c>
      <c r="W218" s="356">
        <v>12</v>
      </c>
      <c r="X218" s="356">
        <v>3</v>
      </c>
      <c r="Y218" s="356">
        <v>11</v>
      </c>
      <c r="Z218" s="356">
        <v>0</v>
      </c>
      <c r="AA218" s="356">
        <v>9</v>
      </c>
      <c r="AB218" s="356">
        <v>12</v>
      </c>
      <c r="AC218" s="356">
        <v>11</v>
      </c>
      <c r="AD218" s="356">
        <v>11</v>
      </c>
      <c r="AE218" s="356">
        <v>3</v>
      </c>
      <c r="AF218" s="356">
        <v>11</v>
      </c>
      <c r="AG218" s="356">
        <v>14</v>
      </c>
      <c r="AH218" s="356">
        <v>0</v>
      </c>
      <c r="AI218" s="356">
        <v>15</v>
      </c>
      <c r="AJ218" s="356">
        <v>4</v>
      </c>
      <c r="AK218" s="356">
        <v>12</v>
      </c>
      <c r="AL218" s="356">
        <v>12</v>
      </c>
      <c r="AM218" s="356">
        <v>15</v>
      </c>
      <c r="AN218" s="356">
        <v>7</v>
      </c>
      <c r="AO218" s="356">
        <v>9</v>
      </c>
      <c r="AP218" s="356">
        <v>6</v>
      </c>
      <c r="AQ218" s="356">
        <v>8</v>
      </c>
      <c r="AR218" s="356">
        <v>14</v>
      </c>
      <c r="AS218" s="356">
        <v>7</v>
      </c>
      <c r="AT218" s="356">
        <v>7</v>
      </c>
      <c r="AU218" s="356">
        <v>2</v>
      </c>
      <c r="AV218" s="356">
        <v>0</v>
      </c>
      <c r="AW218" s="356">
        <v>2</v>
      </c>
      <c r="AX218" s="356">
        <v>9</v>
      </c>
      <c r="AY218" s="356">
        <v>4</v>
      </c>
      <c r="AZ218" s="356">
        <v>2</v>
      </c>
      <c r="BA218" s="356">
        <v>12</v>
      </c>
      <c r="BB218" s="356">
        <v>13</v>
      </c>
      <c r="BD218" s="353">
        <f t="shared" si="12"/>
        <v>93</v>
      </c>
      <c r="BE218" s="353">
        <f t="shared" si="13"/>
        <v>107</v>
      </c>
      <c r="BF218" s="353">
        <f t="shared" si="14"/>
        <v>105</v>
      </c>
      <c r="BG218" s="353">
        <f t="shared" si="15"/>
        <v>92</v>
      </c>
    </row>
    <row r="219" spans="2:59">
      <c r="B219" s="354">
        <v>211</v>
      </c>
      <c r="C219" s="743" t="s">
        <v>495</v>
      </c>
      <c r="D219" s="744" t="s">
        <v>495</v>
      </c>
      <c r="E219" s="744" t="s">
        <v>495</v>
      </c>
      <c r="F219" s="357">
        <v>1001963998</v>
      </c>
      <c r="G219" s="356">
        <v>4</v>
      </c>
      <c r="H219" s="356">
        <v>6</v>
      </c>
      <c r="I219" s="356">
        <v>0</v>
      </c>
      <c r="J219" s="356">
        <v>13</v>
      </c>
      <c r="K219" s="356">
        <v>5</v>
      </c>
      <c r="L219" s="356">
        <v>1</v>
      </c>
      <c r="M219" s="356">
        <v>8</v>
      </c>
      <c r="N219" s="356">
        <v>15</v>
      </c>
      <c r="O219" s="356">
        <v>11</v>
      </c>
      <c r="P219" s="356">
        <v>15</v>
      </c>
      <c r="Q219" s="356">
        <v>15</v>
      </c>
      <c r="R219" s="356">
        <v>0</v>
      </c>
      <c r="S219" s="356">
        <v>13</v>
      </c>
      <c r="T219" s="356">
        <v>8</v>
      </c>
      <c r="U219" s="356">
        <v>11</v>
      </c>
      <c r="V219" s="356">
        <v>8</v>
      </c>
      <c r="W219" s="356">
        <v>4</v>
      </c>
      <c r="X219" s="356">
        <v>4</v>
      </c>
      <c r="Y219" s="356">
        <v>9</v>
      </c>
      <c r="Z219" s="356">
        <v>10</v>
      </c>
      <c r="AA219" s="356">
        <v>15</v>
      </c>
      <c r="AB219" s="356">
        <v>11</v>
      </c>
      <c r="AC219" s="356">
        <v>5</v>
      </c>
      <c r="AD219" s="356">
        <v>12</v>
      </c>
      <c r="AE219" s="356">
        <v>5</v>
      </c>
      <c r="AF219" s="356">
        <v>12</v>
      </c>
      <c r="AG219" s="356">
        <v>8</v>
      </c>
      <c r="AH219" s="356">
        <v>11</v>
      </c>
      <c r="AI219" s="356">
        <v>6</v>
      </c>
      <c r="AJ219" s="356">
        <v>2</v>
      </c>
      <c r="AK219" s="356">
        <v>8</v>
      </c>
      <c r="AL219" s="356">
        <v>0</v>
      </c>
      <c r="AM219" s="356">
        <v>0</v>
      </c>
      <c r="AN219" s="356">
        <v>4</v>
      </c>
      <c r="AO219" s="356">
        <v>11</v>
      </c>
      <c r="AP219" s="356">
        <v>7</v>
      </c>
      <c r="AQ219" s="356">
        <v>9</v>
      </c>
      <c r="AR219" s="356">
        <v>13</v>
      </c>
      <c r="AS219" s="356">
        <v>13</v>
      </c>
      <c r="AT219" s="356">
        <v>6</v>
      </c>
      <c r="AU219" s="356">
        <v>8</v>
      </c>
      <c r="AV219" s="356">
        <v>10</v>
      </c>
      <c r="AW219" s="356">
        <v>6</v>
      </c>
      <c r="AX219" s="356">
        <v>13</v>
      </c>
      <c r="AY219" s="356">
        <v>14</v>
      </c>
      <c r="AZ219" s="356">
        <v>7</v>
      </c>
      <c r="BA219" s="356">
        <v>8</v>
      </c>
      <c r="BB219" s="356">
        <v>15</v>
      </c>
      <c r="BD219" s="353">
        <f t="shared" si="12"/>
        <v>94</v>
      </c>
      <c r="BE219" s="353">
        <f t="shared" si="13"/>
        <v>94</v>
      </c>
      <c r="BF219" s="353">
        <f t="shared" si="14"/>
        <v>102</v>
      </c>
      <c r="BG219" s="353">
        <f t="shared" si="15"/>
        <v>90</v>
      </c>
    </row>
    <row r="220" spans="2:59">
      <c r="B220" s="354">
        <v>212</v>
      </c>
      <c r="C220" s="743" t="s">
        <v>494</v>
      </c>
      <c r="D220" s="744" t="s">
        <v>494</v>
      </c>
      <c r="E220" s="744" t="s">
        <v>494</v>
      </c>
      <c r="F220" s="357">
        <v>1043670513</v>
      </c>
      <c r="G220" s="356">
        <v>8</v>
      </c>
      <c r="H220" s="356">
        <v>9</v>
      </c>
      <c r="I220" s="356">
        <v>4</v>
      </c>
      <c r="J220" s="356">
        <v>7</v>
      </c>
      <c r="K220" s="356">
        <v>1</v>
      </c>
      <c r="L220" s="356">
        <v>3</v>
      </c>
      <c r="M220" s="356">
        <v>0</v>
      </c>
      <c r="N220" s="356">
        <v>1</v>
      </c>
      <c r="O220" s="356">
        <v>8</v>
      </c>
      <c r="P220" s="356">
        <v>0</v>
      </c>
      <c r="Q220" s="356">
        <v>3</v>
      </c>
      <c r="R220" s="356">
        <v>15</v>
      </c>
      <c r="S220" s="356">
        <v>12</v>
      </c>
      <c r="T220" s="356">
        <v>1</v>
      </c>
      <c r="U220" s="356">
        <v>14</v>
      </c>
      <c r="V220" s="356">
        <v>1</v>
      </c>
      <c r="W220" s="356">
        <v>6</v>
      </c>
      <c r="X220" s="356">
        <v>3</v>
      </c>
      <c r="Y220" s="356">
        <v>11</v>
      </c>
      <c r="Z220" s="356">
        <v>8</v>
      </c>
      <c r="AA220" s="356">
        <v>1</v>
      </c>
      <c r="AB220" s="356">
        <v>1</v>
      </c>
      <c r="AC220" s="356">
        <v>9</v>
      </c>
      <c r="AD220" s="356">
        <v>1</v>
      </c>
      <c r="AE220" s="356">
        <v>11</v>
      </c>
      <c r="AF220" s="356">
        <v>6</v>
      </c>
      <c r="AG220" s="356">
        <v>3</v>
      </c>
      <c r="AH220" s="356">
        <v>9</v>
      </c>
      <c r="AI220" s="356">
        <v>6</v>
      </c>
      <c r="AJ220" s="356">
        <v>2</v>
      </c>
      <c r="AK220" s="356">
        <v>5</v>
      </c>
      <c r="AL220" s="356">
        <v>13</v>
      </c>
      <c r="AM220" s="356">
        <v>4</v>
      </c>
      <c r="AN220" s="356">
        <v>0</v>
      </c>
      <c r="AO220" s="356">
        <v>5</v>
      </c>
      <c r="AP220" s="356">
        <v>6</v>
      </c>
      <c r="AQ220" s="356">
        <v>12</v>
      </c>
      <c r="AR220" s="356">
        <v>3</v>
      </c>
      <c r="AS220" s="356">
        <v>3</v>
      </c>
      <c r="AT220" s="356">
        <v>2</v>
      </c>
      <c r="AU220" s="356">
        <v>7</v>
      </c>
      <c r="AV220" s="356">
        <v>13</v>
      </c>
      <c r="AW220" s="356">
        <v>8</v>
      </c>
      <c r="AX220" s="356">
        <v>8</v>
      </c>
      <c r="AY220" s="356">
        <v>9</v>
      </c>
      <c r="AZ220" s="356">
        <v>13</v>
      </c>
      <c r="BA220" s="356">
        <v>9</v>
      </c>
      <c r="BB220" s="356">
        <v>2</v>
      </c>
      <c r="BD220" s="353">
        <f t="shared" si="12"/>
        <v>65</v>
      </c>
      <c r="BE220" s="353">
        <f t="shared" si="13"/>
        <v>85</v>
      </c>
      <c r="BF220" s="353">
        <f t="shared" si="14"/>
        <v>74</v>
      </c>
      <c r="BG220" s="353">
        <f t="shared" si="15"/>
        <v>77</v>
      </c>
    </row>
    <row r="221" spans="2:59">
      <c r="B221" s="354">
        <v>213</v>
      </c>
      <c r="C221" s="743" t="s">
        <v>493</v>
      </c>
      <c r="D221" s="744" t="s">
        <v>493</v>
      </c>
      <c r="E221" s="744" t="s">
        <v>493</v>
      </c>
      <c r="F221" s="357">
        <v>1041981869</v>
      </c>
      <c r="G221" s="356">
        <v>15</v>
      </c>
      <c r="H221" s="356">
        <v>9</v>
      </c>
      <c r="I221" s="356">
        <v>10</v>
      </c>
      <c r="J221" s="356">
        <v>11</v>
      </c>
      <c r="K221" s="356">
        <v>9</v>
      </c>
      <c r="L221" s="356">
        <v>14</v>
      </c>
      <c r="M221" s="356">
        <v>15</v>
      </c>
      <c r="N221" s="356">
        <v>0</v>
      </c>
      <c r="O221" s="356">
        <v>5</v>
      </c>
      <c r="P221" s="356">
        <v>13</v>
      </c>
      <c r="Q221" s="356">
        <v>5</v>
      </c>
      <c r="R221" s="356">
        <v>4</v>
      </c>
      <c r="S221" s="356">
        <v>6</v>
      </c>
      <c r="T221" s="356">
        <v>7</v>
      </c>
      <c r="U221" s="356">
        <v>3</v>
      </c>
      <c r="V221" s="356">
        <v>6</v>
      </c>
      <c r="W221" s="356">
        <v>5</v>
      </c>
      <c r="X221" s="356">
        <v>5</v>
      </c>
      <c r="Y221" s="356">
        <v>6</v>
      </c>
      <c r="Z221" s="356">
        <v>1</v>
      </c>
      <c r="AA221" s="356">
        <v>11</v>
      </c>
      <c r="AB221" s="356">
        <v>8</v>
      </c>
      <c r="AC221" s="356">
        <v>3</v>
      </c>
      <c r="AD221" s="356">
        <v>7</v>
      </c>
      <c r="AE221" s="356">
        <v>15</v>
      </c>
      <c r="AF221" s="356">
        <v>11</v>
      </c>
      <c r="AG221" s="356">
        <v>9</v>
      </c>
      <c r="AH221" s="356">
        <v>14</v>
      </c>
      <c r="AI221" s="356">
        <v>4</v>
      </c>
      <c r="AJ221" s="356">
        <v>0</v>
      </c>
      <c r="AK221" s="356">
        <v>11</v>
      </c>
      <c r="AL221" s="356">
        <v>2</v>
      </c>
      <c r="AM221" s="356">
        <v>5</v>
      </c>
      <c r="AN221" s="356">
        <v>4</v>
      </c>
      <c r="AO221" s="356">
        <v>11</v>
      </c>
      <c r="AP221" s="356">
        <v>11</v>
      </c>
      <c r="AQ221" s="356">
        <v>3</v>
      </c>
      <c r="AR221" s="356">
        <v>11</v>
      </c>
      <c r="AS221" s="356">
        <v>1</v>
      </c>
      <c r="AT221" s="356">
        <v>14</v>
      </c>
      <c r="AU221" s="356">
        <v>2</v>
      </c>
      <c r="AV221" s="356">
        <v>2</v>
      </c>
      <c r="AW221" s="356">
        <v>6</v>
      </c>
      <c r="AX221" s="356">
        <v>3</v>
      </c>
      <c r="AY221" s="356">
        <v>9</v>
      </c>
      <c r="AZ221" s="356">
        <v>10</v>
      </c>
      <c r="BA221" s="356">
        <v>4</v>
      </c>
      <c r="BB221" s="356">
        <v>3</v>
      </c>
      <c r="BD221" s="353">
        <f t="shared" si="12"/>
        <v>80</v>
      </c>
      <c r="BE221" s="353">
        <f t="shared" si="13"/>
        <v>89</v>
      </c>
      <c r="BF221" s="353">
        <f t="shared" si="14"/>
        <v>84</v>
      </c>
      <c r="BG221" s="353">
        <f t="shared" si="15"/>
        <v>74</v>
      </c>
    </row>
    <row r="222" spans="2:59">
      <c r="B222" s="354">
        <v>214</v>
      </c>
      <c r="C222" s="743" t="s">
        <v>492</v>
      </c>
      <c r="D222" s="744" t="s">
        <v>492</v>
      </c>
      <c r="E222" s="744" t="s">
        <v>492</v>
      </c>
      <c r="F222" s="357">
        <v>40793091</v>
      </c>
      <c r="G222" s="356">
        <v>15</v>
      </c>
      <c r="H222" s="356">
        <v>13</v>
      </c>
      <c r="I222" s="356">
        <v>13</v>
      </c>
      <c r="J222" s="356">
        <v>6</v>
      </c>
      <c r="K222" s="356">
        <v>4</v>
      </c>
      <c r="L222" s="356">
        <v>15</v>
      </c>
      <c r="M222" s="356">
        <v>6</v>
      </c>
      <c r="N222" s="356">
        <v>6</v>
      </c>
      <c r="O222" s="356">
        <v>11</v>
      </c>
      <c r="P222" s="356">
        <v>9</v>
      </c>
      <c r="Q222" s="356">
        <v>15</v>
      </c>
      <c r="R222" s="356">
        <v>6</v>
      </c>
      <c r="S222" s="356">
        <v>7</v>
      </c>
      <c r="T222" s="356">
        <v>5</v>
      </c>
      <c r="U222" s="356">
        <v>13</v>
      </c>
      <c r="V222" s="356">
        <v>13</v>
      </c>
      <c r="W222" s="356">
        <v>1</v>
      </c>
      <c r="X222" s="356">
        <v>13</v>
      </c>
      <c r="Y222" s="356">
        <v>15</v>
      </c>
      <c r="Z222" s="356">
        <v>14</v>
      </c>
      <c r="AA222" s="356">
        <v>12</v>
      </c>
      <c r="AB222" s="356">
        <v>2</v>
      </c>
      <c r="AC222" s="356">
        <v>1</v>
      </c>
      <c r="AD222" s="356">
        <v>5</v>
      </c>
      <c r="AE222" s="356">
        <v>8</v>
      </c>
      <c r="AF222" s="356">
        <v>14</v>
      </c>
      <c r="AG222" s="356">
        <v>6</v>
      </c>
      <c r="AH222" s="356">
        <v>10</v>
      </c>
      <c r="AI222" s="356">
        <v>15</v>
      </c>
      <c r="AJ222" s="356">
        <v>15</v>
      </c>
      <c r="AK222" s="356">
        <v>9</v>
      </c>
      <c r="AL222" s="356">
        <v>7</v>
      </c>
      <c r="AM222" s="356">
        <v>6</v>
      </c>
      <c r="AN222" s="356">
        <v>2</v>
      </c>
      <c r="AO222" s="356">
        <v>0</v>
      </c>
      <c r="AP222" s="356">
        <v>4</v>
      </c>
      <c r="AQ222" s="356">
        <v>14</v>
      </c>
      <c r="AR222" s="356">
        <v>4</v>
      </c>
      <c r="AS222" s="356">
        <v>4</v>
      </c>
      <c r="AT222" s="356">
        <v>15</v>
      </c>
      <c r="AU222" s="356">
        <v>4</v>
      </c>
      <c r="AV222" s="356">
        <v>11</v>
      </c>
      <c r="AW222" s="356">
        <v>5</v>
      </c>
      <c r="AX222" s="356">
        <v>5</v>
      </c>
      <c r="AY222" s="356">
        <v>9</v>
      </c>
      <c r="AZ222" s="356">
        <v>12</v>
      </c>
      <c r="BA222" s="356">
        <v>3</v>
      </c>
      <c r="BB222" s="356">
        <v>8</v>
      </c>
      <c r="BD222" s="353">
        <f t="shared" si="12"/>
        <v>87</v>
      </c>
      <c r="BE222" s="353">
        <f t="shared" si="13"/>
        <v>106</v>
      </c>
      <c r="BF222" s="353">
        <f t="shared" si="14"/>
        <v>90</v>
      </c>
      <c r="BG222" s="353">
        <f t="shared" si="15"/>
        <v>91</v>
      </c>
    </row>
    <row r="223" spans="2:59">
      <c r="B223" s="354">
        <v>215</v>
      </c>
      <c r="C223" s="743" t="s">
        <v>491</v>
      </c>
      <c r="D223" s="744" t="s">
        <v>491</v>
      </c>
      <c r="E223" s="744" t="s">
        <v>491</v>
      </c>
      <c r="F223" s="357">
        <v>1099744051</v>
      </c>
      <c r="G223" s="356">
        <v>10</v>
      </c>
      <c r="H223" s="356">
        <v>13</v>
      </c>
      <c r="I223" s="356">
        <v>4</v>
      </c>
      <c r="J223" s="356">
        <v>6</v>
      </c>
      <c r="K223" s="356">
        <v>12</v>
      </c>
      <c r="L223" s="356">
        <v>0</v>
      </c>
      <c r="M223" s="356">
        <v>2</v>
      </c>
      <c r="N223" s="356">
        <v>3</v>
      </c>
      <c r="O223" s="356">
        <v>15</v>
      </c>
      <c r="P223" s="356">
        <v>0</v>
      </c>
      <c r="Q223" s="356">
        <v>9</v>
      </c>
      <c r="R223" s="356">
        <v>0</v>
      </c>
      <c r="S223" s="356">
        <v>14</v>
      </c>
      <c r="T223" s="356">
        <v>0</v>
      </c>
      <c r="U223" s="356">
        <v>10</v>
      </c>
      <c r="V223" s="356">
        <v>7</v>
      </c>
      <c r="W223" s="356">
        <v>13</v>
      </c>
      <c r="X223" s="356">
        <v>0</v>
      </c>
      <c r="Y223" s="356">
        <v>1</v>
      </c>
      <c r="Z223" s="356">
        <v>8</v>
      </c>
      <c r="AA223" s="356">
        <v>1</v>
      </c>
      <c r="AB223" s="356">
        <v>11</v>
      </c>
      <c r="AC223" s="356">
        <v>10</v>
      </c>
      <c r="AD223" s="356">
        <v>2</v>
      </c>
      <c r="AE223" s="356">
        <v>1</v>
      </c>
      <c r="AF223" s="356">
        <v>14</v>
      </c>
      <c r="AG223" s="356">
        <v>0</v>
      </c>
      <c r="AH223" s="356">
        <v>8</v>
      </c>
      <c r="AI223" s="356">
        <v>11</v>
      </c>
      <c r="AJ223" s="356">
        <v>13</v>
      </c>
      <c r="AK223" s="356">
        <v>0</v>
      </c>
      <c r="AL223" s="356">
        <v>7</v>
      </c>
      <c r="AM223" s="356">
        <v>10</v>
      </c>
      <c r="AN223" s="356">
        <v>3</v>
      </c>
      <c r="AO223" s="356">
        <v>1</v>
      </c>
      <c r="AP223" s="356">
        <v>4</v>
      </c>
      <c r="AQ223" s="356">
        <v>5</v>
      </c>
      <c r="AR223" s="356">
        <v>12</v>
      </c>
      <c r="AS223" s="356">
        <v>11</v>
      </c>
      <c r="AT223" s="356">
        <v>5</v>
      </c>
      <c r="AU223" s="356">
        <v>1</v>
      </c>
      <c r="AV223" s="356">
        <v>11</v>
      </c>
      <c r="AW223" s="356">
        <v>9</v>
      </c>
      <c r="AX223" s="356">
        <v>13</v>
      </c>
      <c r="AY223" s="356">
        <v>15</v>
      </c>
      <c r="AZ223" s="356">
        <v>9</v>
      </c>
      <c r="BA223" s="356">
        <v>15</v>
      </c>
      <c r="BB223" s="356">
        <v>10</v>
      </c>
      <c r="BD223" s="353">
        <f t="shared" si="12"/>
        <v>57</v>
      </c>
      <c r="BE223" s="353">
        <f t="shared" si="13"/>
        <v>108</v>
      </c>
      <c r="BF223" s="353">
        <f t="shared" si="14"/>
        <v>72</v>
      </c>
      <c r="BG223" s="353">
        <f t="shared" si="15"/>
        <v>98</v>
      </c>
    </row>
    <row r="224" spans="2:59">
      <c r="B224" s="354">
        <v>216</v>
      </c>
      <c r="C224" s="743" t="s">
        <v>490</v>
      </c>
      <c r="D224" s="744" t="s">
        <v>490</v>
      </c>
      <c r="E224" s="744" t="s">
        <v>490</v>
      </c>
      <c r="F224" s="357">
        <v>5759220</v>
      </c>
      <c r="G224" s="356">
        <v>3</v>
      </c>
      <c r="H224" s="356">
        <v>10</v>
      </c>
      <c r="I224" s="356">
        <v>9</v>
      </c>
      <c r="J224" s="356">
        <v>3</v>
      </c>
      <c r="K224" s="356">
        <v>6</v>
      </c>
      <c r="L224" s="356">
        <v>12</v>
      </c>
      <c r="M224" s="356">
        <v>9</v>
      </c>
      <c r="N224" s="356">
        <v>2</v>
      </c>
      <c r="O224" s="356">
        <v>10</v>
      </c>
      <c r="P224" s="356">
        <v>14</v>
      </c>
      <c r="Q224" s="356">
        <v>6</v>
      </c>
      <c r="R224" s="356">
        <v>9</v>
      </c>
      <c r="S224" s="356">
        <v>3</v>
      </c>
      <c r="T224" s="356">
        <v>8</v>
      </c>
      <c r="U224" s="356">
        <v>11</v>
      </c>
      <c r="V224" s="356">
        <v>7</v>
      </c>
      <c r="W224" s="356">
        <v>0</v>
      </c>
      <c r="X224" s="356">
        <v>0</v>
      </c>
      <c r="Y224" s="356">
        <v>15</v>
      </c>
      <c r="Z224" s="356">
        <v>3</v>
      </c>
      <c r="AA224" s="356">
        <v>5</v>
      </c>
      <c r="AB224" s="356">
        <v>3</v>
      </c>
      <c r="AC224" s="356">
        <v>2</v>
      </c>
      <c r="AD224" s="356">
        <v>15</v>
      </c>
      <c r="AE224" s="356">
        <v>13</v>
      </c>
      <c r="AF224" s="356">
        <v>3</v>
      </c>
      <c r="AG224" s="356">
        <v>11</v>
      </c>
      <c r="AH224" s="356">
        <v>15</v>
      </c>
      <c r="AI224" s="356">
        <v>14</v>
      </c>
      <c r="AJ224" s="356">
        <v>12</v>
      </c>
      <c r="AK224" s="356">
        <v>5</v>
      </c>
      <c r="AL224" s="356">
        <v>14</v>
      </c>
      <c r="AM224" s="356">
        <v>10</v>
      </c>
      <c r="AN224" s="356">
        <v>11</v>
      </c>
      <c r="AO224" s="356">
        <v>6</v>
      </c>
      <c r="AP224" s="356">
        <v>4</v>
      </c>
      <c r="AQ224" s="356">
        <v>7</v>
      </c>
      <c r="AR224" s="356">
        <v>2</v>
      </c>
      <c r="AS224" s="356">
        <v>3</v>
      </c>
      <c r="AT224" s="356">
        <v>3</v>
      </c>
      <c r="AU224" s="356">
        <v>14</v>
      </c>
      <c r="AV224" s="356">
        <v>1</v>
      </c>
      <c r="AW224" s="356">
        <v>7</v>
      </c>
      <c r="AX224" s="356">
        <v>14</v>
      </c>
      <c r="AY224" s="356">
        <v>0</v>
      </c>
      <c r="AZ224" s="356">
        <v>5</v>
      </c>
      <c r="BA224" s="356">
        <v>7</v>
      </c>
      <c r="BB224" s="356">
        <v>4</v>
      </c>
      <c r="BD224" s="353">
        <f t="shared" si="12"/>
        <v>84</v>
      </c>
      <c r="BE224" s="353">
        <f t="shared" si="13"/>
        <v>85</v>
      </c>
      <c r="BF224" s="353">
        <f t="shared" si="14"/>
        <v>91</v>
      </c>
      <c r="BG224" s="353">
        <f t="shared" si="15"/>
        <v>82</v>
      </c>
    </row>
    <row r="225" spans="2:59">
      <c r="B225" s="354">
        <v>217</v>
      </c>
      <c r="C225" s="743" t="s">
        <v>489</v>
      </c>
      <c r="D225" s="744" t="s">
        <v>489</v>
      </c>
      <c r="E225" s="744" t="s">
        <v>489</v>
      </c>
      <c r="F225" s="357">
        <v>37725721</v>
      </c>
      <c r="G225" s="356">
        <v>7</v>
      </c>
      <c r="H225" s="356">
        <v>3</v>
      </c>
      <c r="I225" s="356">
        <v>13</v>
      </c>
      <c r="J225" s="356">
        <v>12</v>
      </c>
      <c r="K225" s="356">
        <v>8</v>
      </c>
      <c r="L225" s="356">
        <v>12</v>
      </c>
      <c r="M225" s="356">
        <v>10</v>
      </c>
      <c r="N225" s="356">
        <v>12</v>
      </c>
      <c r="O225" s="356">
        <v>7</v>
      </c>
      <c r="P225" s="356">
        <v>11</v>
      </c>
      <c r="Q225" s="356">
        <v>1</v>
      </c>
      <c r="R225" s="356">
        <v>13</v>
      </c>
      <c r="S225" s="356">
        <v>10</v>
      </c>
      <c r="T225" s="356">
        <v>5</v>
      </c>
      <c r="U225" s="356">
        <v>0</v>
      </c>
      <c r="V225" s="356">
        <v>1</v>
      </c>
      <c r="W225" s="356">
        <v>14</v>
      </c>
      <c r="X225" s="356">
        <v>0</v>
      </c>
      <c r="Y225" s="356">
        <v>5</v>
      </c>
      <c r="Z225" s="356">
        <v>7</v>
      </c>
      <c r="AA225" s="356">
        <v>9</v>
      </c>
      <c r="AB225" s="356">
        <v>5</v>
      </c>
      <c r="AC225" s="356">
        <v>11</v>
      </c>
      <c r="AD225" s="356">
        <v>1</v>
      </c>
      <c r="AE225" s="356">
        <v>14</v>
      </c>
      <c r="AF225" s="356">
        <v>4</v>
      </c>
      <c r="AG225" s="356">
        <v>9</v>
      </c>
      <c r="AH225" s="356">
        <v>10</v>
      </c>
      <c r="AI225" s="356">
        <v>9</v>
      </c>
      <c r="AJ225" s="356">
        <v>10</v>
      </c>
      <c r="AK225" s="356">
        <v>14</v>
      </c>
      <c r="AL225" s="356">
        <v>10</v>
      </c>
      <c r="AM225" s="356">
        <v>14</v>
      </c>
      <c r="AN225" s="356">
        <v>10</v>
      </c>
      <c r="AO225" s="356">
        <v>15</v>
      </c>
      <c r="AP225" s="356">
        <v>8</v>
      </c>
      <c r="AQ225" s="356">
        <v>0</v>
      </c>
      <c r="AR225" s="356">
        <v>13</v>
      </c>
      <c r="AS225" s="356">
        <v>4</v>
      </c>
      <c r="AT225" s="356">
        <v>6</v>
      </c>
      <c r="AU225" s="356">
        <v>6</v>
      </c>
      <c r="AV225" s="356">
        <v>13</v>
      </c>
      <c r="AW225" s="356">
        <v>8</v>
      </c>
      <c r="AX225" s="356">
        <v>3</v>
      </c>
      <c r="AY225" s="356">
        <v>11</v>
      </c>
      <c r="AZ225" s="356">
        <v>1</v>
      </c>
      <c r="BA225" s="356">
        <v>13</v>
      </c>
      <c r="BB225" s="356">
        <v>6</v>
      </c>
      <c r="BD225" s="353">
        <f t="shared" si="12"/>
        <v>90</v>
      </c>
      <c r="BE225" s="353">
        <f t="shared" si="13"/>
        <v>109</v>
      </c>
      <c r="BF225" s="353">
        <f t="shared" si="14"/>
        <v>103</v>
      </c>
      <c r="BG225" s="353">
        <f t="shared" si="15"/>
        <v>102</v>
      </c>
    </row>
    <row r="226" spans="2:59">
      <c r="B226" s="354">
        <v>218</v>
      </c>
      <c r="C226" s="743" t="s">
        <v>488</v>
      </c>
      <c r="D226" s="744" t="s">
        <v>488</v>
      </c>
      <c r="E226" s="744" t="s">
        <v>488</v>
      </c>
      <c r="F226" s="357">
        <v>1097106871</v>
      </c>
      <c r="G226" s="356">
        <v>12</v>
      </c>
      <c r="H226" s="356">
        <v>10</v>
      </c>
      <c r="I226" s="356">
        <v>2</v>
      </c>
      <c r="J226" s="356">
        <v>8</v>
      </c>
      <c r="K226" s="356">
        <v>7</v>
      </c>
      <c r="L226" s="356">
        <v>5</v>
      </c>
      <c r="M226" s="356">
        <v>7</v>
      </c>
      <c r="N226" s="356">
        <v>1</v>
      </c>
      <c r="O226" s="356">
        <v>3</v>
      </c>
      <c r="P226" s="356">
        <v>12</v>
      </c>
      <c r="Q226" s="356">
        <v>3</v>
      </c>
      <c r="R226" s="356">
        <v>1</v>
      </c>
      <c r="S226" s="356">
        <v>4</v>
      </c>
      <c r="T226" s="356">
        <v>5</v>
      </c>
      <c r="U226" s="356">
        <v>5</v>
      </c>
      <c r="V226" s="356">
        <v>3</v>
      </c>
      <c r="W226" s="356">
        <v>13</v>
      </c>
      <c r="X226" s="356">
        <v>15</v>
      </c>
      <c r="Y226" s="356">
        <v>13</v>
      </c>
      <c r="Z226" s="356">
        <v>14</v>
      </c>
      <c r="AA226" s="356">
        <v>10</v>
      </c>
      <c r="AB226" s="356">
        <v>10</v>
      </c>
      <c r="AC226" s="356">
        <v>2</v>
      </c>
      <c r="AD226" s="356">
        <v>0</v>
      </c>
      <c r="AE226" s="356">
        <v>7</v>
      </c>
      <c r="AF226" s="356">
        <v>13</v>
      </c>
      <c r="AG226" s="356">
        <v>4</v>
      </c>
      <c r="AH226" s="356">
        <v>8</v>
      </c>
      <c r="AI226" s="356">
        <v>10</v>
      </c>
      <c r="AJ226" s="356">
        <v>5</v>
      </c>
      <c r="AK226" s="356">
        <v>11</v>
      </c>
      <c r="AL226" s="356">
        <v>8</v>
      </c>
      <c r="AM226" s="356">
        <v>5</v>
      </c>
      <c r="AN226" s="356">
        <v>13</v>
      </c>
      <c r="AO226" s="356">
        <v>7</v>
      </c>
      <c r="AP226" s="356">
        <v>13</v>
      </c>
      <c r="AQ226" s="356">
        <v>3</v>
      </c>
      <c r="AR226" s="356">
        <v>15</v>
      </c>
      <c r="AS226" s="356">
        <v>11</v>
      </c>
      <c r="AT226" s="356">
        <v>3</v>
      </c>
      <c r="AU226" s="356">
        <v>9</v>
      </c>
      <c r="AV226" s="356">
        <v>9</v>
      </c>
      <c r="AW226" s="356">
        <v>5</v>
      </c>
      <c r="AX226" s="356">
        <v>10</v>
      </c>
      <c r="AY226" s="356">
        <v>12</v>
      </c>
      <c r="AZ226" s="356">
        <v>2</v>
      </c>
      <c r="BA226" s="356">
        <v>14</v>
      </c>
      <c r="BB226" s="356">
        <v>3</v>
      </c>
      <c r="BD226" s="353">
        <f t="shared" si="12"/>
        <v>70</v>
      </c>
      <c r="BE226" s="353">
        <f t="shared" si="13"/>
        <v>95</v>
      </c>
      <c r="BF226" s="353">
        <f t="shared" si="14"/>
        <v>84</v>
      </c>
      <c r="BG226" s="353">
        <f t="shared" si="15"/>
        <v>83</v>
      </c>
    </row>
    <row r="227" spans="2:59">
      <c r="B227" s="354">
        <v>219</v>
      </c>
      <c r="C227" s="743" t="s">
        <v>487</v>
      </c>
      <c r="D227" s="744" t="s">
        <v>487</v>
      </c>
      <c r="E227" s="744" t="s">
        <v>487</v>
      </c>
      <c r="F227" s="357">
        <v>1099369624</v>
      </c>
      <c r="G227" s="356">
        <v>10</v>
      </c>
      <c r="H227" s="356">
        <v>10</v>
      </c>
      <c r="I227" s="356">
        <v>9</v>
      </c>
      <c r="J227" s="356">
        <v>12</v>
      </c>
      <c r="K227" s="356">
        <v>10</v>
      </c>
      <c r="L227" s="356">
        <v>13</v>
      </c>
      <c r="M227" s="356">
        <v>4</v>
      </c>
      <c r="N227" s="356">
        <v>7</v>
      </c>
      <c r="O227" s="356">
        <v>10</v>
      </c>
      <c r="P227" s="356">
        <v>0</v>
      </c>
      <c r="Q227" s="356">
        <v>3</v>
      </c>
      <c r="R227" s="356">
        <v>9</v>
      </c>
      <c r="S227" s="356">
        <v>5</v>
      </c>
      <c r="T227" s="356">
        <v>14</v>
      </c>
      <c r="U227" s="356">
        <v>4</v>
      </c>
      <c r="V227" s="356">
        <v>8</v>
      </c>
      <c r="W227" s="356">
        <v>2</v>
      </c>
      <c r="X227" s="356">
        <v>11</v>
      </c>
      <c r="Y227" s="356">
        <v>6</v>
      </c>
      <c r="Z227" s="356">
        <v>15</v>
      </c>
      <c r="AA227" s="356">
        <v>0</v>
      </c>
      <c r="AB227" s="356">
        <v>5</v>
      </c>
      <c r="AC227" s="356">
        <v>13</v>
      </c>
      <c r="AD227" s="356">
        <v>11</v>
      </c>
      <c r="AE227" s="356">
        <v>10</v>
      </c>
      <c r="AF227" s="356">
        <v>4</v>
      </c>
      <c r="AG227" s="356">
        <v>14</v>
      </c>
      <c r="AH227" s="356">
        <v>5</v>
      </c>
      <c r="AI227" s="356">
        <v>3</v>
      </c>
      <c r="AJ227" s="356">
        <v>7</v>
      </c>
      <c r="AK227" s="356">
        <v>10</v>
      </c>
      <c r="AL227" s="356">
        <v>0</v>
      </c>
      <c r="AM227" s="356">
        <v>4</v>
      </c>
      <c r="AN227" s="356">
        <v>9</v>
      </c>
      <c r="AO227" s="356">
        <v>13</v>
      </c>
      <c r="AP227" s="356">
        <v>8</v>
      </c>
      <c r="AQ227" s="356">
        <v>12</v>
      </c>
      <c r="AR227" s="356">
        <v>15</v>
      </c>
      <c r="AS227" s="356">
        <v>3</v>
      </c>
      <c r="AT227" s="356">
        <v>10</v>
      </c>
      <c r="AU227" s="356">
        <v>10</v>
      </c>
      <c r="AV227" s="356">
        <v>8</v>
      </c>
      <c r="AW227" s="356">
        <v>2</v>
      </c>
      <c r="AX227" s="356">
        <v>1</v>
      </c>
      <c r="AY227" s="356">
        <v>6</v>
      </c>
      <c r="AZ227" s="356">
        <v>11</v>
      </c>
      <c r="BA227" s="356">
        <v>0</v>
      </c>
      <c r="BB227" s="356">
        <v>6</v>
      </c>
      <c r="BD227" s="353">
        <f t="shared" si="12"/>
        <v>81</v>
      </c>
      <c r="BE227" s="353">
        <f t="shared" si="13"/>
        <v>82</v>
      </c>
      <c r="BF227" s="353">
        <f t="shared" si="14"/>
        <v>81</v>
      </c>
      <c r="BG227" s="353">
        <f t="shared" si="15"/>
        <v>72</v>
      </c>
    </row>
    <row r="228" spans="2:59">
      <c r="B228" s="354">
        <v>220</v>
      </c>
      <c r="C228" s="743" t="s">
        <v>486</v>
      </c>
      <c r="D228" s="744" t="s">
        <v>486</v>
      </c>
      <c r="E228" s="744" t="s">
        <v>486</v>
      </c>
      <c r="F228" s="357">
        <v>1099364661</v>
      </c>
      <c r="G228" s="356">
        <v>8</v>
      </c>
      <c r="H228" s="356">
        <v>13</v>
      </c>
      <c r="I228" s="356">
        <v>5</v>
      </c>
      <c r="J228" s="356">
        <v>0</v>
      </c>
      <c r="K228" s="356">
        <v>13</v>
      </c>
      <c r="L228" s="356">
        <v>8</v>
      </c>
      <c r="M228" s="356">
        <v>4</v>
      </c>
      <c r="N228" s="356">
        <v>8</v>
      </c>
      <c r="O228" s="356">
        <v>4</v>
      </c>
      <c r="P228" s="356">
        <v>4</v>
      </c>
      <c r="Q228" s="356">
        <v>12</v>
      </c>
      <c r="R228" s="356">
        <v>3</v>
      </c>
      <c r="S228" s="356">
        <v>12</v>
      </c>
      <c r="T228" s="356">
        <v>2</v>
      </c>
      <c r="U228" s="356">
        <v>3</v>
      </c>
      <c r="V228" s="356">
        <v>4</v>
      </c>
      <c r="W228" s="356">
        <v>2</v>
      </c>
      <c r="X228" s="356">
        <v>11</v>
      </c>
      <c r="Y228" s="356">
        <v>4</v>
      </c>
      <c r="Z228" s="356">
        <v>1</v>
      </c>
      <c r="AA228" s="356">
        <v>15</v>
      </c>
      <c r="AB228" s="356">
        <v>8</v>
      </c>
      <c r="AC228" s="356">
        <v>8</v>
      </c>
      <c r="AD228" s="356">
        <v>3</v>
      </c>
      <c r="AE228" s="356">
        <v>0</v>
      </c>
      <c r="AF228" s="356">
        <v>15</v>
      </c>
      <c r="AG228" s="356">
        <v>1</v>
      </c>
      <c r="AH228" s="356">
        <v>2</v>
      </c>
      <c r="AI228" s="356">
        <v>6</v>
      </c>
      <c r="AJ228" s="356">
        <v>13</v>
      </c>
      <c r="AK228" s="356">
        <v>4</v>
      </c>
      <c r="AL228" s="356">
        <v>7</v>
      </c>
      <c r="AM228" s="356">
        <v>8</v>
      </c>
      <c r="AN228" s="356">
        <v>6</v>
      </c>
      <c r="AO228" s="356">
        <v>10</v>
      </c>
      <c r="AP228" s="356">
        <v>13</v>
      </c>
      <c r="AQ228" s="356">
        <v>2</v>
      </c>
      <c r="AR228" s="356">
        <v>9</v>
      </c>
      <c r="AS228" s="356">
        <v>10</v>
      </c>
      <c r="AT228" s="356">
        <v>9</v>
      </c>
      <c r="AU228" s="356">
        <v>7</v>
      </c>
      <c r="AV228" s="356">
        <v>9</v>
      </c>
      <c r="AW228" s="356">
        <v>9</v>
      </c>
      <c r="AX228" s="356">
        <v>10</v>
      </c>
      <c r="AY228" s="356">
        <v>0</v>
      </c>
      <c r="AZ228" s="356">
        <v>10</v>
      </c>
      <c r="BA228" s="356">
        <v>9</v>
      </c>
      <c r="BB228" s="356">
        <v>9</v>
      </c>
      <c r="BD228" s="353">
        <f t="shared" si="12"/>
        <v>70</v>
      </c>
      <c r="BE228" s="353">
        <f t="shared" si="13"/>
        <v>77</v>
      </c>
      <c r="BF228" s="353">
        <f t="shared" si="14"/>
        <v>79</v>
      </c>
      <c r="BG228" s="353">
        <f t="shared" si="15"/>
        <v>69</v>
      </c>
    </row>
    <row r="229" spans="2:59">
      <c r="B229" s="354">
        <v>221</v>
      </c>
      <c r="C229" s="743" t="s">
        <v>485</v>
      </c>
      <c r="D229" s="744" t="s">
        <v>485</v>
      </c>
      <c r="E229" s="744" t="s">
        <v>485</v>
      </c>
      <c r="F229" s="357">
        <v>63311094</v>
      </c>
      <c r="G229" s="356">
        <v>13</v>
      </c>
      <c r="H229" s="356">
        <v>13</v>
      </c>
      <c r="I229" s="356">
        <v>4</v>
      </c>
      <c r="J229" s="356">
        <v>1</v>
      </c>
      <c r="K229" s="356">
        <v>12</v>
      </c>
      <c r="L229" s="356">
        <v>13</v>
      </c>
      <c r="M229" s="356">
        <v>8</v>
      </c>
      <c r="N229" s="356">
        <v>9</v>
      </c>
      <c r="O229" s="356">
        <v>13</v>
      </c>
      <c r="P229" s="356">
        <v>0</v>
      </c>
      <c r="Q229" s="356">
        <v>2</v>
      </c>
      <c r="R229" s="356">
        <v>9</v>
      </c>
      <c r="S229" s="356">
        <v>15</v>
      </c>
      <c r="T229" s="356">
        <v>12</v>
      </c>
      <c r="U229" s="356">
        <v>5</v>
      </c>
      <c r="V229" s="356">
        <v>5</v>
      </c>
      <c r="W229" s="356">
        <v>9</v>
      </c>
      <c r="X229" s="356">
        <v>13</v>
      </c>
      <c r="Y229" s="356">
        <v>1</v>
      </c>
      <c r="Z229" s="356">
        <v>15</v>
      </c>
      <c r="AA229" s="356">
        <v>12</v>
      </c>
      <c r="AB229" s="356">
        <v>13</v>
      </c>
      <c r="AC229" s="356">
        <v>6</v>
      </c>
      <c r="AD229" s="356">
        <v>1</v>
      </c>
      <c r="AE229" s="356">
        <v>12</v>
      </c>
      <c r="AF229" s="356">
        <v>3</v>
      </c>
      <c r="AG229" s="356">
        <v>3</v>
      </c>
      <c r="AH229" s="356">
        <v>9</v>
      </c>
      <c r="AI229" s="356">
        <v>4</v>
      </c>
      <c r="AJ229" s="356">
        <v>7</v>
      </c>
      <c r="AK229" s="356">
        <v>6</v>
      </c>
      <c r="AL229" s="356">
        <v>5</v>
      </c>
      <c r="AM229" s="356">
        <v>9</v>
      </c>
      <c r="AN229" s="356">
        <v>1</v>
      </c>
      <c r="AO229" s="356">
        <v>6</v>
      </c>
      <c r="AP229" s="356">
        <v>3</v>
      </c>
      <c r="AQ229" s="356">
        <v>10</v>
      </c>
      <c r="AR229" s="356">
        <v>2</v>
      </c>
      <c r="AS229" s="356">
        <v>8</v>
      </c>
      <c r="AT229" s="356">
        <v>2</v>
      </c>
      <c r="AU229" s="356">
        <v>0</v>
      </c>
      <c r="AV229" s="356">
        <v>6</v>
      </c>
      <c r="AW229" s="356">
        <v>0</v>
      </c>
      <c r="AX229" s="356">
        <v>15</v>
      </c>
      <c r="AY229" s="356">
        <v>9</v>
      </c>
      <c r="AZ229" s="356">
        <v>5</v>
      </c>
      <c r="BA229" s="356">
        <v>11</v>
      </c>
      <c r="BB229" s="356">
        <v>15</v>
      </c>
      <c r="BD229" s="353">
        <f t="shared" si="12"/>
        <v>49</v>
      </c>
      <c r="BE229" s="353">
        <f t="shared" si="13"/>
        <v>118</v>
      </c>
      <c r="BF229" s="353">
        <f t="shared" si="14"/>
        <v>60</v>
      </c>
      <c r="BG229" s="353">
        <f t="shared" si="15"/>
        <v>105</v>
      </c>
    </row>
    <row r="230" spans="2:59">
      <c r="B230" s="354">
        <v>222</v>
      </c>
      <c r="C230" s="743" t="s">
        <v>484</v>
      </c>
      <c r="D230" s="744" t="s">
        <v>484</v>
      </c>
      <c r="E230" s="744" t="s">
        <v>484</v>
      </c>
      <c r="F230" s="357">
        <v>1098646986</v>
      </c>
      <c r="G230" s="356">
        <v>7</v>
      </c>
      <c r="H230" s="356">
        <v>11</v>
      </c>
      <c r="I230" s="356">
        <v>7</v>
      </c>
      <c r="J230" s="356">
        <v>4</v>
      </c>
      <c r="K230" s="356">
        <v>2</v>
      </c>
      <c r="L230" s="356">
        <v>7</v>
      </c>
      <c r="M230" s="356">
        <v>5</v>
      </c>
      <c r="N230" s="356">
        <v>5</v>
      </c>
      <c r="O230" s="356">
        <v>8</v>
      </c>
      <c r="P230" s="356">
        <v>14</v>
      </c>
      <c r="Q230" s="356">
        <v>15</v>
      </c>
      <c r="R230" s="356">
        <v>4</v>
      </c>
      <c r="S230" s="356">
        <v>1</v>
      </c>
      <c r="T230" s="356">
        <v>5</v>
      </c>
      <c r="U230" s="356">
        <v>10</v>
      </c>
      <c r="V230" s="356">
        <v>2</v>
      </c>
      <c r="W230" s="356">
        <v>14</v>
      </c>
      <c r="X230" s="356">
        <v>12</v>
      </c>
      <c r="Y230" s="356">
        <v>0</v>
      </c>
      <c r="Z230" s="356">
        <v>12</v>
      </c>
      <c r="AA230" s="356">
        <v>13</v>
      </c>
      <c r="AB230" s="356">
        <v>2</v>
      </c>
      <c r="AC230" s="356">
        <v>3</v>
      </c>
      <c r="AD230" s="356">
        <v>1</v>
      </c>
      <c r="AE230" s="356">
        <v>5</v>
      </c>
      <c r="AF230" s="356">
        <v>7</v>
      </c>
      <c r="AG230" s="356">
        <v>10</v>
      </c>
      <c r="AH230" s="356">
        <v>3</v>
      </c>
      <c r="AI230" s="356">
        <v>9</v>
      </c>
      <c r="AJ230" s="356">
        <v>4</v>
      </c>
      <c r="AK230" s="356">
        <v>13</v>
      </c>
      <c r="AL230" s="356">
        <v>8</v>
      </c>
      <c r="AM230" s="356">
        <v>2</v>
      </c>
      <c r="AN230" s="356">
        <v>12</v>
      </c>
      <c r="AO230" s="356">
        <v>10</v>
      </c>
      <c r="AP230" s="356">
        <v>5</v>
      </c>
      <c r="AQ230" s="356">
        <v>4</v>
      </c>
      <c r="AR230" s="356">
        <v>12</v>
      </c>
      <c r="AS230" s="356">
        <v>6</v>
      </c>
      <c r="AT230" s="356">
        <v>9</v>
      </c>
      <c r="AU230" s="356">
        <v>3</v>
      </c>
      <c r="AV230" s="356">
        <v>0</v>
      </c>
      <c r="AW230" s="356">
        <v>0</v>
      </c>
      <c r="AX230" s="356">
        <v>11</v>
      </c>
      <c r="AY230" s="356">
        <v>7</v>
      </c>
      <c r="AZ230" s="356">
        <v>10</v>
      </c>
      <c r="BA230" s="356">
        <v>15</v>
      </c>
      <c r="BB230" s="356">
        <v>11</v>
      </c>
      <c r="BD230" s="353">
        <f t="shared" si="12"/>
        <v>79</v>
      </c>
      <c r="BE230" s="353">
        <f t="shared" si="13"/>
        <v>75</v>
      </c>
      <c r="BF230" s="353">
        <f t="shared" si="14"/>
        <v>94</v>
      </c>
      <c r="BG230" s="353">
        <f t="shared" si="15"/>
        <v>68</v>
      </c>
    </row>
    <row r="231" spans="2:59">
      <c r="B231" s="354">
        <v>223</v>
      </c>
      <c r="C231" s="743" t="s">
        <v>483</v>
      </c>
      <c r="D231" s="744" t="s">
        <v>483</v>
      </c>
      <c r="E231" s="744" t="s">
        <v>483</v>
      </c>
      <c r="F231" s="357">
        <v>1098362693</v>
      </c>
      <c r="G231" s="356">
        <v>11</v>
      </c>
      <c r="H231" s="356">
        <v>8</v>
      </c>
      <c r="I231" s="356">
        <v>13</v>
      </c>
      <c r="J231" s="356">
        <v>11</v>
      </c>
      <c r="K231" s="356">
        <v>7</v>
      </c>
      <c r="L231" s="356">
        <v>11</v>
      </c>
      <c r="M231" s="356">
        <v>13</v>
      </c>
      <c r="N231" s="356">
        <v>4</v>
      </c>
      <c r="O231" s="356">
        <v>13</v>
      </c>
      <c r="P231" s="356">
        <v>9</v>
      </c>
      <c r="Q231" s="356">
        <v>12</v>
      </c>
      <c r="R231" s="356">
        <v>15</v>
      </c>
      <c r="S231" s="356">
        <v>1</v>
      </c>
      <c r="T231" s="356">
        <v>2</v>
      </c>
      <c r="U231" s="356">
        <v>10</v>
      </c>
      <c r="V231" s="356">
        <v>9</v>
      </c>
      <c r="W231" s="356">
        <v>11</v>
      </c>
      <c r="X231" s="356">
        <v>15</v>
      </c>
      <c r="Y231" s="356">
        <v>5</v>
      </c>
      <c r="Z231" s="356">
        <v>1</v>
      </c>
      <c r="AA231" s="356">
        <v>15</v>
      </c>
      <c r="AB231" s="356">
        <v>6</v>
      </c>
      <c r="AC231" s="356">
        <v>7</v>
      </c>
      <c r="AD231" s="356">
        <v>5</v>
      </c>
      <c r="AE231" s="356">
        <v>10</v>
      </c>
      <c r="AF231" s="356">
        <v>15</v>
      </c>
      <c r="AG231" s="356">
        <v>14</v>
      </c>
      <c r="AH231" s="356">
        <v>1</v>
      </c>
      <c r="AI231" s="356">
        <v>6</v>
      </c>
      <c r="AJ231" s="356">
        <v>10</v>
      </c>
      <c r="AK231" s="356">
        <v>14</v>
      </c>
      <c r="AL231" s="356">
        <v>0</v>
      </c>
      <c r="AM231" s="356">
        <v>9</v>
      </c>
      <c r="AN231" s="356">
        <v>14</v>
      </c>
      <c r="AO231" s="356">
        <v>8</v>
      </c>
      <c r="AP231" s="356">
        <v>8</v>
      </c>
      <c r="AQ231" s="356">
        <v>6</v>
      </c>
      <c r="AR231" s="356">
        <v>3</v>
      </c>
      <c r="AS231" s="356">
        <v>6</v>
      </c>
      <c r="AT231" s="356">
        <v>7</v>
      </c>
      <c r="AU231" s="356">
        <v>3</v>
      </c>
      <c r="AV231" s="356">
        <v>5</v>
      </c>
      <c r="AW231" s="356">
        <v>7</v>
      </c>
      <c r="AX231" s="356">
        <v>5</v>
      </c>
      <c r="AY231" s="356">
        <v>0</v>
      </c>
      <c r="AZ231" s="356">
        <v>3</v>
      </c>
      <c r="BA231" s="356">
        <v>15</v>
      </c>
      <c r="BB231" s="356">
        <v>9</v>
      </c>
      <c r="BD231" s="353">
        <f t="shared" si="12"/>
        <v>109</v>
      </c>
      <c r="BE231" s="353">
        <f t="shared" si="13"/>
        <v>92</v>
      </c>
      <c r="BF231" s="353">
        <f t="shared" si="14"/>
        <v>124</v>
      </c>
      <c r="BG231" s="353">
        <f t="shared" si="15"/>
        <v>81</v>
      </c>
    </row>
    <row r="232" spans="2:59">
      <c r="B232" s="354">
        <v>224</v>
      </c>
      <c r="C232" s="743" t="s">
        <v>482</v>
      </c>
      <c r="D232" s="744" t="s">
        <v>482</v>
      </c>
      <c r="E232" s="744" t="s">
        <v>482</v>
      </c>
      <c r="F232" s="357">
        <v>1097784443</v>
      </c>
      <c r="G232" s="356">
        <v>6</v>
      </c>
      <c r="H232" s="356">
        <v>11</v>
      </c>
      <c r="I232" s="356">
        <v>11</v>
      </c>
      <c r="J232" s="356">
        <v>7</v>
      </c>
      <c r="K232" s="356">
        <v>10</v>
      </c>
      <c r="L232" s="356">
        <v>2</v>
      </c>
      <c r="M232" s="356">
        <v>10</v>
      </c>
      <c r="N232" s="356">
        <v>0</v>
      </c>
      <c r="O232" s="356">
        <v>5</v>
      </c>
      <c r="P232" s="356">
        <v>5</v>
      </c>
      <c r="Q232" s="356">
        <v>9</v>
      </c>
      <c r="R232" s="356">
        <v>1</v>
      </c>
      <c r="S232" s="356">
        <v>13</v>
      </c>
      <c r="T232" s="356">
        <v>2</v>
      </c>
      <c r="U232" s="356">
        <v>3</v>
      </c>
      <c r="V232" s="356">
        <v>14</v>
      </c>
      <c r="W232" s="356">
        <v>0</v>
      </c>
      <c r="X232" s="356">
        <v>12</v>
      </c>
      <c r="Y232" s="356">
        <v>7</v>
      </c>
      <c r="Z232" s="356">
        <v>1</v>
      </c>
      <c r="AA232" s="356">
        <v>5</v>
      </c>
      <c r="AB232" s="356">
        <v>12</v>
      </c>
      <c r="AC232" s="356">
        <v>13</v>
      </c>
      <c r="AD232" s="356">
        <v>9</v>
      </c>
      <c r="AE232" s="356">
        <v>8</v>
      </c>
      <c r="AF232" s="356">
        <v>10</v>
      </c>
      <c r="AG232" s="356">
        <v>6</v>
      </c>
      <c r="AH232" s="356">
        <v>0</v>
      </c>
      <c r="AI232" s="356">
        <v>0</v>
      </c>
      <c r="AJ232" s="356">
        <v>8</v>
      </c>
      <c r="AK232" s="356">
        <v>11</v>
      </c>
      <c r="AL232" s="356">
        <v>5</v>
      </c>
      <c r="AM232" s="356">
        <v>2</v>
      </c>
      <c r="AN232" s="356">
        <v>3</v>
      </c>
      <c r="AO232" s="356">
        <v>6</v>
      </c>
      <c r="AP232" s="356">
        <v>6</v>
      </c>
      <c r="AQ232" s="356">
        <v>9</v>
      </c>
      <c r="AR232" s="356">
        <v>10</v>
      </c>
      <c r="AS232" s="356">
        <v>13</v>
      </c>
      <c r="AT232" s="356">
        <v>12</v>
      </c>
      <c r="AU232" s="356">
        <v>10</v>
      </c>
      <c r="AV232" s="356">
        <v>7</v>
      </c>
      <c r="AW232" s="356">
        <v>2</v>
      </c>
      <c r="AX232" s="356">
        <v>2</v>
      </c>
      <c r="AY232" s="356">
        <v>4</v>
      </c>
      <c r="AZ232" s="356">
        <v>1</v>
      </c>
      <c r="BA232" s="356">
        <v>7</v>
      </c>
      <c r="BB232" s="356">
        <v>2</v>
      </c>
      <c r="BD232" s="353">
        <f t="shared" si="12"/>
        <v>91</v>
      </c>
      <c r="BE232" s="353">
        <f t="shared" si="13"/>
        <v>72</v>
      </c>
      <c r="BF232" s="353">
        <f t="shared" si="14"/>
        <v>98</v>
      </c>
      <c r="BG232" s="353">
        <f t="shared" si="15"/>
        <v>66</v>
      </c>
    </row>
    <row r="233" spans="2:59">
      <c r="B233" s="354">
        <v>225</v>
      </c>
      <c r="C233" s="743" t="s">
        <v>481</v>
      </c>
      <c r="D233" s="744" t="s">
        <v>481</v>
      </c>
      <c r="E233" s="744" t="s">
        <v>481</v>
      </c>
      <c r="F233" s="357">
        <v>1097118163</v>
      </c>
      <c r="G233" s="356">
        <v>9</v>
      </c>
      <c r="H233" s="356">
        <v>5</v>
      </c>
      <c r="I233" s="356">
        <v>8</v>
      </c>
      <c r="J233" s="356">
        <v>6</v>
      </c>
      <c r="K233" s="356">
        <v>5</v>
      </c>
      <c r="L233" s="356">
        <v>14</v>
      </c>
      <c r="M233" s="356">
        <v>13</v>
      </c>
      <c r="N233" s="356">
        <v>9</v>
      </c>
      <c r="O233" s="356">
        <v>1</v>
      </c>
      <c r="P233" s="356">
        <v>15</v>
      </c>
      <c r="Q233" s="356">
        <v>1</v>
      </c>
      <c r="R233" s="356">
        <v>15</v>
      </c>
      <c r="S233" s="356">
        <v>13</v>
      </c>
      <c r="T233" s="356">
        <v>1</v>
      </c>
      <c r="U233" s="356">
        <v>7</v>
      </c>
      <c r="V233" s="356">
        <v>15</v>
      </c>
      <c r="W233" s="356">
        <v>2</v>
      </c>
      <c r="X233" s="356">
        <v>6</v>
      </c>
      <c r="Y233" s="356">
        <v>15</v>
      </c>
      <c r="Z233" s="356">
        <v>6</v>
      </c>
      <c r="AA233" s="356">
        <v>11</v>
      </c>
      <c r="AB233" s="356">
        <v>1</v>
      </c>
      <c r="AC233" s="356">
        <v>4</v>
      </c>
      <c r="AD233" s="356">
        <v>9</v>
      </c>
      <c r="AE233" s="356">
        <v>14</v>
      </c>
      <c r="AF233" s="356">
        <v>13</v>
      </c>
      <c r="AG233" s="356">
        <v>7</v>
      </c>
      <c r="AH233" s="356">
        <v>7</v>
      </c>
      <c r="AI233" s="356">
        <v>2</v>
      </c>
      <c r="AJ233" s="356">
        <v>8</v>
      </c>
      <c r="AK233" s="356">
        <v>13</v>
      </c>
      <c r="AL233" s="356">
        <v>2</v>
      </c>
      <c r="AM233" s="356">
        <v>4</v>
      </c>
      <c r="AN233" s="356">
        <v>12</v>
      </c>
      <c r="AO233" s="356">
        <v>3</v>
      </c>
      <c r="AP233" s="356">
        <v>5</v>
      </c>
      <c r="AQ233" s="356">
        <v>0</v>
      </c>
      <c r="AR233" s="356">
        <v>10</v>
      </c>
      <c r="AS233" s="356">
        <v>8</v>
      </c>
      <c r="AT233" s="356">
        <v>0</v>
      </c>
      <c r="AU233" s="356">
        <v>2</v>
      </c>
      <c r="AV233" s="356">
        <v>10</v>
      </c>
      <c r="AW233" s="356">
        <v>5</v>
      </c>
      <c r="AX233" s="356">
        <v>14</v>
      </c>
      <c r="AY233" s="356">
        <v>7</v>
      </c>
      <c r="AZ233" s="356">
        <v>11</v>
      </c>
      <c r="BA233" s="356">
        <v>1</v>
      </c>
      <c r="BB233" s="356">
        <v>15</v>
      </c>
      <c r="BD233" s="353">
        <f t="shared" si="12"/>
        <v>84</v>
      </c>
      <c r="BE233" s="353">
        <f t="shared" si="13"/>
        <v>70</v>
      </c>
      <c r="BF233" s="353">
        <f t="shared" si="14"/>
        <v>85</v>
      </c>
      <c r="BG233" s="353">
        <f t="shared" si="15"/>
        <v>61</v>
      </c>
    </row>
    <row r="234" spans="2:59">
      <c r="B234" s="354">
        <v>226</v>
      </c>
      <c r="C234" s="743" t="s">
        <v>480</v>
      </c>
      <c r="D234" s="744" t="s">
        <v>480</v>
      </c>
      <c r="E234" s="744" t="s">
        <v>480</v>
      </c>
      <c r="F234" s="357">
        <v>91538154</v>
      </c>
      <c r="G234" s="356">
        <v>7</v>
      </c>
      <c r="H234" s="356">
        <v>13</v>
      </c>
      <c r="I234" s="356">
        <v>13</v>
      </c>
      <c r="J234" s="356">
        <v>6</v>
      </c>
      <c r="K234" s="356">
        <v>2</v>
      </c>
      <c r="L234" s="356">
        <v>3</v>
      </c>
      <c r="M234" s="356">
        <v>5</v>
      </c>
      <c r="N234" s="356">
        <v>3</v>
      </c>
      <c r="O234" s="356">
        <v>12</v>
      </c>
      <c r="P234" s="356">
        <v>0</v>
      </c>
      <c r="Q234" s="356">
        <v>6</v>
      </c>
      <c r="R234" s="356">
        <v>10</v>
      </c>
      <c r="S234" s="356">
        <v>0</v>
      </c>
      <c r="T234" s="356">
        <v>4</v>
      </c>
      <c r="U234" s="356">
        <v>7</v>
      </c>
      <c r="V234" s="356">
        <v>11</v>
      </c>
      <c r="W234" s="356">
        <v>5</v>
      </c>
      <c r="X234" s="356">
        <v>4</v>
      </c>
      <c r="Y234" s="356">
        <v>9</v>
      </c>
      <c r="Z234" s="356">
        <v>8</v>
      </c>
      <c r="AA234" s="356">
        <v>2</v>
      </c>
      <c r="AB234" s="356">
        <v>9</v>
      </c>
      <c r="AC234" s="356">
        <v>10</v>
      </c>
      <c r="AD234" s="356">
        <v>6</v>
      </c>
      <c r="AE234" s="356">
        <v>14</v>
      </c>
      <c r="AF234" s="356">
        <v>11</v>
      </c>
      <c r="AG234" s="356">
        <v>10</v>
      </c>
      <c r="AH234" s="356">
        <v>1</v>
      </c>
      <c r="AI234" s="356">
        <v>1</v>
      </c>
      <c r="AJ234" s="356">
        <v>1</v>
      </c>
      <c r="AK234" s="356">
        <v>9</v>
      </c>
      <c r="AL234" s="356">
        <v>1</v>
      </c>
      <c r="AM234" s="356">
        <v>5</v>
      </c>
      <c r="AN234" s="356">
        <v>6</v>
      </c>
      <c r="AO234" s="356">
        <v>11</v>
      </c>
      <c r="AP234" s="356">
        <v>14</v>
      </c>
      <c r="AQ234" s="356">
        <v>12</v>
      </c>
      <c r="AR234" s="356">
        <v>11</v>
      </c>
      <c r="AS234" s="356">
        <v>10</v>
      </c>
      <c r="AT234" s="356">
        <v>7</v>
      </c>
      <c r="AU234" s="356">
        <v>6</v>
      </c>
      <c r="AV234" s="356">
        <v>13</v>
      </c>
      <c r="AW234" s="356">
        <v>10</v>
      </c>
      <c r="AX234" s="356">
        <v>10</v>
      </c>
      <c r="AY234" s="356">
        <v>7</v>
      </c>
      <c r="AZ234" s="356">
        <v>1</v>
      </c>
      <c r="BA234" s="356">
        <v>1</v>
      </c>
      <c r="BB234" s="356">
        <v>12</v>
      </c>
      <c r="BD234" s="353">
        <f t="shared" si="12"/>
        <v>100</v>
      </c>
      <c r="BE234" s="353">
        <f t="shared" si="13"/>
        <v>73</v>
      </c>
      <c r="BF234" s="353">
        <f t="shared" si="14"/>
        <v>101</v>
      </c>
      <c r="BG234" s="353">
        <f t="shared" si="15"/>
        <v>66</v>
      </c>
    </row>
    <row r="235" spans="2:59">
      <c r="B235" s="354">
        <v>227</v>
      </c>
      <c r="C235" s="743" t="s">
        <v>479</v>
      </c>
      <c r="D235" s="744" t="s">
        <v>479</v>
      </c>
      <c r="E235" s="744" t="s">
        <v>479</v>
      </c>
      <c r="F235" s="357">
        <v>1095906369</v>
      </c>
      <c r="G235" s="356">
        <v>2</v>
      </c>
      <c r="H235" s="356">
        <v>9</v>
      </c>
      <c r="I235" s="356">
        <v>5</v>
      </c>
      <c r="J235" s="356">
        <v>3</v>
      </c>
      <c r="K235" s="356">
        <v>0</v>
      </c>
      <c r="L235" s="356">
        <v>3</v>
      </c>
      <c r="M235" s="356">
        <v>14</v>
      </c>
      <c r="N235" s="356">
        <v>4</v>
      </c>
      <c r="O235" s="356">
        <v>15</v>
      </c>
      <c r="P235" s="356">
        <v>13</v>
      </c>
      <c r="Q235" s="356">
        <v>11</v>
      </c>
      <c r="R235" s="356">
        <v>6</v>
      </c>
      <c r="S235" s="356">
        <v>6</v>
      </c>
      <c r="T235" s="356">
        <v>14</v>
      </c>
      <c r="U235" s="356">
        <v>0</v>
      </c>
      <c r="V235" s="356">
        <v>9</v>
      </c>
      <c r="W235" s="356">
        <v>6</v>
      </c>
      <c r="X235" s="356">
        <v>3</v>
      </c>
      <c r="Y235" s="356">
        <v>12</v>
      </c>
      <c r="Z235" s="356">
        <v>1</v>
      </c>
      <c r="AA235" s="356">
        <v>9</v>
      </c>
      <c r="AB235" s="356">
        <v>2</v>
      </c>
      <c r="AC235" s="356">
        <v>1</v>
      </c>
      <c r="AD235" s="356">
        <v>0</v>
      </c>
      <c r="AE235" s="356">
        <v>11</v>
      </c>
      <c r="AF235" s="356">
        <v>10</v>
      </c>
      <c r="AG235" s="356">
        <v>5</v>
      </c>
      <c r="AH235" s="356">
        <v>6</v>
      </c>
      <c r="AI235" s="356">
        <v>15</v>
      </c>
      <c r="AJ235" s="356">
        <v>12</v>
      </c>
      <c r="AK235" s="356">
        <v>8</v>
      </c>
      <c r="AL235" s="356">
        <v>2</v>
      </c>
      <c r="AM235" s="356">
        <v>7</v>
      </c>
      <c r="AN235" s="356">
        <v>14</v>
      </c>
      <c r="AO235" s="356">
        <v>7</v>
      </c>
      <c r="AP235" s="356">
        <v>14</v>
      </c>
      <c r="AQ235" s="356">
        <v>5</v>
      </c>
      <c r="AR235" s="356">
        <v>2</v>
      </c>
      <c r="AS235" s="356">
        <v>10</v>
      </c>
      <c r="AT235" s="356">
        <v>12</v>
      </c>
      <c r="AU235" s="356">
        <v>11</v>
      </c>
      <c r="AV235" s="356">
        <v>0</v>
      </c>
      <c r="AW235" s="356">
        <v>12</v>
      </c>
      <c r="AX235" s="356">
        <v>14</v>
      </c>
      <c r="AY235" s="356">
        <v>4</v>
      </c>
      <c r="AZ235" s="356">
        <v>11</v>
      </c>
      <c r="BA235" s="356">
        <v>10</v>
      </c>
      <c r="BB235" s="356">
        <v>6</v>
      </c>
      <c r="BD235" s="353">
        <f t="shared" si="12"/>
        <v>85</v>
      </c>
      <c r="BE235" s="353">
        <f t="shared" si="13"/>
        <v>91</v>
      </c>
      <c r="BF235" s="353">
        <f t="shared" si="14"/>
        <v>95</v>
      </c>
      <c r="BG235" s="353">
        <f t="shared" si="15"/>
        <v>89</v>
      </c>
    </row>
    <row r="236" spans="2:59">
      <c r="B236" s="354">
        <v>228</v>
      </c>
      <c r="C236" s="743" t="s">
        <v>478</v>
      </c>
      <c r="D236" s="744" t="s">
        <v>478</v>
      </c>
      <c r="E236" s="744" t="s">
        <v>478</v>
      </c>
      <c r="F236" s="357">
        <v>1095303016</v>
      </c>
      <c r="G236" s="356">
        <v>0</v>
      </c>
      <c r="H236" s="356">
        <v>4</v>
      </c>
      <c r="I236" s="356">
        <v>15</v>
      </c>
      <c r="J236" s="356">
        <v>15</v>
      </c>
      <c r="K236" s="356">
        <v>0</v>
      </c>
      <c r="L236" s="356">
        <v>2</v>
      </c>
      <c r="M236" s="356">
        <v>5</v>
      </c>
      <c r="N236" s="356">
        <v>10</v>
      </c>
      <c r="O236" s="356">
        <v>4</v>
      </c>
      <c r="P236" s="356">
        <v>5</v>
      </c>
      <c r="Q236" s="356">
        <v>2</v>
      </c>
      <c r="R236" s="356">
        <v>1</v>
      </c>
      <c r="S236" s="356">
        <v>10</v>
      </c>
      <c r="T236" s="356">
        <v>3</v>
      </c>
      <c r="U236" s="356">
        <v>8</v>
      </c>
      <c r="V236" s="356">
        <v>6</v>
      </c>
      <c r="W236" s="356">
        <v>12</v>
      </c>
      <c r="X236" s="356">
        <v>7</v>
      </c>
      <c r="Y236" s="356">
        <v>8</v>
      </c>
      <c r="Z236" s="356">
        <v>14</v>
      </c>
      <c r="AA236" s="356">
        <v>2</v>
      </c>
      <c r="AB236" s="356">
        <v>6</v>
      </c>
      <c r="AC236" s="356">
        <v>12</v>
      </c>
      <c r="AD236" s="356">
        <v>15</v>
      </c>
      <c r="AE236" s="356">
        <v>3</v>
      </c>
      <c r="AF236" s="356">
        <v>11</v>
      </c>
      <c r="AG236" s="356">
        <v>2</v>
      </c>
      <c r="AH236" s="356">
        <v>15</v>
      </c>
      <c r="AI236" s="356">
        <v>11</v>
      </c>
      <c r="AJ236" s="356">
        <v>8</v>
      </c>
      <c r="AK236" s="356">
        <v>11</v>
      </c>
      <c r="AL236" s="356">
        <v>12</v>
      </c>
      <c r="AM236" s="356">
        <v>10</v>
      </c>
      <c r="AN236" s="356">
        <v>12</v>
      </c>
      <c r="AO236" s="356">
        <v>10</v>
      </c>
      <c r="AP236" s="356">
        <v>6</v>
      </c>
      <c r="AQ236" s="356">
        <v>1</v>
      </c>
      <c r="AR236" s="356">
        <v>4</v>
      </c>
      <c r="AS236" s="356">
        <v>14</v>
      </c>
      <c r="AT236" s="356">
        <v>0</v>
      </c>
      <c r="AU236" s="356">
        <v>5</v>
      </c>
      <c r="AV236" s="356">
        <v>13</v>
      </c>
      <c r="AW236" s="356">
        <v>6</v>
      </c>
      <c r="AX236" s="356">
        <v>3</v>
      </c>
      <c r="AY236" s="356">
        <v>4</v>
      </c>
      <c r="AZ236" s="356">
        <v>1</v>
      </c>
      <c r="BA236" s="356">
        <v>10</v>
      </c>
      <c r="BB236" s="356">
        <v>2</v>
      </c>
      <c r="BD236" s="353">
        <f t="shared" si="12"/>
        <v>93</v>
      </c>
      <c r="BE236" s="353">
        <f t="shared" si="13"/>
        <v>62</v>
      </c>
      <c r="BF236" s="353">
        <f t="shared" si="14"/>
        <v>103</v>
      </c>
      <c r="BG236" s="353">
        <f t="shared" si="15"/>
        <v>62</v>
      </c>
    </row>
    <row r="237" spans="2:59">
      <c r="B237" s="354">
        <v>229</v>
      </c>
      <c r="C237" s="743" t="s">
        <v>477</v>
      </c>
      <c r="D237" s="744" t="s">
        <v>477</v>
      </c>
      <c r="E237" s="744" t="s">
        <v>477</v>
      </c>
      <c r="F237" s="357">
        <v>1095305906</v>
      </c>
      <c r="G237" s="356">
        <v>12</v>
      </c>
      <c r="H237" s="356">
        <v>8</v>
      </c>
      <c r="I237" s="356">
        <v>0</v>
      </c>
      <c r="J237" s="356">
        <v>7</v>
      </c>
      <c r="K237" s="356">
        <v>15</v>
      </c>
      <c r="L237" s="356">
        <v>12</v>
      </c>
      <c r="M237" s="356">
        <v>10</v>
      </c>
      <c r="N237" s="356">
        <v>5</v>
      </c>
      <c r="O237" s="356">
        <v>1</v>
      </c>
      <c r="P237" s="356">
        <v>8</v>
      </c>
      <c r="Q237" s="356">
        <v>7</v>
      </c>
      <c r="R237" s="356">
        <v>10</v>
      </c>
      <c r="S237" s="356">
        <v>8</v>
      </c>
      <c r="T237" s="356">
        <v>0</v>
      </c>
      <c r="U237" s="356">
        <v>3</v>
      </c>
      <c r="V237" s="356">
        <v>13</v>
      </c>
      <c r="W237" s="356">
        <v>8</v>
      </c>
      <c r="X237" s="356">
        <v>4</v>
      </c>
      <c r="Y237" s="356">
        <v>11</v>
      </c>
      <c r="Z237" s="356">
        <v>11</v>
      </c>
      <c r="AA237" s="356">
        <v>9</v>
      </c>
      <c r="AB237" s="356">
        <v>9</v>
      </c>
      <c r="AC237" s="356">
        <v>10</v>
      </c>
      <c r="AD237" s="356">
        <v>5</v>
      </c>
      <c r="AE237" s="356">
        <v>5</v>
      </c>
      <c r="AF237" s="356">
        <v>7</v>
      </c>
      <c r="AG237" s="356">
        <v>7</v>
      </c>
      <c r="AH237" s="356">
        <v>14</v>
      </c>
      <c r="AI237" s="356">
        <v>11</v>
      </c>
      <c r="AJ237" s="356">
        <v>3</v>
      </c>
      <c r="AK237" s="356">
        <v>0</v>
      </c>
      <c r="AL237" s="356">
        <v>3</v>
      </c>
      <c r="AM237" s="356">
        <v>13</v>
      </c>
      <c r="AN237" s="356">
        <v>14</v>
      </c>
      <c r="AO237" s="356">
        <v>5</v>
      </c>
      <c r="AP237" s="356">
        <v>11</v>
      </c>
      <c r="AQ237" s="356">
        <v>6</v>
      </c>
      <c r="AR237" s="356">
        <v>12</v>
      </c>
      <c r="AS237" s="356">
        <v>11</v>
      </c>
      <c r="AT237" s="356">
        <v>15</v>
      </c>
      <c r="AU237" s="356">
        <v>14</v>
      </c>
      <c r="AV237" s="356">
        <v>10</v>
      </c>
      <c r="AW237" s="356">
        <v>8</v>
      </c>
      <c r="AX237" s="356">
        <v>13</v>
      </c>
      <c r="AY237" s="356">
        <v>10</v>
      </c>
      <c r="AZ237" s="356">
        <v>6</v>
      </c>
      <c r="BA237" s="356">
        <v>8</v>
      </c>
      <c r="BB237" s="356">
        <v>14</v>
      </c>
      <c r="BD237" s="353">
        <f t="shared" si="12"/>
        <v>72</v>
      </c>
      <c r="BE237" s="353">
        <f t="shared" si="13"/>
        <v>112</v>
      </c>
      <c r="BF237" s="353">
        <f t="shared" si="14"/>
        <v>80</v>
      </c>
      <c r="BG237" s="353">
        <f t="shared" si="15"/>
        <v>100</v>
      </c>
    </row>
    <row r="238" spans="2:59">
      <c r="B238" s="354">
        <v>230</v>
      </c>
      <c r="C238" s="743" t="s">
        <v>476</v>
      </c>
      <c r="D238" s="744" t="s">
        <v>476</v>
      </c>
      <c r="E238" s="744" t="s">
        <v>476</v>
      </c>
      <c r="F238" s="357">
        <v>1042002656</v>
      </c>
      <c r="G238" s="356">
        <v>12</v>
      </c>
      <c r="H238" s="356">
        <v>6</v>
      </c>
      <c r="I238" s="356">
        <v>3</v>
      </c>
      <c r="J238" s="356">
        <v>13</v>
      </c>
      <c r="K238" s="356">
        <v>3</v>
      </c>
      <c r="L238" s="356">
        <v>13</v>
      </c>
      <c r="M238" s="356">
        <v>13</v>
      </c>
      <c r="N238" s="356">
        <v>4</v>
      </c>
      <c r="O238" s="356">
        <v>11</v>
      </c>
      <c r="P238" s="356">
        <v>10</v>
      </c>
      <c r="Q238" s="356">
        <v>3</v>
      </c>
      <c r="R238" s="356">
        <v>4</v>
      </c>
      <c r="S238" s="356">
        <v>9</v>
      </c>
      <c r="T238" s="356">
        <v>4</v>
      </c>
      <c r="U238" s="356">
        <v>1</v>
      </c>
      <c r="V238" s="356">
        <v>10</v>
      </c>
      <c r="W238" s="356">
        <v>6</v>
      </c>
      <c r="X238" s="356">
        <v>0</v>
      </c>
      <c r="Y238" s="356">
        <v>4</v>
      </c>
      <c r="Z238" s="356">
        <v>8</v>
      </c>
      <c r="AA238" s="356">
        <v>12</v>
      </c>
      <c r="AB238" s="356">
        <v>2</v>
      </c>
      <c r="AC238" s="356">
        <v>14</v>
      </c>
      <c r="AD238" s="356">
        <v>9</v>
      </c>
      <c r="AE238" s="356">
        <v>6</v>
      </c>
      <c r="AF238" s="356">
        <v>6</v>
      </c>
      <c r="AG238" s="356">
        <v>12</v>
      </c>
      <c r="AH238" s="356">
        <v>4</v>
      </c>
      <c r="AI238" s="356">
        <v>6</v>
      </c>
      <c r="AJ238" s="356">
        <v>1</v>
      </c>
      <c r="AK238" s="356">
        <v>6</v>
      </c>
      <c r="AL238" s="356">
        <v>15</v>
      </c>
      <c r="AM238" s="356">
        <v>13</v>
      </c>
      <c r="AN238" s="356">
        <v>14</v>
      </c>
      <c r="AO238" s="356">
        <v>11</v>
      </c>
      <c r="AP238" s="356">
        <v>6</v>
      </c>
      <c r="AQ238" s="356">
        <v>4</v>
      </c>
      <c r="AR238" s="356">
        <v>6</v>
      </c>
      <c r="AS238" s="356">
        <v>8</v>
      </c>
      <c r="AT238" s="356">
        <v>11</v>
      </c>
      <c r="AU238" s="356">
        <v>5</v>
      </c>
      <c r="AV238" s="356">
        <v>14</v>
      </c>
      <c r="AW238" s="356">
        <v>8</v>
      </c>
      <c r="AX238" s="356">
        <v>2</v>
      </c>
      <c r="AY238" s="356">
        <v>10</v>
      </c>
      <c r="AZ238" s="356">
        <v>10</v>
      </c>
      <c r="BA238" s="356">
        <v>5</v>
      </c>
      <c r="BB238" s="356">
        <v>1</v>
      </c>
      <c r="BD238" s="353">
        <f t="shared" si="12"/>
        <v>83</v>
      </c>
      <c r="BE238" s="353">
        <f t="shared" si="13"/>
        <v>97</v>
      </c>
      <c r="BF238" s="353">
        <f t="shared" si="14"/>
        <v>88</v>
      </c>
      <c r="BG238" s="353">
        <f t="shared" si="15"/>
        <v>85</v>
      </c>
    </row>
    <row r="239" spans="2:59">
      <c r="B239" s="354">
        <v>231</v>
      </c>
      <c r="C239" s="743" t="s">
        <v>475</v>
      </c>
      <c r="D239" s="744" t="s">
        <v>475</v>
      </c>
      <c r="E239" s="744" t="s">
        <v>475</v>
      </c>
      <c r="F239" s="357">
        <v>1096183003</v>
      </c>
      <c r="G239" s="356">
        <v>9</v>
      </c>
      <c r="H239" s="356">
        <v>10</v>
      </c>
      <c r="I239" s="356">
        <v>6</v>
      </c>
      <c r="J239" s="356">
        <v>9</v>
      </c>
      <c r="K239" s="356">
        <v>0</v>
      </c>
      <c r="L239" s="356">
        <v>14</v>
      </c>
      <c r="M239" s="356">
        <v>11</v>
      </c>
      <c r="N239" s="356">
        <v>0</v>
      </c>
      <c r="O239" s="356">
        <v>12</v>
      </c>
      <c r="P239" s="356">
        <v>11</v>
      </c>
      <c r="Q239" s="356">
        <v>11</v>
      </c>
      <c r="R239" s="356">
        <v>11</v>
      </c>
      <c r="S239" s="356">
        <v>1</v>
      </c>
      <c r="T239" s="356">
        <v>4</v>
      </c>
      <c r="U239" s="356">
        <v>0</v>
      </c>
      <c r="V239" s="356">
        <v>4</v>
      </c>
      <c r="W239" s="356">
        <v>6</v>
      </c>
      <c r="X239" s="356">
        <v>3</v>
      </c>
      <c r="Y239" s="356">
        <v>8</v>
      </c>
      <c r="Z239" s="356">
        <v>6</v>
      </c>
      <c r="AA239" s="356">
        <v>5</v>
      </c>
      <c r="AB239" s="356">
        <v>11</v>
      </c>
      <c r="AC239" s="356">
        <v>5</v>
      </c>
      <c r="AD239" s="356">
        <v>11</v>
      </c>
      <c r="AE239" s="356">
        <v>0</v>
      </c>
      <c r="AF239" s="356">
        <v>14</v>
      </c>
      <c r="AG239" s="356">
        <v>10</v>
      </c>
      <c r="AH239" s="356">
        <v>6</v>
      </c>
      <c r="AI239" s="356">
        <v>5</v>
      </c>
      <c r="AJ239" s="356">
        <v>2</v>
      </c>
      <c r="AK239" s="356">
        <v>6</v>
      </c>
      <c r="AL239" s="356">
        <v>8</v>
      </c>
      <c r="AM239" s="356">
        <v>11</v>
      </c>
      <c r="AN239" s="356">
        <v>12</v>
      </c>
      <c r="AO239" s="356">
        <v>15</v>
      </c>
      <c r="AP239" s="356">
        <v>5</v>
      </c>
      <c r="AQ239" s="356">
        <v>5</v>
      </c>
      <c r="AR239" s="356">
        <v>9</v>
      </c>
      <c r="AS239" s="356">
        <v>15</v>
      </c>
      <c r="AT239" s="356">
        <v>3</v>
      </c>
      <c r="AU239" s="356">
        <v>9</v>
      </c>
      <c r="AV239" s="356">
        <v>0</v>
      </c>
      <c r="AW239" s="356">
        <v>9</v>
      </c>
      <c r="AX239" s="356">
        <v>5</v>
      </c>
      <c r="AY239" s="356">
        <v>7</v>
      </c>
      <c r="AZ239" s="356">
        <v>4</v>
      </c>
      <c r="BA239" s="356">
        <v>3</v>
      </c>
      <c r="BB239" s="356">
        <v>4</v>
      </c>
      <c r="BD239" s="353">
        <f t="shared" si="12"/>
        <v>96</v>
      </c>
      <c r="BE239" s="353">
        <f t="shared" si="13"/>
        <v>70</v>
      </c>
      <c r="BF239" s="353">
        <f t="shared" si="14"/>
        <v>99</v>
      </c>
      <c r="BG239" s="353">
        <f t="shared" si="15"/>
        <v>61</v>
      </c>
    </row>
    <row r="240" spans="2:59">
      <c r="B240" s="354">
        <v>232</v>
      </c>
      <c r="C240" s="743" t="s">
        <v>474</v>
      </c>
      <c r="D240" s="744" t="s">
        <v>474</v>
      </c>
      <c r="E240" s="744" t="s">
        <v>474</v>
      </c>
      <c r="F240" s="357">
        <v>1042003093</v>
      </c>
      <c r="G240" s="356">
        <v>5</v>
      </c>
      <c r="H240" s="356">
        <v>14</v>
      </c>
      <c r="I240" s="356">
        <v>9</v>
      </c>
      <c r="J240" s="356">
        <v>12</v>
      </c>
      <c r="K240" s="356">
        <v>14</v>
      </c>
      <c r="L240" s="356">
        <v>6</v>
      </c>
      <c r="M240" s="356">
        <v>6</v>
      </c>
      <c r="N240" s="356">
        <v>10</v>
      </c>
      <c r="O240" s="356">
        <v>14</v>
      </c>
      <c r="P240" s="356">
        <v>8</v>
      </c>
      <c r="Q240" s="356">
        <v>9</v>
      </c>
      <c r="R240" s="356">
        <v>15</v>
      </c>
      <c r="S240" s="356">
        <v>7</v>
      </c>
      <c r="T240" s="356">
        <v>15</v>
      </c>
      <c r="U240" s="356">
        <v>7</v>
      </c>
      <c r="V240" s="356">
        <v>0</v>
      </c>
      <c r="W240" s="356">
        <v>7</v>
      </c>
      <c r="X240" s="356">
        <v>9</v>
      </c>
      <c r="Y240" s="356">
        <v>7</v>
      </c>
      <c r="Z240" s="356">
        <v>1</v>
      </c>
      <c r="AA240" s="356">
        <v>12</v>
      </c>
      <c r="AB240" s="356">
        <v>13</v>
      </c>
      <c r="AC240" s="356">
        <v>12</v>
      </c>
      <c r="AD240" s="356">
        <v>13</v>
      </c>
      <c r="AE240" s="356">
        <v>13</v>
      </c>
      <c r="AF240" s="356">
        <v>0</v>
      </c>
      <c r="AG240" s="356">
        <v>13</v>
      </c>
      <c r="AH240" s="356">
        <v>6</v>
      </c>
      <c r="AI240" s="356">
        <v>6</v>
      </c>
      <c r="AJ240" s="356">
        <v>11</v>
      </c>
      <c r="AK240" s="356">
        <v>15</v>
      </c>
      <c r="AL240" s="356">
        <v>3</v>
      </c>
      <c r="AM240" s="356">
        <v>11</v>
      </c>
      <c r="AN240" s="356">
        <v>8</v>
      </c>
      <c r="AO240" s="356">
        <v>1</v>
      </c>
      <c r="AP240" s="356">
        <v>5</v>
      </c>
      <c r="AQ240" s="356">
        <v>8</v>
      </c>
      <c r="AR240" s="356">
        <v>1</v>
      </c>
      <c r="AS240" s="356">
        <v>8</v>
      </c>
      <c r="AT240" s="356">
        <v>12</v>
      </c>
      <c r="AU240" s="356">
        <v>10</v>
      </c>
      <c r="AV240" s="356">
        <v>1</v>
      </c>
      <c r="AW240" s="356">
        <v>8</v>
      </c>
      <c r="AX240" s="356">
        <v>2</v>
      </c>
      <c r="AY240" s="356">
        <v>10</v>
      </c>
      <c r="AZ240" s="356">
        <v>3</v>
      </c>
      <c r="BA240" s="356">
        <v>5</v>
      </c>
      <c r="BB240" s="356">
        <v>10</v>
      </c>
      <c r="BD240" s="353">
        <f t="shared" si="12"/>
        <v>95</v>
      </c>
      <c r="BE240" s="353">
        <f t="shared" si="13"/>
        <v>117</v>
      </c>
      <c r="BF240" s="353">
        <f t="shared" si="14"/>
        <v>100</v>
      </c>
      <c r="BG240" s="353">
        <f t="shared" si="15"/>
        <v>112</v>
      </c>
    </row>
    <row r="241" spans="2:59">
      <c r="B241" s="354">
        <v>233</v>
      </c>
      <c r="C241" s="743" t="s">
        <v>473</v>
      </c>
      <c r="D241" s="744" t="s">
        <v>473</v>
      </c>
      <c r="E241" s="744" t="s">
        <v>473</v>
      </c>
      <c r="F241" s="357">
        <v>1099371525</v>
      </c>
      <c r="G241" s="356">
        <v>13</v>
      </c>
      <c r="H241" s="356">
        <v>5</v>
      </c>
      <c r="I241" s="356">
        <v>10</v>
      </c>
      <c r="J241" s="356">
        <v>2</v>
      </c>
      <c r="K241" s="356">
        <v>15</v>
      </c>
      <c r="L241" s="356">
        <v>9</v>
      </c>
      <c r="M241" s="356">
        <v>9</v>
      </c>
      <c r="N241" s="356">
        <v>5</v>
      </c>
      <c r="O241" s="356">
        <v>10</v>
      </c>
      <c r="P241" s="356">
        <v>4</v>
      </c>
      <c r="Q241" s="356">
        <v>9</v>
      </c>
      <c r="R241" s="356">
        <v>4</v>
      </c>
      <c r="S241" s="356">
        <v>5</v>
      </c>
      <c r="T241" s="356">
        <v>6</v>
      </c>
      <c r="U241" s="356">
        <v>0</v>
      </c>
      <c r="V241" s="356">
        <v>5</v>
      </c>
      <c r="W241" s="356">
        <v>8</v>
      </c>
      <c r="X241" s="356">
        <v>11</v>
      </c>
      <c r="Y241" s="356">
        <v>12</v>
      </c>
      <c r="Z241" s="356">
        <v>11</v>
      </c>
      <c r="AA241" s="356">
        <v>9</v>
      </c>
      <c r="AB241" s="356">
        <v>3</v>
      </c>
      <c r="AC241" s="356">
        <v>7</v>
      </c>
      <c r="AD241" s="356">
        <v>4</v>
      </c>
      <c r="AE241" s="356">
        <v>2</v>
      </c>
      <c r="AF241" s="356">
        <v>9</v>
      </c>
      <c r="AG241" s="356">
        <v>5</v>
      </c>
      <c r="AH241" s="356">
        <v>5</v>
      </c>
      <c r="AI241" s="356">
        <v>3</v>
      </c>
      <c r="AJ241" s="356">
        <v>1</v>
      </c>
      <c r="AK241" s="356">
        <v>13</v>
      </c>
      <c r="AL241" s="356">
        <v>4</v>
      </c>
      <c r="AM241" s="356">
        <v>4</v>
      </c>
      <c r="AN241" s="356">
        <v>11</v>
      </c>
      <c r="AO241" s="356">
        <v>15</v>
      </c>
      <c r="AP241" s="356">
        <v>6</v>
      </c>
      <c r="AQ241" s="356">
        <v>2</v>
      </c>
      <c r="AR241" s="356">
        <v>7</v>
      </c>
      <c r="AS241" s="356">
        <v>13</v>
      </c>
      <c r="AT241" s="356">
        <v>13</v>
      </c>
      <c r="AU241" s="356">
        <v>11</v>
      </c>
      <c r="AV241" s="356">
        <v>8</v>
      </c>
      <c r="AW241" s="356">
        <v>0</v>
      </c>
      <c r="AX241" s="356">
        <v>15</v>
      </c>
      <c r="AY241" s="356">
        <v>11</v>
      </c>
      <c r="AZ241" s="356">
        <v>13</v>
      </c>
      <c r="BA241" s="356">
        <v>1</v>
      </c>
      <c r="BB241" s="356">
        <v>5</v>
      </c>
      <c r="BD241" s="353">
        <f t="shared" si="12"/>
        <v>93</v>
      </c>
      <c r="BE241" s="353">
        <f t="shared" si="13"/>
        <v>93</v>
      </c>
      <c r="BF241" s="353">
        <f t="shared" si="14"/>
        <v>94</v>
      </c>
      <c r="BG241" s="353">
        <f t="shared" si="15"/>
        <v>80</v>
      </c>
    </row>
    <row r="242" spans="2:59">
      <c r="B242" s="354">
        <v>234</v>
      </c>
      <c r="C242" s="743" t="s">
        <v>472</v>
      </c>
      <c r="D242" s="744" t="s">
        <v>472</v>
      </c>
      <c r="E242" s="744" t="s">
        <v>472</v>
      </c>
      <c r="F242" s="357">
        <v>1099375119</v>
      </c>
      <c r="G242" s="356">
        <v>9</v>
      </c>
      <c r="H242" s="356">
        <v>3</v>
      </c>
      <c r="I242" s="356">
        <v>4</v>
      </c>
      <c r="J242" s="356">
        <v>9</v>
      </c>
      <c r="K242" s="356">
        <v>1</v>
      </c>
      <c r="L242" s="356">
        <v>3</v>
      </c>
      <c r="M242" s="356">
        <v>8</v>
      </c>
      <c r="N242" s="356">
        <v>4</v>
      </c>
      <c r="O242" s="356">
        <v>13</v>
      </c>
      <c r="P242" s="356">
        <v>9</v>
      </c>
      <c r="Q242" s="356">
        <v>15</v>
      </c>
      <c r="R242" s="356">
        <v>2</v>
      </c>
      <c r="S242" s="356">
        <v>10</v>
      </c>
      <c r="T242" s="356">
        <v>11</v>
      </c>
      <c r="U242" s="356">
        <v>5</v>
      </c>
      <c r="V242" s="356">
        <v>6</v>
      </c>
      <c r="W242" s="356">
        <v>12</v>
      </c>
      <c r="X242" s="356">
        <v>7</v>
      </c>
      <c r="Y242" s="356">
        <v>4</v>
      </c>
      <c r="Z242" s="356">
        <v>2</v>
      </c>
      <c r="AA242" s="356">
        <v>9</v>
      </c>
      <c r="AB242" s="356">
        <v>2</v>
      </c>
      <c r="AC242" s="356">
        <v>9</v>
      </c>
      <c r="AD242" s="356">
        <v>6</v>
      </c>
      <c r="AE242" s="356">
        <v>1</v>
      </c>
      <c r="AF242" s="356">
        <v>15</v>
      </c>
      <c r="AG242" s="356">
        <v>14</v>
      </c>
      <c r="AH242" s="356">
        <v>5</v>
      </c>
      <c r="AI242" s="356">
        <v>1</v>
      </c>
      <c r="AJ242" s="356">
        <v>9</v>
      </c>
      <c r="AK242" s="356">
        <v>5</v>
      </c>
      <c r="AL242" s="356">
        <v>3</v>
      </c>
      <c r="AM242" s="356">
        <v>15</v>
      </c>
      <c r="AN242" s="356">
        <v>7</v>
      </c>
      <c r="AO242" s="356">
        <v>1</v>
      </c>
      <c r="AP242" s="356">
        <v>7</v>
      </c>
      <c r="AQ242" s="356">
        <v>10</v>
      </c>
      <c r="AR242" s="356">
        <v>0</v>
      </c>
      <c r="AS242" s="356">
        <v>4</v>
      </c>
      <c r="AT242" s="356">
        <v>3</v>
      </c>
      <c r="AU242" s="356">
        <v>5</v>
      </c>
      <c r="AV242" s="356">
        <v>1</v>
      </c>
      <c r="AW242" s="356">
        <v>3</v>
      </c>
      <c r="AX242" s="356">
        <v>7</v>
      </c>
      <c r="AY242" s="356">
        <v>14</v>
      </c>
      <c r="AZ242" s="356">
        <v>13</v>
      </c>
      <c r="BA242" s="356">
        <v>4</v>
      </c>
      <c r="BB242" s="356">
        <v>6</v>
      </c>
      <c r="BD242" s="353">
        <f t="shared" si="12"/>
        <v>72</v>
      </c>
      <c r="BE242" s="353">
        <f t="shared" si="13"/>
        <v>100</v>
      </c>
      <c r="BF242" s="353">
        <f t="shared" si="14"/>
        <v>76</v>
      </c>
      <c r="BG242" s="353">
        <f t="shared" si="15"/>
        <v>91</v>
      </c>
    </row>
    <row r="243" spans="2:59">
      <c r="B243" s="354">
        <v>235</v>
      </c>
      <c r="C243" s="743" t="s">
        <v>471</v>
      </c>
      <c r="D243" s="744" t="s">
        <v>471</v>
      </c>
      <c r="E243" s="744" t="s">
        <v>471</v>
      </c>
      <c r="F243" s="357">
        <v>1100888688</v>
      </c>
      <c r="G243" s="356">
        <v>11</v>
      </c>
      <c r="H243" s="356">
        <v>2</v>
      </c>
      <c r="I243" s="356">
        <v>0</v>
      </c>
      <c r="J243" s="356">
        <v>5</v>
      </c>
      <c r="K243" s="356">
        <v>6</v>
      </c>
      <c r="L243" s="356">
        <v>9</v>
      </c>
      <c r="M243" s="356">
        <v>4</v>
      </c>
      <c r="N243" s="356">
        <v>13</v>
      </c>
      <c r="O243" s="356">
        <v>8</v>
      </c>
      <c r="P243" s="356">
        <v>14</v>
      </c>
      <c r="Q243" s="356">
        <v>6</v>
      </c>
      <c r="R243" s="356">
        <v>5</v>
      </c>
      <c r="S243" s="356">
        <v>15</v>
      </c>
      <c r="T243" s="356">
        <v>6</v>
      </c>
      <c r="U243" s="356">
        <v>15</v>
      </c>
      <c r="V243" s="356">
        <v>2</v>
      </c>
      <c r="W243" s="356">
        <v>5</v>
      </c>
      <c r="X243" s="356">
        <v>7</v>
      </c>
      <c r="Y243" s="356">
        <v>0</v>
      </c>
      <c r="Z243" s="356">
        <v>0</v>
      </c>
      <c r="AA243" s="356">
        <v>7</v>
      </c>
      <c r="AB243" s="356">
        <v>13</v>
      </c>
      <c r="AC243" s="356">
        <v>6</v>
      </c>
      <c r="AD243" s="356">
        <v>9</v>
      </c>
      <c r="AE243" s="356">
        <v>3</v>
      </c>
      <c r="AF243" s="356">
        <v>5</v>
      </c>
      <c r="AG243" s="356">
        <v>11</v>
      </c>
      <c r="AH243" s="356">
        <v>3</v>
      </c>
      <c r="AI243" s="356">
        <v>4</v>
      </c>
      <c r="AJ243" s="356">
        <v>14</v>
      </c>
      <c r="AK243" s="356">
        <v>2</v>
      </c>
      <c r="AL243" s="356">
        <v>3</v>
      </c>
      <c r="AM243" s="356">
        <v>7</v>
      </c>
      <c r="AN243" s="356">
        <v>12</v>
      </c>
      <c r="AO243" s="356">
        <v>15</v>
      </c>
      <c r="AP243" s="356">
        <v>6</v>
      </c>
      <c r="AQ243" s="356">
        <v>7</v>
      </c>
      <c r="AR243" s="356">
        <v>6</v>
      </c>
      <c r="AS243" s="356">
        <v>8</v>
      </c>
      <c r="AT243" s="356">
        <v>3</v>
      </c>
      <c r="AU243" s="356">
        <v>15</v>
      </c>
      <c r="AV243" s="356">
        <v>1</v>
      </c>
      <c r="AW243" s="356">
        <v>14</v>
      </c>
      <c r="AX243" s="356">
        <v>2</v>
      </c>
      <c r="AY243" s="356">
        <v>8</v>
      </c>
      <c r="AZ243" s="356">
        <v>6</v>
      </c>
      <c r="BA243" s="356">
        <v>10</v>
      </c>
      <c r="BB243" s="356">
        <v>14</v>
      </c>
      <c r="BD243" s="353">
        <f t="shared" si="12"/>
        <v>81</v>
      </c>
      <c r="BE243" s="353">
        <f t="shared" si="13"/>
        <v>96</v>
      </c>
      <c r="BF243" s="353">
        <f t="shared" si="14"/>
        <v>91</v>
      </c>
      <c r="BG243" s="353">
        <f t="shared" si="15"/>
        <v>85</v>
      </c>
    </row>
    <row r="244" spans="2:59">
      <c r="B244" s="354">
        <v>236</v>
      </c>
      <c r="C244" s="743" t="s">
        <v>470</v>
      </c>
      <c r="D244" s="744" t="s">
        <v>470</v>
      </c>
      <c r="E244" s="744" t="s">
        <v>470</v>
      </c>
      <c r="F244" s="357">
        <v>567226726</v>
      </c>
      <c r="G244" s="356">
        <v>0</v>
      </c>
      <c r="H244" s="356">
        <v>2</v>
      </c>
      <c r="I244" s="356">
        <v>14</v>
      </c>
      <c r="J244" s="356">
        <v>14</v>
      </c>
      <c r="K244" s="356">
        <v>0</v>
      </c>
      <c r="L244" s="356">
        <v>0</v>
      </c>
      <c r="M244" s="356">
        <v>3</v>
      </c>
      <c r="N244" s="356">
        <v>12</v>
      </c>
      <c r="O244" s="356">
        <v>3</v>
      </c>
      <c r="P244" s="356">
        <v>1</v>
      </c>
      <c r="Q244" s="356">
        <v>15</v>
      </c>
      <c r="R244" s="356">
        <v>12</v>
      </c>
      <c r="S244" s="356">
        <v>6</v>
      </c>
      <c r="T244" s="356">
        <v>15</v>
      </c>
      <c r="U244" s="356">
        <v>7</v>
      </c>
      <c r="V244" s="356">
        <v>7</v>
      </c>
      <c r="W244" s="356">
        <v>3</v>
      </c>
      <c r="X244" s="356">
        <v>2</v>
      </c>
      <c r="Y244" s="356">
        <v>8</v>
      </c>
      <c r="Z244" s="356">
        <v>12</v>
      </c>
      <c r="AA244" s="356">
        <v>11</v>
      </c>
      <c r="AB244" s="356">
        <v>2</v>
      </c>
      <c r="AC244" s="356">
        <v>7</v>
      </c>
      <c r="AD244" s="356">
        <v>3</v>
      </c>
      <c r="AE244" s="356">
        <v>13</v>
      </c>
      <c r="AF244" s="356">
        <v>9</v>
      </c>
      <c r="AG244" s="356">
        <v>11</v>
      </c>
      <c r="AH244" s="356">
        <v>5</v>
      </c>
      <c r="AI244" s="356">
        <v>9</v>
      </c>
      <c r="AJ244" s="356">
        <v>3</v>
      </c>
      <c r="AK244" s="356">
        <v>4</v>
      </c>
      <c r="AL244" s="356">
        <v>11</v>
      </c>
      <c r="AM244" s="356">
        <v>9</v>
      </c>
      <c r="AN244" s="356">
        <v>14</v>
      </c>
      <c r="AO244" s="356">
        <v>10</v>
      </c>
      <c r="AP244" s="356">
        <v>3</v>
      </c>
      <c r="AQ244" s="356">
        <v>5</v>
      </c>
      <c r="AR244" s="356">
        <v>10</v>
      </c>
      <c r="AS244" s="356">
        <v>14</v>
      </c>
      <c r="AT244" s="356">
        <v>11</v>
      </c>
      <c r="AU244" s="356">
        <v>2</v>
      </c>
      <c r="AV244" s="356">
        <v>13</v>
      </c>
      <c r="AW244" s="356">
        <v>3</v>
      </c>
      <c r="AX244" s="356">
        <v>6</v>
      </c>
      <c r="AY244" s="356">
        <v>13</v>
      </c>
      <c r="AZ244" s="356">
        <v>0</v>
      </c>
      <c r="BA244" s="356">
        <v>3</v>
      </c>
      <c r="BB244" s="356">
        <v>1</v>
      </c>
      <c r="BD244" s="353">
        <f t="shared" si="12"/>
        <v>96</v>
      </c>
      <c r="BE244" s="353">
        <f t="shared" si="13"/>
        <v>74</v>
      </c>
      <c r="BF244" s="353">
        <f t="shared" si="14"/>
        <v>99</v>
      </c>
      <c r="BG244" s="353">
        <f t="shared" si="15"/>
        <v>74</v>
      </c>
    </row>
    <row r="245" spans="2:59">
      <c r="B245" s="354">
        <v>237</v>
      </c>
      <c r="C245" s="743" t="s">
        <v>469</v>
      </c>
      <c r="D245" s="744" t="s">
        <v>469</v>
      </c>
      <c r="E245" s="744" t="s">
        <v>469</v>
      </c>
      <c r="F245" s="357">
        <v>28337977</v>
      </c>
      <c r="G245" s="356">
        <v>0</v>
      </c>
      <c r="H245" s="356">
        <v>3</v>
      </c>
      <c r="I245" s="356">
        <v>0</v>
      </c>
      <c r="J245" s="356">
        <v>13</v>
      </c>
      <c r="K245" s="356">
        <v>8</v>
      </c>
      <c r="L245" s="356">
        <v>5</v>
      </c>
      <c r="M245" s="356">
        <v>15</v>
      </c>
      <c r="N245" s="356">
        <v>1</v>
      </c>
      <c r="O245" s="356">
        <v>5</v>
      </c>
      <c r="P245" s="356">
        <v>4</v>
      </c>
      <c r="Q245" s="356">
        <v>2</v>
      </c>
      <c r="R245" s="356">
        <v>5</v>
      </c>
      <c r="S245" s="356">
        <v>4</v>
      </c>
      <c r="T245" s="356">
        <v>8</v>
      </c>
      <c r="U245" s="356">
        <v>0</v>
      </c>
      <c r="V245" s="356">
        <v>4</v>
      </c>
      <c r="W245" s="356">
        <v>3</v>
      </c>
      <c r="X245" s="356">
        <v>3</v>
      </c>
      <c r="Y245" s="356">
        <v>11</v>
      </c>
      <c r="Z245" s="356">
        <v>14</v>
      </c>
      <c r="AA245" s="356">
        <v>13</v>
      </c>
      <c r="AB245" s="356">
        <v>14</v>
      </c>
      <c r="AC245" s="356">
        <v>0</v>
      </c>
      <c r="AD245" s="356">
        <v>0</v>
      </c>
      <c r="AE245" s="356">
        <v>2</v>
      </c>
      <c r="AF245" s="356">
        <v>2</v>
      </c>
      <c r="AG245" s="356">
        <v>9</v>
      </c>
      <c r="AH245" s="356">
        <v>13</v>
      </c>
      <c r="AI245" s="356">
        <v>0</v>
      </c>
      <c r="AJ245" s="356">
        <v>8</v>
      </c>
      <c r="AK245" s="356">
        <v>6</v>
      </c>
      <c r="AL245" s="356">
        <v>12</v>
      </c>
      <c r="AM245" s="356">
        <v>7</v>
      </c>
      <c r="AN245" s="356">
        <v>12</v>
      </c>
      <c r="AO245" s="356">
        <v>14</v>
      </c>
      <c r="AP245" s="356">
        <v>6</v>
      </c>
      <c r="AQ245" s="356">
        <v>1</v>
      </c>
      <c r="AR245" s="356">
        <v>14</v>
      </c>
      <c r="AS245" s="356">
        <v>5</v>
      </c>
      <c r="AT245" s="356">
        <v>8</v>
      </c>
      <c r="AU245" s="356">
        <v>8</v>
      </c>
      <c r="AV245" s="356">
        <v>5</v>
      </c>
      <c r="AW245" s="356">
        <v>7</v>
      </c>
      <c r="AX245" s="356">
        <v>8</v>
      </c>
      <c r="AY245" s="356">
        <v>5</v>
      </c>
      <c r="AZ245" s="356">
        <v>1</v>
      </c>
      <c r="BA245" s="356">
        <v>7</v>
      </c>
      <c r="BB245" s="356">
        <v>11</v>
      </c>
      <c r="BD245" s="353">
        <f t="shared" si="12"/>
        <v>69</v>
      </c>
      <c r="BE245" s="353">
        <f t="shared" si="13"/>
        <v>56</v>
      </c>
      <c r="BF245" s="353">
        <f t="shared" si="14"/>
        <v>76</v>
      </c>
      <c r="BG245" s="353">
        <f t="shared" si="15"/>
        <v>56</v>
      </c>
    </row>
    <row r="246" spans="2:59">
      <c r="B246" s="354">
        <v>238</v>
      </c>
      <c r="C246" s="743" t="s">
        <v>468</v>
      </c>
      <c r="D246" s="744" t="s">
        <v>468</v>
      </c>
      <c r="E246" s="744" t="s">
        <v>468</v>
      </c>
      <c r="F246" s="357">
        <v>1005163775</v>
      </c>
      <c r="G246" s="356">
        <v>0</v>
      </c>
      <c r="H246" s="356">
        <v>4</v>
      </c>
      <c r="I246" s="356">
        <v>3</v>
      </c>
      <c r="J246" s="356">
        <v>8</v>
      </c>
      <c r="K246" s="356">
        <v>0</v>
      </c>
      <c r="L246" s="356">
        <v>9</v>
      </c>
      <c r="M246" s="356">
        <v>11</v>
      </c>
      <c r="N246" s="356">
        <v>12</v>
      </c>
      <c r="O246" s="356">
        <v>12</v>
      </c>
      <c r="P246" s="356">
        <v>8</v>
      </c>
      <c r="Q246" s="356">
        <v>2</v>
      </c>
      <c r="R246" s="356">
        <v>1</v>
      </c>
      <c r="S246" s="356">
        <v>4</v>
      </c>
      <c r="T246" s="356">
        <v>7</v>
      </c>
      <c r="U246" s="356">
        <v>9</v>
      </c>
      <c r="V246" s="356">
        <v>5</v>
      </c>
      <c r="W246" s="356">
        <v>0</v>
      </c>
      <c r="X246" s="356">
        <v>12</v>
      </c>
      <c r="Y246" s="356">
        <v>0</v>
      </c>
      <c r="Z246" s="356">
        <v>8</v>
      </c>
      <c r="AA246" s="356">
        <v>6</v>
      </c>
      <c r="AB246" s="356">
        <v>3</v>
      </c>
      <c r="AC246" s="356">
        <v>3</v>
      </c>
      <c r="AD246" s="356">
        <v>10</v>
      </c>
      <c r="AE246" s="356">
        <v>12</v>
      </c>
      <c r="AF246" s="356">
        <v>7</v>
      </c>
      <c r="AG246" s="356">
        <v>1</v>
      </c>
      <c r="AH246" s="356">
        <v>0</v>
      </c>
      <c r="AI246" s="356">
        <v>13</v>
      </c>
      <c r="AJ246" s="356">
        <v>12</v>
      </c>
      <c r="AK246" s="356">
        <v>11</v>
      </c>
      <c r="AL246" s="356">
        <v>3</v>
      </c>
      <c r="AM246" s="356">
        <v>5</v>
      </c>
      <c r="AN246" s="356">
        <v>2</v>
      </c>
      <c r="AO246" s="356">
        <v>9</v>
      </c>
      <c r="AP246" s="356">
        <v>4</v>
      </c>
      <c r="AQ246" s="356">
        <v>14</v>
      </c>
      <c r="AR246" s="356">
        <v>10</v>
      </c>
      <c r="AS246" s="356">
        <v>3</v>
      </c>
      <c r="AT246" s="356">
        <v>5</v>
      </c>
      <c r="AU246" s="356">
        <v>10</v>
      </c>
      <c r="AV246" s="356">
        <v>1</v>
      </c>
      <c r="AW246" s="356">
        <v>14</v>
      </c>
      <c r="AX246" s="356">
        <v>2</v>
      </c>
      <c r="AY246" s="356">
        <v>9</v>
      </c>
      <c r="AZ246" s="356">
        <v>12</v>
      </c>
      <c r="BA246" s="356">
        <v>14</v>
      </c>
      <c r="BB246" s="356">
        <v>8</v>
      </c>
      <c r="BD246" s="353">
        <f t="shared" si="12"/>
        <v>66</v>
      </c>
      <c r="BE246" s="353">
        <f t="shared" si="13"/>
        <v>85</v>
      </c>
      <c r="BF246" s="353">
        <f t="shared" si="14"/>
        <v>80</v>
      </c>
      <c r="BG246" s="353">
        <f t="shared" si="15"/>
        <v>85</v>
      </c>
    </row>
    <row r="247" spans="2:59">
      <c r="B247" s="354">
        <v>239</v>
      </c>
      <c r="C247" s="743" t="s">
        <v>467</v>
      </c>
      <c r="D247" s="744" t="s">
        <v>467</v>
      </c>
      <c r="E247" s="744" t="s">
        <v>467</v>
      </c>
      <c r="F247" s="357">
        <v>1095304876</v>
      </c>
      <c r="G247" s="356">
        <v>14</v>
      </c>
      <c r="H247" s="356">
        <v>7</v>
      </c>
      <c r="I247" s="356">
        <v>7</v>
      </c>
      <c r="J247" s="356">
        <v>2</v>
      </c>
      <c r="K247" s="356">
        <v>8</v>
      </c>
      <c r="L247" s="356">
        <v>7</v>
      </c>
      <c r="M247" s="356">
        <v>9</v>
      </c>
      <c r="N247" s="356">
        <v>11</v>
      </c>
      <c r="O247" s="356">
        <v>8</v>
      </c>
      <c r="P247" s="356">
        <v>15</v>
      </c>
      <c r="Q247" s="356">
        <v>4</v>
      </c>
      <c r="R247" s="356">
        <v>15</v>
      </c>
      <c r="S247" s="356">
        <v>15</v>
      </c>
      <c r="T247" s="356">
        <v>4</v>
      </c>
      <c r="U247" s="356">
        <v>13</v>
      </c>
      <c r="V247" s="356">
        <v>6</v>
      </c>
      <c r="W247" s="356">
        <v>8</v>
      </c>
      <c r="X247" s="356">
        <v>7</v>
      </c>
      <c r="Y247" s="356">
        <v>3</v>
      </c>
      <c r="Z247" s="356">
        <v>3</v>
      </c>
      <c r="AA247" s="356">
        <v>4</v>
      </c>
      <c r="AB247" s="356">
        <v>8</v>
      </c>
      <c r="AC247" s="356">
        <v>10</v>
      </c>
      <c r="AD247" s="356">
        <v>1</v>
      </c>
      <c r="AE247" s="356">
        <v>0</v>
      </c>
      <c r="AF247" s="356">
        <v>14</v>
      </c>
      <c r="AG247" s="356">
        <v>0</v>
      </c>
      <c r="AH247" s="356">
        <v>7</v>
      </c>
      <c r="AI247" s="356">
        <v>3</v>
      </c>
      <c r="AJ247" s="356">
        <v>5</v>
      </c>
      <c r="AK247" s="356">
        <v>15</v>
      </c>
      <c r="AL247" s="356">
        <v>6</v>
      </c>
      <c r="AM247" s="356">
        <v>0</v>
      </c>
      <c r="AN247" s="356">
        <v>3</v>
      </c>
      <c r="AO247" s="356">
        <v>1</v>
      </c>
      <c r="AP247" s="356">
        <v>14</v>
      </c>
      <c r="AQ247" s="356">
        <v>14</v>
      </c>
      <c r="AR247" s="356">
        <v>15</v>
      </c>
      <c r="AS247" s="356">
        <v>0</v>
      </c>
      <c r="AT247" s="356">
        <v>0</v>
      </c>
      <c r="AU247" s="356">
        <v>13</v>
      </c>
      <c r="AV247" s="356">
        <v>4</v>
      </c>
      <c r="AW247" s="356">
        <v>10</v>
      </c>
      <c r="AX247" s="356">
        <v>6</v>
      </c>
      <c r="AY247" s="356">
        <v>7</v>
      </c>
      <c r="AZ247" s="356">
        <v>0</v>
      </c>
      <c r="BA247" s="356">
        <v>1</v>
      </c>
      <c r="BB247" s="356">
        <v>6</v>
      </c>
      <c r="BD247" s="353">
        <f t="shared" si="12"/>
        <v>72</v>
      </c>
      <c r="BE247" s="353">
        <f t="shared" si="13"/>
        <v>94</v>
      </c>
      <c r="BF247" s="353">
        <f t="shared" si="14"/>
        <v>73</v>
      </c>
      <c r="BG247" s="353">
        <f t="shared" si="15"/>
        <v>80</v>
      </c>
    </row>
    <row r="248" spans="2:59">
      <c r="B248" s="354">
        <v>240</v>
      </c>
      <c r="C248" s="743" t="s">
        <v>466</v>
      </c>
      <c r="D248" s="744" t="s">
        <v>466</v>
      </c>
      <c r="E248" s="744" t="s">
        <v>466</v>
      </c>
      <c r="F248" s="357">
        <v>1096070290</v>
      </c>
      <c r="G248" s="356">
        <v>12</v>
      </c>
      <c r="H248" s="356">
        <v>13</v>
      </c>
      <c r="I248" s="356">
        <v>11</v>
      </c>
      <c r="J248" s="356">
        <v>5</v>
      </c>
      <c r="K248" s="356">
        <v>0</v>
      </c>
      <c r="L248" s="356">
        <v>15</v>
      </c>
      <c r="M248" s="356">
        <v>8</v>
      </c>
      <c r="N248" s="356">
        <v>9</v>
      </c>
      <c r="O248" s="356">
        <v>2</v>
      </c>
      <c r="P248" s="356">
        <v>0</v>
      </c>
      <c r="Q248" s="356">
        <v>1</v>
      </c>
      <c r="R248" s="356">
        <v>0</v>
      </c>
      <c r="S248" s="356">
        <v>3</v>
      </c>
      <c r="T248" s="356">
        <v>2</v>
      </c>
      <c r="U248" s="356">
        <v>5</v>
      </c>
      <c r="V248" s="356">
        <v>4</v>
      </c>
      <c r="W248" s="356">
        <v>8</v>
      </c>
      <c r="X248" s="356">
        <v>15</v>
      </c>
      <c r="Y248" s="356">
        <v>0</v>
      </c>
      <c r="Z248" s="356">
        <v>10</v>
      </c>
      <c r="AA248" s="356">
        <v>2</v>
      </c>
      <c r="AB248" s="356">
        <v>15</v>
      </c>
      <c r="AC248" s="356">
        <v>8</v>
      </c>
      <c r="AD248" s="356">
        <v>12</v>
      </c>
      <c r="AE248" s="356">
        <v>0</v>
      </c>
      <c r="AF248" s="356">
        <v>4</v>
      </c>
      <c r="AG248" s="356">
        <v>8</v>
      </c>
      <c r="AH248" s="356">
        <v>9</v>
      </c>
      <c r="AI248" s="356">
        <v>3</v>
      </c>
      <c r="AJ248" s="356">
        <v>15</v>
      </c>
      <c r="AK248" s="356">
        <v>4</v>
      </c>
      <c r="AL248" s="356">
        <v>8</v>
      </c>
      <c r="AM248" s="356">
        <v>1</v>
      </c>
      <c r="AN248" s="356">
        <v>4</v>
      </c>
      <c r="AO248" s="356">
        <v>5</v>
      </c>
      <c r="AP248" s="356">
        <v>3</v>
      </c>
      <c r="AQ248" s="356">
        <v>5</v>
      </c>
      <c r="AR248" s="356">
        <v>13</v>
      </c>
      <c r="AS248" s="356">
        <v>12</v>
      </c>
      <c r="AT248" s="356">
        <v>12</v>
      </c>
      <c r="AU248" s="356">
        <v>10</v>
      </c>
      <c r="AV248" s="356">
        <v>6</v>
      </c>
      <c r="AW248" s="356">
        <v>9</v>
      </c>
      <c r="AX248" s="356">
        <v>13</v>
      </c>
      <c r="AY248" s="356">
        <v>7</v>
      </c>
      <c r="AZ248" s="356">
        <v>11</v>
      </c>
      <c r="BA248" s="356">
        <v>3</v>
      </c>
      <c r="BB248" s="356">
        <v>8</v>
      </c>
      <c r="BD248" s="353">
        <f t="shared" si="12"/>
        <v>71</v>
      </c>
      <c r="BE248" s="353">
        <f t="shared" si="13"/>
        <v>53</v>
      </c>
      <c r="BF248" s="353">
        <f t="shared" si="14"/>
        <v>74</v>
      </c>
      <c r="BG248" s="353">
        <f t="shared" si="15"/>
        <v>41</v>
      </c>
    </row>
    <row r="249" spans="2:59">
      <c r="B249" s="354">
        <v>241</v>
      </c>
      <c r="C249" s="743" t="s">
        <v>465</v>
      </c>
      <c r="D249" s="744" t="s">
        <v>465</v>
      </c>
      <c r="E249" s="744" t="s">
        <v>465</v>
      </c>
      <c r="F249" s="357">
        <v>28272544</v>
      </c>
      <c r="G249" s="356">
        <v>1</v>
      </c>
      <c r="H249" s="356">
        <v>11</v>
      </c>
      <c r="I249" s="356">
        <v>0</v>
      </c>
      <c r="J249" s="356">
        <v>4</v>
      </c>
      <c r="K249" s="356">
        <v>5</v>
      </c>
      <c r="L249" s="356">
        <v>5</v>
      </c>
      <c r="M249" s="356">
        <v>9</v>
      </c>
      <c r="N249" s="356">
        <v>2</v>
      </c>
      <c r="O249" s="356">
        <v>5</v>
      </c>
      <c r="P249" s="356">
        <v>10</v>
      </c>
      <c r="Q249" s="356">
        <v>5</v>
      </c>
      <c r="R249" s="356">
        <v>3</v>
      </c>
      <c r="S249" s="356">
        <v>13</v>
      </c>
      <c r="T249" s="356">
        <v>6</v>
      </c>
      <c r="U249" s="356">
        <v>1</v>
      </c>
      <c r="V249" s="356">
        <v>10</v>
      </c>
      <c r="W249" s="356">
        <v>3</v>
      </c>
      <c r="X249" s="356">
        <v>8</v>
      </c>
      <c r="Y249" s="356">
        <v>2</v>
      </c>
      <c r="Z249" s="356">
        <v>13</v>
      </c>
      <c r="AA249" s="356">
        <v>13</v>
      </c>
      <c r="AB249" s="356">
        <v>3</v>
      </c>
      <c r="AC249" s="356">
        <v>3</v>
      </c>
      <c r="AD249" s="356">
        <v>5</v>
      </c>
      <c r="AE249" s="356">
        <v>5</v>
      </c>
      <c r="AF249" s="356">
        <v>4</v>
      </c>
      <c r="AG249" s="356">
        <v>7</v>
      </c>
      <c r="AH249" s="356">
        <v>15</v>
      </c>
      <c r="AI249" s="356">
        <v>7</v>
      </c>
      <c r="AJ249" s="356">
        <v>9</v>
      </c>
      <c r="AK249" s="356">
        <v>3</v>
      </c>
      <c r="AL249" s="356">
        <v>13</v>
      </c>
      <c r="AM249" s="356">
        <v>8</v>
      </c>
      <c r="AN249" s="356">
        <v>9</v>
      </c>
      <c r="AO249" s="356">
        <v>0</v>
      </c>
      <c r="AP249" s="356">
        <v>13</v>
      </c>
      <c r="AQ249" s="356">
        <v>14</v>
      </c>
      <c r="AR249" s="356">
        <v>8</v>
      </c>
      <c r="AS249" s="356">
        <v>2</v>
      </c>
      <c r="AT249" s="356">
        <v>3</v>
      </c>
      <c r="AU249" s="356">
        <v>0</v>
      </c>
      <c r="AV249" s="356">
        <v>0</v>
      </c>
      <c r="AW249" s="356">
        <v>4</v>
      </c>
      <c r="AX249" s="356">
        <v>6</v>
      </c>
      <c r="AY249" s="356">
        <v>11</v>
      </c>
      <c r="AZ249" s="356">
        <v>1</v>
      </c>
      <c r="BA249" s="356">
        <v>9</v>
      </c>
      <c r="BB249" s="356">
        <v>15</v>
      </c>
      <c r="BD249" s="353">
        <f t="shared" si="12"/>
        <v>36</v>
      </c>
      <c r="BE249" s="353">
        <f t="shared" si="13"/>
        <v>85</v>
      </c>
      <c r="BF249" s="353">
        <f t="shared" si="14"/>
        <v>45</v>
      </c>
      <c r="BG249" s="353">
        <f t="shared" si="15"/>
        <v>84</v>
      </c>
    </row>
    <row r="250" spans="2:59">
      <c r="B250" s="354">
        <v>242</v>
      </c>
      <c r="C250" s="743" t="s">
        <v>464</v>
      </c>
      <c r="D250" s="744" t="s">
        <v>464</v>
      </c>
      <c r="E250" s="744" t="s">
        <v>464</v>
      </c>
      <c r="F250" s="357">
        <v>5531590</v>
      </c>
      <c r="G250" s="356">
        <v>12</v>
      </c>
      <c r="H250" s="356">
        <v>10</v>
      </c>
      <c r="I250" s="356">
        <v>1</v>
      </c>
      <c r="J250" s="356">
        <v>0</v>
      </c>
      <c r="K250" s="356">
        <v>5</v>
      </c>
      <c r="L250" s="356">
        <v>6</v>
      </c>
      <c r="M250" s="356">
        <v>6</v>
      </c>
      <c r="N250" s="356">
        <v>0</v>
      </c>
      <c r="O250" s="356">
        <v>3</v>
      </c>
      <c r="P250" s="356">
        <v>9</v>
      </c>
      <c r="Q250" s="356">
        <v>9</v>
      </c>
      <c r="R250" s="356">
        <v>10</v>
      </c>
      <c r="S250" s="356">
        <v>5</v>
      </c>
      <c r="T250" s="356">
        <v>14</v>
      </c>
      <c r="U250" s="356">
        <v>14</v>
      </c>
      <c r="V250" s="356">
        <v>6</v>
      </c>
      <c r="W250" s="356">
        <v>11</v>
      </c>
      <c r="X250" s="356">
        <v>11</v>
      </c>
      <c r="Y250" s="356">
        <v>6</v>
      </c>
      <c r="Z250" s="356">
        <v>4</v>
      </c>
      <c r="AA250" s="356">
        <v>15</v>
      </c>
      <c r="AB250" s="356">
        <v>0</v>
      </c>
      <c r="AC250" s="356">
        <v>3</v>
      </c>
      <c r="AD250" s="356">
        <v>13</v>
      </c>
      <c r="AE250" s="356">
        <v>8</v>
      </c>
      <c r="AF250" s="356">
        <v>3</v>
      </c>
      <c r="AG250" s="356">
        <v>2</v>
      </c>
      <c r="AH250" s="356">
        <v>14</v>
      </c>
      <c r="AI250" s="356">
        <v>4</v>
      </c>
      <c r="AJ250" s="356">
        <v>10</v>
      </c>
      <c r="AK250" s="356">
        <v>14</v>
      </c>
      <c r="AL250" s="356">
        <v>0</v>
      </c>
      <c r="AM250" s="356">
        <v>9</v>
      </c>
      <c r="AN250" s="356">
        <v>2</v>
      </c>
      <c r="AO250" s="356">
        <v>6</v>
      </c>
      <c r="AP250" s="356">
        <v>1</v>
      </c>
      <c r="AQ250" s="356">
        <v>6</v>
      </c>
      <c r="AR250" s="356">
        <v>13</v>
      </c>
      <c r="AS250" s="356">
        <v>4</v>
      </c>
      <c r="AT250" s="356">
        <v>0</v>
      </c>
      <c r="AU250" s="356">
        <v>8</v>
      </c>
      <c r="AV250" s="356">
        <v>12</v>
      </c>
      <c r="AW250" s="356">
        <v>14</v>
      </c>
      <c r="AX250" s="356">
        <v>12</v>
      </c>
      <c r="AY250" s="356">
        <v>10</v>
      </c>
      <c r="AZ250" s="356">
        <v>7</v>
      </c>
      <c r="BA250" s="356">
        <v>7</v>
      </c>
      <c r="BB250" s="356">
        <v>4</v>
      </c>
      <c r="BD250" s="353">
        <f t="shared" si="12"/>
        <v>79</v>
      </c>
      <c r="BE250" s="353">
        <f t="shared" si="13"/>
        <v>96</v>
      </c>
      <c r="BF250" s="353">
        <f t="shared" si="14"/>
        <v>86</v>
      </c>
      <c r="BG250" s="353">
        <f t="shared" si="15"/>
        <v>84</v>
      </c>
    </row>
    <row r="251" spans="2:59">
      <c r="B251" s="354">
        <v>243</v>
      </c>
      <c r="C251" s="743" t="s">
        <v>463</v>
      </c>
      <c r="D251" s="744" t="s">
        <v>463</v>
      </c>
      <c r="E251" s="744" t="s">
        <v>463</v>
      </c>
      <c r="F251" s="357">
        <v>1099373810</v>
      </c>
      <c r="G251" s="356">
        <v>12</v>
      </c>
      <c r="H251" s="356">
        <v>13</v>
      </c>
      <c r="I251" s="356">
        <v>6</v>
      </c>
      <c r="J251" s="356">
        <v>0</v>
      </c>
      <c r="K251" s="356">
        <v>7</v>
      </c>
      <c r="L251" s="356">
        <v>6</v>
      </c>
      <c r="M251" s="356">
        <v>12</v>
      </c>
      <c r="N251" s="356">
        <v>9</v>
      </c>
      <c r="O251" s="356">
        <v>6</v>
      </c>
      <c r="P251" s="356">
        <v>13</v>
      </c>
      <c r="Q251" s="356">
        <v>4</v>
      </c>
      <c r="R251" s="356">
        <v>10</v>
      </c>
      <c r="S251" s="356">
        <v>10</v>
      </c>
      <c r="T251" s="356">
        <v>13</v>
      </c>
      <c r="U251" s="356">
        <v>3</v>
      </c>
      <c r="V251" s="356">
        <v>12</v>
      </c>
      <c r="W251" s="356">
        <v>5</v>
      </c>
      <c r="X251" s="356">
        <v>15</v>
      </c>
      <c r="Y251" s="356">
        <v>8</v>
      </c>
      <c r="Z251" s="356">
        <v>4</v>
      </c>
      <c r="AA251" s="356">
        <v>10</v>
      </c>
      <c r="AB251" s="356">
        <v>2</v>
      </c>
      <c r="AC251" s="356">
        <v>11</v>
      </c>
      <c r="AD251" s="356">
        <v>5</v>
      </c>
      <c r="AE251" s="356">
        <v>11</v>
      </c>
      <c r="AF251" s="356">
        <v>10</v>
      </c>
      <c r="AG251" s="356">
        <v>0</v>
      </c>
      <c r="AH251" s="356">
        <v>7</v>
      </c>
      <c r="AI251" s="356">
        <v>7</v>
      </c>
      <c r="AJ251" s="356">
        <v>13</v>
      </c>
      <c r="AK251" s="356">
        <v>12</v>
      </c>
      <c r="AL251" s="356">
        <v>2</v>
      </c>
      <c r="AM251" s="356">
        <v>0</v>
      </c>
      <c r="AN251" s="356">
        <v>6</v>
      </c>
      <c r="AO251" s="356">
        <v>0</v>
      </c>
      <c r="AP251" s="356">
        <v>6</v>
      </c>
      <c r="AQ251" s="356">
        <v>5</v>
      </c>
      <c r="AR251" s="356">
        <v>12</v>
      </c>
      <c r="AS251" s="356">
        <v>5</v>
      </c>
      <c r="AT251" s="356">
        <v>2</v>
      </c>
      <c r="AU251" s="356">
        <v>11</v>
      </c>
      <c r="AV251" s="356">
        <v>2</v>
      </c>
      <c r="AW251" s="356">
        <v>10</v>
      </c>
      <c r="AX251" s="356">
        <v>12</v>
      </c>
      <c r="AY251" s="356">
        <v>4</v>
      </c>
      <c r="AZ251" s="356">
        <v>1</v>
      </c>
      <c r="BA251" s="356">
        <v>3</v>
      </c>
      <c r="BB251" s="356">
        <v>10</v>
      </c>
      <c r="BD251" s="353">
        <f t="shared" si="12"/>
        <v>71</v>
      </c>
      <c r="BE251" s="353">
        <f t="shared" si="13"/>
        <v>88</v>
      </c>
      <c r="BF251" s="353">
        <f t="shared" si="14"/>
        <v>74</v>
      </c>
      <c r="BG251" s="353">
        <f t="shared" si="15"/>
        <v>76</v>
      </c>
    </row>
    <row r="252" spans="2:59">
      <c r="B252" s="354">
        <v>244</v>
      </c>
      <c r="C252" s="743" t="s">
        <v>462</v>
      </c>
      <c r="D252" s="744" t="s">
        <v>462</v>
      </c>
      <c r="E252" s="744" t="s">
        <v>462</v>
      </c>
      <c r="F252" s="357">
        <v>1005189525</v>
      </c>
      <c r="G252" s="356">
        <v>10</v>
      </c>
      <c r="H252" s="356">
        <v>6</v>
      </c>
      <c r="I252" s="356">
        <v>1</v>
      </c>
      <c r="J252" s="356">
        <v>2</v>
      </c>
      <c r="K252" s="356">
        <v>7</v>
      </c>
      <c r="L252" s="356">
        <v>3</v>
      </c>
      <c r="M252" s="356">
        <v>10</v>
      </c>
      <c r="N252" s="356">
        <v>5</v>
      </c>
      <c r="O252" s="356">
        <v>14</v>
      </c>
      <c r="P252" s="356">
        <v>5</v>
      </c>
      <c r="Q252" s="356">
        <v>6</v>
      </c>
      <c r="R252" s="356">
        <v>9</v>
      </c>
      <c r="S252" s="356">
        <v>0</v>
      </c>
      <c r="T252" s="356">
        <v>11</v>
      </c>
      <c r="U252" s="356">
        <v>8</v>
      </c>
      <c r="V252" s="356">
        <v>8</v>
      </c>
      <c r="W252" s="356">
        <v>12</v>
      </c>
      <c r="X252" s="356">
        <v>1</v>
      </c>
      <c r="Y252" s="356">
        <v>2</v>
      </c>
      <c r="Z252" s="356">
        <v>7</v>
      </c>
      <c r="AA252" s="356">
        <v>11</v>
      </c>
      <c r="AB252" s="356">
        <v>2</v>
      </c>
      <c r="AC252" s="356">
        <v>13</v>
      </c>
      <c r="AD252" s="356">
        <v>11</v>
      </c>
      <c r="AE252" s="356">
        <v>15</v>
      </c>
      <c r="AF252" s="356">
        <v>1</v>
      </c>
      <c r="AG252" s="356">
        <v>6</v>
      </c>
      <c r="AH252" s="356">
        <v>15</v>
      </c>
      <c r="AI252" s="356">
        <v>12</v>
      </c>
      <c r="AJ252" s="356">
        <v>12</v>
      </c>
      <c r="AK252" s="356">
        <v>14</v>
      </c>
      <c r="AL252" s="356">
        <v>11</v>
      </c>
      <c r="AM252" s="356">
        <v>5</v>
      </c>
      <c r="AN252" s="356">
        <v>13</v>
      </c>
      <c r="AO252" s="356">
        <v>4</v>
      </c>
      <c r="AP252" s="356">
        <v>0</v>
      </c>
      <c r="AQ252" s="356">
        <v>14</v>
      </c>
      <c r="AR252" s="356">
        <v>0</v>
      </c>
      <c r="AS252" s="356">
        <v>13</v>
      </c>
      <c r="AT252" s="356">
        <v>11</v>
      </c>
      <c r="AU252" s="356">
        <v>6</v>
      </c>
      <c r="AV252" s="356">
        <v>0</v>
      </c>
      <c r="AW252" s="356">
        <v>8</v>
      </c>
      <c r="AX252" s="356">
        <v>9</v>
      </c>
      <c r="AY252" s="356">
        <v>4</v>
      </c>
      <c r="AZ252" s="356">
        <v>14</v>
      </c>
      <c r="BA252" s="356">
        <v>5</v>
      </c>
      <c r="BB252" s="356">
        <v>10</v>
      </c>
      <c r="BD252" s="353">
        <f t="shared" si="12"/>
        <v>85</v>
      </c>
      <c r="BE252" s="353">
        <f t="shared" si="13"/>
        <v>110</v>
      </c>
      <c r="BF252" s="353">
        <f t="shared" si="14"/>
        <v>90</v>
      </c>
      <c r="BG252" s="353">
        <f t="shared" si="15"/>
        <v>100</v>
      </c>
    </row>
    <row r="253" spans="2:59">
      <c r="B253" s="354">
        <v>245</v>
      </c>
      <c r="C253" s="743" t="s">
        <v>461</v>
      </c>
      <c r="D253" s="744" t="s">
        <v>461</v>
      </c>
      <c r="E253" s="744" t="s">
        <v>461</v>
      </c>
      <c r="F253" s="357">
        <v>1097132793</v>
      </c>
      <c r="G253" s="356">
        <v>13</v>
      </c>
      <c r="H253" s="356">
        <v>13</v>
      </c>
      <c r="I253" s="356">
        <v>5</v>
      </c>
      <c r="J253" s="356">
        <v>5</v>
      </c>
      <c r="K253" s="356">
        <v>3</v>
      </c>
      <c r="L253" s="356">
        <v>4</v>
      </c>
      <c r="M253" s="356">
        <v>3</v>
      </c>
      <c r="N253" s="356">
        <v>4</v>
      </c>
      <c r="O253" s="356">
        <v>3</v>
      </c>
      <c r="P253" s="356">
        <v>11</v>
      </c>
      <c r="Q253" s="356">
        <v>14</v>
      </c>
      <c r="R253" s="356">
        <v>1</v>
      </c>
      <c r="S253" s="356">
        <v>10</v>
      </c>
      <c r="T253" s="356">
        <v>5</v>
      </c>
      <c r="U253" s="356">
        <v>2</v>
      </c>
      <c r="V253" s="356">
        <v>5</v>
      </c>
      <c r="W253" s="356">
        <v>9</v>
      </c>
      <c r="X253" s="356">
        <v>15</v>
      </c>
      <c r="Y253" s="356">
        <v>0</v>
      </c>
      <c r="Z253" s="356">
        <v>1</v>
      </c>
      <c r="AA253" s="356">
        <v>3</v>
      </c>
      <c r="AB253" s="356">
        <v>2</v>
      </c>
      <c r="AC253" s="356">
        <v>7</v>
      </c>
      <c r="AD253" s="356">
        <v>12</v>
      </c>
      <c r="AE253" s="356">
        <v>2</v>
      </c>
      <c r="AF253" s="356">
        <v>9</v>
      </c>
      <c r="AG253" s="356">
        <v>3</v>
      </c>
      <c r="AH253" s="356">
        <v>2</v>
      </c>
      <c r="AI253" s="356">
        <v>1</v>
      </c>
      <c r="AJ253" s="356">
        <v>10</v>
      </c>
      <c r="AK253" s="356">
        <v>5</v>
      </c>
      <c r="AL253" s="356">
        <v>7</v>
      </c>
      <c r="AM253" s="356">
        <v>12</v>
      </c>
      <c r="AN253" s="356">
        <v>13</v>
      </c>
      <c r="AO253" s="356">
        <v>11</v>
      </c>
      <c r="AP253" s="356">
        <v>0</v>
      </c>
      <c r="AQ253" s="356">
        <v>8</v>
      </c>
      <c r="AR253" s="356">
        <v>8</v>
      </c>
      <c r="AS253" s="356">
        <v>8</v>
      </c>
      <c r="AT253" s="356">
        <v>8</v>
      </c>
      <c r="AU253" s="356">
        <v>5</v>
      </c>
      <c r="AV253" s="356">
        <v>1</v>
      </c>
      <c r="AW253" s="356">
        <v>14</v>
      </c>
      <c r="AX253" s="356">
        <v>3</v>
      </c>
      <c r="AY253" s="356">
        <v>10</v>
      </c>
      <c r="AZ253" s="356">
        <v>5</v>
      </c>
      <c r="BA253" s="356">
        <v>7</v>
      </c>
      <c r="BB253" s="356">
        <v>5</v>
      </c>
      <c r="BD253" s="353">
        <f t="shared" si="12"/>
        <v>72</v>
      </c>
      <c r="BE253" s="353">
        <f t="shared" si="13"/>
        <v>79</v>
      </c>
      <c r="BF253" s="353">
        <f t="shared" si="14"/>
        <v>79</v>
      </c>
      <c r="BG253" s="353">
        <f t="shared" si="15"/>
        <v>66</v>
      </c>
    </row>
    <row r="254" spans="2:59">
      <c r="B254" s="354">
        <v>246</v>
      </c>
      <c r="C254" s="743" t="s">
        <v>460</v>
      </c>
      <c r="D254" s="744" t="s">
        <v>460</v>
      </c>
      <c r="E254" s="744" t="s">
        <v>460</v>
      </c>
      <c r="F254" s="357">
        <v>28485530</v>
      </c>
      <c r="G254" s="356">
        <v>1</v>
      </c>
      <c r="H254" s="356">
        <v>15</v>
      </c>
      <c r="I254" s="356">
        <v>8</v>
      </c>
      <c r="J254" s="356">
        <v>12</v>
      </c>
      <c r="K254" s="356">
        <v>10</v>
      </c>
      <c r="L254" s="356">
        <v>2</v>
      </c>
      <c r="M254" s="356">
        <v>9</v>
      </c>
      <c r="N254" s="356">
        <v>6</v>
      </c>
      <c r="O254" s="356">
        <v>5</v>
      </c>
      <c r="P254" s="356">
        <v>2</v>
      </c>
      <c r="Q254" s="356">
        <v>7</v>
      </c>
      <c r="R254" s="356">
        <v>9</v>
      </c>
      <c r="S254" s="356">
        <v>6</v>
      </c>
      <c r="T254" s="356">
        <v>10</v>
      </c>
      <c r="U254" s="356">
        <v>0</v>
      </c>
      <c r="V254" s="356">
        <v>9</v>
      </c>
      <c r="W254" s="356">
        <v>4</v>
      </c>
      <c r="X254" s="356">
        <v>11</v>
      </c>
      <c r="Y254" s="356">
        <v>4</v>
      </c>
      <c r="Z254" s="356">
        <v>0</v>
      </c>
      <c r="AA254" s="356">
        <v>5</v>
      </c>
      <c r="AB254" s="356">
        <v>11</v>
      </c>
      <c r="AC254" s="356">
        <v>4</v>
      </c>
      <c r="AD254" s="356">
        <v>2</v>
      </c>
      <c r="AE254" s="356">
        <v>9</v>
      </c>
      <c r="AF254" s="356">
        <v>4</v>
      </c>
      <c r="AG254" s="356">
        <v>2</v>
      </c>
      <c r="AH254" s="356">
        <v>12</v>
      </c>
      <c r="AI254" s="356">
        <v>10</v>
      </c>
      <c r="AJ254" s="356">
        <v>5</v>
      </c>
      <c r="AK254" s="356">
        <v>11</v>
      </c>
      <c r="AL254" s="356">
        <v>0</v>
      </c>
      <c r="AM254" s="356">
        <v>14</v>
      </c>
      <c r="AN254" s="356">
        <v>7</v>
      </c>
      <c r="AO254" s="356">
        <v>14</v>
      </c>
      <c r="AP254" s="356">
        <v>14</v>
      </c>
      <c r="AQ254" s="356">
        <v>14</v>
      </c>
      <c r="AR254" s="356">
        <v>12</v>
      </c>
      <c r="AS254" s="356">
        <v>10</v>
      </c>
      <c r="AT254" s="356">
        <v>13</v>
      </c>
      <c r="AU254" s="356">
        <v>9</v>
      </c>
      <c r="AV254" s="356">
        <v>4</v>
      </c>
      <c r="AW254" s="356">
        <v>1</v>
      </c>
      <c r="AX254" s="356">
        <v>11</v>
      </c>
      <c r="AY254" s="356">
        <v>14</v>
      </c>
      <c r="AZ254" s="356">
        <v>11</v>
      </c>
      <c r="BA254" s="356">
        <v>9</v>
      </c>
      <c r="BB254" s="356">
        <v>2</v>
      </c>
      <c r="BD254" s="353">
        <f t="shared" si="12"/>
        <v>70</v>
      </c>
      <c r="BE254" s="353">
        <f t="shared" si="13"/>
        <v>101</v>
      </c>
      <c r="BF254" s="353">
        <f t="shared" si="14"/>
        <v>79</v>
      </c>
      <c r="BG254" s="353">
        <f t="shared" si="15"/>
        <v>100</v>
      </c>
    </row>
    <row r="255" spans="2:59">
      <c r="B255" s="354">
        <v>247</v>
      </c>
      <c r="C255" s="743" t="s">
        <v>459</v>
      </c>
      <c r="D255" s="744" t="s">
        <v>459</v>
      </c>
      <c r="E255" s="744" t="s">
        <v>459</v>
      </c>
      <c r="F255" s="357">
        <v>37865006</v>
      </c>
      <c r="G255" s="356">
        <v>0</v>
      </c>
      <c r="H255" s="356">
        <v>11</v>
      </c>
      <c r="I255" s="356">
        <v>8</v>
      </c>
      <c r="J255" s="356">
        <v>13</v>
      </c>
      <c r="K255" s="356">
        <v>15</v>
      </c>
      <c r="L255" s="356">
        <v>10</v>
      </c>
      <c r="M255" s="356">
        <v>9</v>
      </c>
      <c r="N255" s="356">
        <v>14</v>
      </c>
      <c r="O255" s="356">
        <v>3</v>
      </c>
      <c r="P255" s="356">
        <v>13</v>
      </c>
      <c r="Q255" s="356">
        <v>4</v>
      </c>
      <c r="R255" s="356">
        <v>4</v>
      </c>
      <c r="S255" s="356">
        <v>7</v>
      </c>
      <c r="T255" s="356">
        <v>1</v>
      </c>
      <c r="U255" s="356">
        <v>4</v>
      </c>
      <c r="V255" s="356">
        <v>11</v>
      </c>
      <c r="W255" s="356">
        <v>7</v>
      </c>
      <c r="X255" s="356">
        <v>9</v>
      </c>
      <c r="Y255" s="356">
        <v>9</v>
      </c>
      <c r="Z255" s="356">
        <v>12</v>
      </c>
      <c r="AA255" s="356">
        <v>8</v>
      </c>
      <c r="AB255" s="356">
        <v>5</v>
      </c>
      <c r="AC255" s="356">
        <v>2</v>
      </c>
      <c r="AD255" s="356">
        <v>1</v>
      </c>
      <c r="AE255" s="356">
        <v>15</v>
      </c>
      <c r="AF255" s="356">
        <v>10</v>
      </c>
      <c r="AG255" s="356">
        <v>4</v>
      </c>
      <c r="AH255" s="356">
        <v>6</v>
      </c>
      <c r="AI255" s="356">
        <v>14</v>
      </c>
      <c r="AJ255" s="356">
        <v>2</v>
      </c>
      <c r="AK255" s="356">
        <v>15</v>
      </c>
      <c r="AL255" s="356">
        <v>4</v>
      </c>
      <c r="AM255" s="356">
        <v>5</v>
      </c>
      <c r="AN255" s="356">
        <v>2</v>
      </c>
      <c r="AO255" s="356">
        <v>1</v>
      </c>
      <c r="AP255" s="356">
        <v>1</v>
      </c>
      <c r="AQ255" s="356">
        <v>10</v>
      </c>
      <c r="AR255" s="356">
        <v>7</v>
      </c>
      <c r="AS255" s="356">
        <v>4</v>
      </c>
      <c r="AT255" s="356">
        <v>8</v>
      </c>
      <c r="AU255" s="356">
        <v>2</v>
      </c>
      <c r="AV255" s="356">
        <v>5</v>
      </c>
      <c r="AW255" s="356">
        <v>2</v>
      </c>
      <c r="AX255" s="356">
        <v>4</v>
      </c>
      <c r="AY255" s="356">
        <v>7</v>
      </c>
      <c r="AZ255" s="356">
        <v>4</v>
      </c>
      <c r="BA255" s="356">
        <v>9</v>
      </c>
      <c r="BB255" s="356">
        <v>3</v>
      </c>
      <c r="BD255" s="353">
        <f t="shared" si="12"/>
        <v>62</v>
      </c>
      <c r="BE255" s="353">
        <f t="shared" si="13"/>
        <v>93</v>
      </c>
      <c r="BF255" s="353">
        <f t="shared" si="14"/>
        <v>71</v>
      </c>
      <c r="BG255" s="353">
        <f t="shared" si="15"/>
        <v>93</v>
      </c>
    </row>
    <row r="256" spans="2:59">
      <c r="B256" s="354">
        <v>248</v>
      </c>
      <c r="C256" s="743" t="s">
        <v>458</v>
      </c>
      <c r="D256" s="744" t="s">
        <v>458</v>
      </c>
      <c r="E256" s="744" t="s">
        <v>458</v>
      </c>
      <c r="F256" s="357">
        <v>37878934</v>
      </c>
      <c r="G256" s="356">
        <v>1</v>
      </c>
      <c r="H256" s="356">
        <v>6</v>
      </c>
      <c r="I256" s="356">
        <v>14</v>
      </c>
      <c r="J256" s="356">
        <v>15</v>
      </c>
      <c r="K256" s="356">
        <v>4</v>
      </c>
      <c r="L256" s="356">
        <v>14</v>
      </c>
      <c r="M256" s="356">
        <v>11</v>
      </c>
      <c r="N256" s="356">
        <v>2</v>
      </c>
      <c r="O256" s="356">
        <v>15</v>
      </c>
      <c r="P256" s="356">
        <v>3</v>
      </c>
      <c r="Q256" s="356">
        <v>5</v>
      </c>
      <c r="R256" s="356">
        <v>10</v>
      </c>
      <c r="S256" s="356">
        <v>11</v>
      </c>
      <c r="T256" s="356">
        <v>13</v>
      </c>
      <c r="U256" s="356">
        <v>13</v>
      </c>
      <c r="V256" s="356">
        <v>0</v>
      </c>
      <c r="W256" s="356">
        <v>2</v>
      </c>
      <c r="X256" s="356">
        <v>13</v>
      </c>
      <c r="Y256" s="356">
        <v>5</v>
      </c>
      <c r="Z256" s="356">
        <v>6</v>
      </c>
      <c r="AA256" s="356">
        <v>7</v>
      </c>
      <c r="AB256" s="356">
        <v>11</v>
      </c>
      <c r="AC256" s="356">
        <v>13</v>
      </c>
      <c r="AD256" s="356">
        <v>6</v>
      </c>
      <c r="AE256" s="356">
        <v>9</v>
      </c>
      <c r="AF256" s="356">
        <v>0</v>
      </c>
      <c r="AG256" s="356">
        <v>2</v>
      </c>
      <c r="AH256" s="356">
        <v>14</v>
      </c>
      <c r="AI256" s="356">
        <v>7</v>
      </c>
      <c r="AJ256" s="356">
        <v>13</v>
      </c>
      <c r="AK256" s="356">
        <v>2</v>
      </c>
      <c r="AL256" s="356">
        <v>0</v>
      </c>
      <c r="AM256" s="356">
        <v>0</v>
      </c>
      <c r="AN256" s="356">
        <v>0</v>
      </c>
      <c r="AO256" s="356">
        <v>0</v>
      </c>
      <c r="AP256" s="356">
        <v>14</v>
      </c>
      <c r="AQ256" s="356">
        <v>4</v>
      </c>
      <c r="AR256" s="356">
        <v>5</v>
      </c>
      <c r="AS256" s="356">
        <v>12</v>
      </c>
      <c r="AT256" s="356">
        <v>12</v>
      </c>
      <c r="AU256" s="356">
        <v>11</v>
      </c>
      <c r="AV256" s="356">
        <v>14</v>
      </c>
      <c r="AW256" s="356">
        <v>11</v>
      </c>
      <c r="AX256" s="356">
        <v>11</v>
      </c>
      <c r="AY256" s="356">
        <v>5</v>
      </c>
      <c r="AZ256" s="356">
        <v>10</v>
      </c>
      <c r="BA256" s="356">
        <v>15</v>
      </c>
      <c r="BB256" s="356">
        <v>13</v>
      </c>
      <c r="BD256" s="353">
        <f t="shared" si="12"/>
        <v>88</v>
      </c>
      <c r="BE256" s="353">
        <f t="shared" si="13"/>
        <v>76</v>
      </c>
      <c r="BF256" s="353">
        <f t="shared" si="14"/>
        <v>103</v>
      </c>
      <c r="BG256" s="353">
        <f t="shared" si="15"/>
        <v>75</v>
      </c>
    </row>
    <row r="257" spans="2:59">
      <c r="B257" s="354">
        <v>249</v>
      </c>
      <c r="C257" s="743" t="s">
        <v>457</v>
      </c>
      <c r="D257" s="744" t="s">
        <v>457</v>
      </c>
      <c r="E257" s="744" t="s">
        <v>457</v>
      </c>
      <c r="F257" s="357">
        <v>13538992</v>
      </c>
      <c r="G257" s="356">
        <v>8</v>
      </c>
      <c r="H257" s="356">
        <v>12</v>
      </c>
      <c r="I257" s="356">
        <v>14</v>
      </c>
      <c r="J257" s="356">
        <v>0</v>
      </c>
      <c r="K257" s="356">
        <v>15</v>
      </c>
      <c r="L257" s="356">
        <v>9</v>
      </c>
      <c r="M257" s="356">
        <v>11</v>
      </c>
      <c r="N257" s="356">
        <v>4</v>
      </c>
      <c r="O257" s="356">
        <v>4</v>
      </c>
      <c r="P257" s="356">
        <v>15</v>
      </c>
      <c r="Q257" s="356">
        <v>3</v>
      </c>
      <c r="R257" s="356">
        <v>9</v>
      </c>
      <c r="S257" s="356">
        <v>0</v>
      </c>
      <c r="T257" s="356">
        <v>9</v>
      </c>
      <c r="U257" s="356">
        <v>10</v>
      </c>
      <c r="V257" s="356">
        <v>11</v>
      </c>
      <c r="W257" s="356">
        <v>1</v>
      </c>
      <c r="X257" s="356">
        <v>13</v>
      </c>
      <c r="Y257" s="356">
        <v>3</v>
      </c>
      <c r="Z257" s="356">
        <v>6</v>
      </c>
      <c r="AA257" s="356">
        <v>9</v>
      </c>
      <c r="AB257" s="356">
        <v>1</v>
      </c>
      <c r="AC257" s="356">
        <v>7</v>
      </c>
      <c r="AD257" s="356">
        <v>7</v>
      </c>
      <c r="AE257" s="356">
        <v>9</v>
      </c>
      <c r="AF257" s="356">
        <v>9</v>
      </c>
      <c r="AG257" s="356">
        <v>14</v>
      </c>
      <c r="AH257" s="356">
        <v>10</v>
      </c>
      <c r="AI257" s="356">
        <v>13</v>
      </c>
      <c r="AJ257" s="356">
        <v>5</v>
      </c>
      <c r="AK257" s="356">
        <v>10</v>
      </c>
      <c r="AL257" s="356">
        <v>11</v>
      </c>
      <c r="AM257" s="356">
        <v>11</v>
      </c>
      <c r="AN257" s="356">
        <v>4</v>
      </c>
      <c r="AO257" s="356">
        <v>8</v>
      </c>
      <c r="AP257" s="356">
        <v>13</v>
      </c>
      <c r="AQ257" s="356">
        <v>7</v>
      </c>
      <c r="AR257" s="356">
        <v>5</v>
      </c>
      <c r="AS257" s="356">
        <v>12</v>
      </c>
      <c r="AT257" s="356">
        <v>1</v>
      </c>
      <c r="AU257" s="356">
        <v>9</v>
      </c>
      <c r="AV257" s="356">
        <v>0</v>
      </c>
      <c r="AW257" s="356">
        <v>13</v>
      </c>
      <c r="AX257" s="356">
        <v>9</v>
      </c>
      <c r="AY257" s="356">
        <v>9</v>
      </c>
      <c r="AZ257" s="356">
        <v>0</v>
      </c>
      <c r="BA257" s="356">
        <v>11</v>
      </c>
      <c r="BB257" s="356">
        <v>9</v>
      </c>
      <c r="BD257" s="353">
        <f t="shared" si="12"/>
        <v>105</v>
      </c>
      <c r="BE257" s="353">
        <f t="shared" si="13"/>
        <v>95</v>
      </c>
      <c r="BF257" s="353">
        <f t="shared" si="14"/>
        <v>116</v>
      </c>
      <c r="BG257" s="353">
        <f t="shared" si="15"/>
        <v>87</v>
      </c>
    </row>
    <row r="258" spans="2:59">
      <c r="B258" s="354">
        <v>250</v>
      </c>
      <c r="C258" s="743" t="s">
        <v>456</v>
      </c>
      <c r="D258" s="744" t="s">
        <v>456</v>
      </c>
      <c r="E258" s="744" t="s">
        <v>456</v>
      </c>
      <c r="F258" s="357">
        <v>1101204081</v>
      </c>
      <c r="G258" s="356">
        <v>5</v>
      </c>
      <c r="H258" s="356">
        <v>14</v>
      </c>
      <c r="I258" s="356">
        <v>14</v>
      </c>
      <c r="J258" s="356">
        <v>0</v>
      </c>
      <c r="K258" s="356">
        <v>3</v>
      </c>
      <c r="L258" s="356">
        <v>1</v>
      </c>
      <c r="M258" s="356">
        <v>2</v>
      </c>
      <c r="N258" s="356">
        <v>6</v>
      </c>
      <c r="O258" s="356">
        <v>3</v>
      </c>
      <c r="P258" s="356">
        <v>2</v>
      </c>
      <c r="Q258" s="356">
        <v>1</v>
      </c>
      <c r="R258" s="356">
        <v>0</v>
      </c>
      <c r="S258" s="356">
        <v>7</v>
      </c>
      <c r="T258" s="356">
        <v>10</v>
      </c>
      <c r="U258" s="356">
        <v>9</v>
      </c>
      <c r="V258" s="356">
        <v>12</v>
      </c>
      <c r="W258" s="356">
        <v>5</v>
      </c>
      <c r="X258" s="356">
        <v>10</v>
      </c>
      <c r="Y258" s="356">
        <v>4</v>
      </c>
      <c r="Z258" s="356">
        <v>10</v>
      </c>
      <c r="AA258" s="356">
        <v>13</v>
      </c>
      <c r="AB258" s="356">
        <v>15</v>
      </c>
      <c r="AC258" s="356">
        <v>1</v>
      </c>
      <c r="AD258" s="356">
        <v>3</v>
      </c>
      <c r="AE258" s="356">
        <v>2</v>
      </c>
      <c r="AF258" s="356">
        <v>9</v>
      </c>
      <c r="AG258" s="356">
        <v>8</v>
      </c>
      <c r="AH258" s="356">
        <v>10</v>
      </c>
      <c r="AI258" s="356">
        <v>1</v>
      </c>
      <c r="AJ258" s="356">
        <v>8</v>
      </c>
      <c r="AK258" s="356">
        <v>0</v>
      </c>
      <c r="AL258" s="356">
        <v>9</v>
      </c>
      <c r="AM258" s="356">
        <v>15</v>
      </c>
      <c r="AN258" s="356">
        <v>10</v>
      </c>
      <c r="AO258" s="356">
        <v>1</v>
      </c>
      <c r="AP258" s="356">
        <v>5</v>
      </c>
      <c r="AQ258" s="356">
        <v>9</v>
      </c>
      <c r="AR258" s="356">
        <v>2</v>
      </c>
      <c r="AS258" s="356">
        <v>5</v>
      </c>
      <c r="AT258" s="356">
        <v>10</v>
      </c>
      <c r="AU258" s="356">
        <v>11</v>
      </c>
      <c r="AV258" s="356">
        <v>4</v>
      </c>
      <c r="AW258" s="356">
        <v>11</v>
      </c>
      <c r="AX258" s="356">
        <v>8</v>
      </c>
      <c r="AY258" s="356">
        <v>2</v>
      </c>
      <c r="AZ258" s="356">
        <v>7</v>
      </c>
      <c r="BA258" s="356">
        <v>5</v>
      </c>
      <c r="BB258" s="356">
        <v>2</v>
      </c>
      <c r="BD258" s="353">
        <f t="shared" si="12"/>
        <v>56</v>
      </c>
      <c r="BE258" s="353">
        <f t="shared" si="13"/>
        <v>76</v>
      </c>
      <c r="BF258" s="353">
        <f t="shared" si="14"/>
        <v>61</v>
      </c>
      <c r="BG258" s="353">
        <f t="shared" si="15"/>
        <v>71</v>
      </c>
    </row>
    <row r="259" spans="2:59">
      <c r="B259" s="354">
        <v>251</v>
      </c>
      <c r="C259" s="743" t="s">
        <v>455</v>
      </c>
      <c r="D259" s="744" t="s">
        <v>455</v>
      </c>
      <c r="E259" s="744" t="s">
        <v>455</v>
      </c>
      <c r="F259" s="357">
        <v>37825394</v>
      </c>
      <c r="G259" s="356">
        <v>5</v>
      </c>
      <c r="H259" s="356">
        <v>9</v>
      </c>
      <c r="I259" s="356">
        <v>8</v>
      </c>
      <c r="J259" s="356">
        <v>12</v>
      </c>
      <c r="K259" s="356">
        <v>13</v>
      </c>
      <c r="L259" s="356">
        <v>1</v>
      </c>
      <c r="M259" s="356">
        <v>4</v>
      </c>
      <c r="N259" s="356">
        <v>1</v>
      </c>
      <c r="O259" s="356">
        <v>8</v>
      </c>
      <c r="P259" s="356">
        <v>8</v>
      </c>
      <c r="Q259" s="356">
        <v>2</v>
      </c>
      <c r="R259" s="356">
        <v>3</v>
      </c>
      <c r="S259" s="356">
        <v>14</v>
      </c>
      <c r="T259" s="356">
        <v>8</v>
      </c>
      <c r="U259" s="356">
        <v>1</v>
      </c>
      <c r="V259" s="356">
        <v>7</v>
      </c>
      <c r="W259" s="356">
        <v>3</v>
      </c>
      <c r="X259" s="356">
        <v>6</v>
      </c>
      <c r="Y259" s="356">
        <v>15</v>
      </c>
      <c r="Z259" s="356">
        <v>5</v>
      </c>
      <c r="AA259" s="356">
        <v>2</v>
      </c>
      <c r="AB259" s="356">
        <v>5</v>
      </c>
      <c r="AC259" s="356">
        <v>0</v>
      </c>
      <c r="AD259" s="356">
        <v>6</v>
      </c>
      <c r="AE259" s="356">
        <v>13</v>
      </c>
      <c r="AF259" s="356">
        <v>13</v>
      </c>
      <c r="AG259" s="356">
        <v>9</v>
      </c>
      <c r="AH259" s="356">
        <v>12</v>
      </c>
      <c r="AI259" s="356">
        <v>15</v>
      </c>
      <c r="AJ259" s="356">
        <v>1</v>
      </c>
      <c r="AK259" s="356">
        <v>14</v>
      </c>
      <c r="AL259" s="356">
        <v>6</v>
      </c>
      <c r="AM259" s="356">
        <v>10</v>
      </c>
      <c r="AN259" s="356">
        <v>15</v>
      </c>
      <c r="AO259" s="356">
        <v>9</v>
      </c>
      <c r="AP259" s="356">
        <v>8</v>
      </c>
      <c r="AQ259" s="356">
        <v>7</v>
      </c>
      <c r="AR259" s="356">
        <v>2</v>
      </c>
      <c r="AS259" s="356">
        <v>7</v>
      </c>
      <c r="AT259" s="356">
        <v>15</v>
      </c>
      <c r="AU259" s="356">
        <v>4</v>
      </c>
      <c r="AV259" s="356">
        <v>3</v>
      </c>
      <c r="AW259" s="356">
        <v>1</v>
      </c>
      <c r="AX259" s="356">
        <v>10</v>
      </c>
      <c r="AY259" s="356">
        <v>0</v>
      </c>
      <c r="AZ259" s="356">
        <v>11</v>
      </c>
      <c r="BA259" s="356">
        <v>2</v>
      </c>
      <c r="BB259" s="356">
        <v>0</v>
      </c>
      <c r="BD259" s="353">
        <f t="shared" si="12"/>
        <v>70</v>
      </c>
      <c r="BE259" s="353">
        <f t="shared" si="13"/>
        <v>94</v>
      </c>
      <c r="BF259" s="353">
        <f t="shared" si="14"/>
        <v>72</v>
      </c>
      <c r="BG259" s="353">
        <f t="shared" si="15"/>
        <v>89</v>
      </c>
    </row>
    <row r="260" spans="2:59">
      <c r="B260" s="354">
        <v>252</v>
      </c>
      <c r="C260" s="743" t="s">
        <v>454</v>
      </c>
      <c r="D260" s="744" t="s">
        <v>454</v>
      </c>
      <c r="E260" s="744" t="s">
        <v>454</v>
      </c>
      <c r="F260" s="357">
        <v>1099371062</v>
      </c>
      <c r="G260" s="356">
        <v>0</v>
      </c>
      <c r="H260" s="356">
        <v>6</v>
      </c>
      <c r="I260" s="356">
        <v>14</v>
      </c>
      <c r="J260" s="356">
        <v>10</v>
      </c>
      <c r="K260" s="356">
        <v>12</v>
      </c>
      <c r="L260" s="356">
        <v>0</v>
      </c>
      <c r="M260" s="356">
        <v>7</v>
      </c>
      <c r="N260" s="356">
        <v>9</v>
      </c>
      <c r="O260" s="356">
        <v>12</v>
      </c>
      <c r="P260" s="356">
        <v>9</v>
      </c>
      <c r="Q260" s="356">
        <v>8</v>
      </c>
      <c r="R260" s="356">
        <v>13</v>
      </c>
      <c r="S260" s="356">
        <v>12</v>
      </c>
      <c r="T260" s="356">
        <v>1</v>
      </c>
      <c r="U260" s="356">
        <v>14</v>
      </c>
      <c r="V260" s="356">
        <v>7</v>
      </c>
      <c r="W260" s="356">
        <v>6</v>
      </c>
      <c r="X260" s="356">
        <v>10</v>
      </c>
      <c r="Y260" s="356">
        <v>12</v>
      </c>
      <c r="Z260" s="356">
        <v>3</v>
      </c>
      <c r="AA260" s="356">
        <v>3</v>
      </c>
      <c r="AB260" s="356">
        <v>6</v>
      </c>
      <c r="AC260" s="356">
        <v>10</v>
      </c>
      <c r="AD260" s="356">
        <v>9</v>
      </c>
      <c r="AE260" s="356">
        <v>7</v>
      </c>
      <c r="AF260" s="356">
        <v>15</v>
      </c>
      <c r="AG260" s="356">
        <v>10</v>
      </c>
      <c r="AH260" s="356">
        <v>2</v>
      </c>
      <c r="AI260" s="356">
        <v>13</v>
      </c>
      <c r="AJ260" s="356">
        <v>2</v>
      </c>
      <c r="AK260" s="356">
        <v>4</v>
      </c>
      <c r="AL260" s="356">
        <v>2</v>
      </c>
      <c r="AM260" s="356">
        <v>6</v>
      </c>
      <c r="AN260" s="356">
        <v>12</v>
      </c>
      <c r="AO260" s="356">
        <v>11</v>
      </c>
      <c r="AP260" s="356">
        <v>5</v>
      </c>
      <c r="AQ260" s="356">
        <v>8</v>
      </c>
      <c r="AR260" s="356">
        <v>0</v>
      </c>
      <c r="AS260" s="356">
        <v>6</v>
      </c>
      <c r="AT260" s="356">
        <v>13</v>
      </c>
      <c r="AU260" s="356">
        <v>10</v>
      </c>
      <c r="AV260" s="356">
        <v>9</v>
      </c>
      <c r="AW260" s="356">
        <v>6</v>
      </c>
      <c r="AX260" s="356">
        <v>10</v>
      </c>
      <c r="AY260" s="356">
        <v>4</v>
      </c>
      <c r="AZ260" s="356">
        <v>3</v>
      </c>
      <c r="BA260" s="356">
        <v>11</v>
      </c>
      <c r="BB260" s="356">
        <v>4</v>
      </c>
      <c r="BD260" s="353">
        <f t="shared" si="12"/>
        <v>102</v>
      </c>
      <c r="BE260" s="353">
        <f t="shared" si="13"/>
        <v>93</v>
      </c>
      <c r="BF260" s="353">
        <f t="shared" si="14"/>
        <v>113</v>
      </c>
      <c r="BG260" s="353">
        <f t="shared" si="15"/>
        <v>93</v>
      </c>
    </row>
    <row r="261" spans="2:59">
      <c r="B261" s="354">
        <v>253</v>
      </c>
      <c r="C261" s="743" t="s">
        <v>453</v>
      </c>
      <c r="D261" s="744" t="s">
        <v>453</v>
      </c>
      <c r="E261" s="744" t="s">
        <v>453</v>
      </c>
      <c r="F261" s="357" t="s">
        <v>452</v>
      </c>
      <c r="G261" s="356">
        <v>13</v>
      </c>
      <c r="H261" s="356">
        <v>0</v>
      </c>
      <c r="I261" s="356">
        <v>14</v>
      </c>
      <c r="J261" s="356">
        <v>13</v>
      </c>
      <c r="K261" s="356">
        <v>15</v>
      </c>
      <c r="L261" s="356">
        <v>11</v>
      </c>
      <c r="M261" s="356">
        <v>0</v>
      </c>
      <c r="N261" s="356">
        <v>10</v>
      </c>
      <c r="O261" s="356">
        <v>9</v>
      </c>
      <c r="P261" s="356">
        <v>15</v>
      </c>
      <c r="Q261" s="356">
        <v>14</v>
      </c>
      <c r="R261" s="356">
        <v>14</v>
      </c>
      <c r="S261" s="356">
        <v>7</v>
      </c>
      <c r="T261" s="356">
        <v>15</v>
      </c>
      <c r="U261" s="356">
        <v>5</v>
      </c>
      <c r="V261" s="356">
        <v>13</v>
      </c>
      <c r="W261" s="356">
        <v>13</v>
      </c>
      <c r="X261" s="356">
        <v>13</v>
      </c>
      <c r="Y261" s="356">
        <v>12</v>
      </c>
      <c r="Z261" s="356">
        <v>8</v>
      </c>
      <c r="AA261" s="356">
        <v>7</v>
      </c>
      <c r="AB261" s="356">
        <v>15</v>
      </c>
      <c r="AC261" s="356">
        <v>14</v>
      </c>
      <c r="AD261" s="356">
        <v>13</v>
      </c>
      <c r="AE261" s="356">
        <v>9</v>
      </c>
      <c r="AF261" s="356">
        <v>11</v>
      </c>
      <c r="AG261" s="356">
        <v>12</v>
      </c>
      <c r="AH261" s="356">
        <v>10</v>
      </c>
      <c r="AI261" s="356">
        <v>4</v>
      </c>
      <c r="AJ261" s="356">
        <v>12</v>
      </c>
      <c r="AK261" s="356">
        <v>15</v>
      </c>
      <c r="AL261" s="356">
        <v>9</v>
      </c>
      <c r="AM261" s="356">
        <v>11</v>
      </c>
      <c r="AN261" s="356">
        <v>4</v>
      </c>
      <c r="AO261" s="356">
        <v>1</v>
      </c>
      <c r="AP261" s="356">
        <v>6</v>
      </c>
      <c r="AQ261" s="356">
        <v>8</v>
      </c>
      <c r="AR261" s="356">
        <v>7</v>
      </c>
      <c r="AS261" s="356">
        <v>2</v>
      </c>
      <c r="AT261" s="356">
        <v>3</v>
      </c>
      <c r="AU261" s="356">
        <v>6</v>
      </c>
      <c r="AV261" s="356">
        <v>4</v>
      </c>
      <c r="AW261" s="356">
        <v>0</v>
      </c>
      <c r="AX261" s="356">
        <v>5</v>
      </c>
      <c r="AY261" s="356">
        <v>14</v>
      </c>
      <c r="AZ261" s="356">
        <v>6</v>
      </c>
      <c r="BA261" s="356">
        <v>12</v>
      </c>
      <c r="BB261" s="356">
        <v>6</v>
      </c>
      <c r="BD261" s="353">
        <f t="shared" si="12"/>
        <v>89</v>
      </c>
      <c r="BE261" s="353">
        <f t="shared" si="13"/>
        <v>116</v>
      </c>
      <c r="BF261" s="353">
        <f t="shared" si="14"/>
        <v>101</v>
      </c>
      <c r="BG261" s="353">
        <f t="shared" si="15"/>
        <v>103</v>
      </c>
    </row>
    <row r="262" spans="2:59">
      <c r="B262" s="354">
        <v>254</v>
      </c>
      <c r="C262" s="743" t="s">
        <v>451</v>
      </c>
      <c r="D262" s="744" t="s">
        <v>451</v>
      </c>
      <c r="E262" s="744" t="s">
        <v>451</v>
      </c>
      <c r="F262" s="357">
        <v>28357687</v>
      </c>
      <c r="G262" s="356">
        <v>8</v>
      </c>
      <c r="H262" s="356">
        <v>4</v>
      </c>
      <c r="I262" s="356">
        <v>14</v>
      </c>
      <c r="J262" s="356">
        <v>5</v>
      </c>
      <c r="K262" s="356">
        <v>10</v>
      </c>
      <c r="L262" s="356">
        <v>3</v>
      </c>
      <c r="M262" s="356">
        <v>4</v>
      </c>
      <c r="N262" s="356">
        <v>7</v>
      </c>
      <c r="O262" s="356">
        <v>5</v>
      </c>
      <c r="P262" s="356">
        <v>7</v>
      </c>
      <c r="Q262" s="356">
        <v>10</v>
      </c>
      <c r="R262" s="356">
        <v>10</v>
      </c>
      <c r="S262" s="356">
        <v>10</v>
      </c>
      <c r="T262" s="356">
        <v>14</v>
      </c>
      <c r="U262" s="356">
        <v>6</v>
      </c>
      <c r="V262" s="356">
        <v>10</v>
      </c>
      <c r="W262" s="356">
        <v>3</v>
      </c>
      <c r="X262" s="356">
        <v>7</v>
      </c>
      <c r="Y262" s="356">
        <v>3</v>
      </c>
      <c r="Z262" s="356">
        <v>14</v>
      </c>
      <c r="AA262" s="356">
        <v>10</v>
      </c>
      <c r="AB262" s="356">
        <v>1</v>
      </c>
      <c r="AC262" s="356">
        <v>4</v>
      </c>
      <c r="AD262" s="356">
        <v>15</v>
      </c>
      <c r="AE262" s="356">
        <v>11</v>
      </c>
      <c r="AF262" s="356">
        <v>0</v>
      </c>
      <c r="AG262" s="356">
        <v>2</v>
      </c>
      <c r="AH262" s="356">
        <v>15</v>
      </c>
      <c r="AI262" s="356">
        <v>0</v>
      </c>
      <c r="AJ262" s="356">
        <v>11</v>
      </c>
      <c r="AK262" s="356">
        <v>11</v>
      </c>
      <c r="AL262" s="356">
        <v>7</v>
      </c>
      <c r="AM262" s="356">
        <v>3</v>
      </c>
      <c r="AN262" s="356">
        <v>14</v>
      </c>
      <c r="AO262" s="356">
        <v>3</v>
      </c>
      <c r="AP262" s="356">
        <v>11</v>
      </c>
      <c r="AQ262" s="356">
        <v>1</v>
      </c>
      <c r="AR262" s="356">
        <v>11</v>
      </c>
      <c r="AS262" s="356">
        <v>4</v>
      </c>
      <c r="AT262" s="356">
        <v>2</v>
      </c>
      <c r="AU262" s="356">
        <v>12</v>
      </c>
      <c r="AV262" s="356">
        <v>3</v>
      </c>
      <c r="AW262" s="356">
        <v>4</v>
      </c>
      <c r="AX262" s="356">
        <v>9</v>
      </c>
      <c r="AY262" s="356">
        <v>10</v>
      </c>
      <c r="AZ262" s="356">
        <v>9</v>
      </c>
      <c r="BA262" s="356">
        <v>4</v>
      </c>
      <c r="BB262" s="356">
        <v>12</v>
      </c>
      <c r="BD262" s="353">
        <f t="shared" si="12"/>
        <v>65</v>
      </c>
      <c r="BE262" s="353">
        <f t="shared" si="13"/>
        <v>83</v>
      </c>
      <c r="BF262" s="353">
        <f t="shared" si="14"/>
        <v>69</v>
      </c>
      <c r="BG262" s="353">
        <f t="shared" si="15"/>
        <v>75</v>
      </c>
    </row>
    <row r="263" spans="2:59">
      <c r="B263" s="354">
        <v>255</v>
      </c>
      <c r="C263" s="743" t="s">
        <v>450</v>
      </c>
      <c r="D263" s="744" t="s">
        <v>450</v>
      </c>
      <c r="E263" s="744" t="s">
        <v>450</v>
      </c>
      <c r="F263" s="357">
        <v>1007731576</v>
      </c>
      <c r="G263" s="356">
        <v>9</v>
      </c>
      <c r="H263" s="356">
        <v>4</v>
      </c>
      <c r="I263" s="356">
        <v>4</v>
      </c>
      <c r="J263" s="356">
        <v>9</v>
      </c>
      <c r="K263" s="356">
        <v>11</v>
      </c>
      <c r="L263" s="356">
        <v>9</v>
      </c>
      <c r="M263" s="356">
        <v>10</v>
      </c>
      <c r="N263" s="356">
        <v>5</v>
      </c>
      <c r="O263" s="356">
        <v>3</v>
      </c>
      <c r="P263" s="356">
        <v>4</v>
      </c>
      <c r="Q263" s="356">
        <v>7</v>
      </c>
      <c r="R263" s="356">
        <v>8</v>
      </c>
      <c r="S263" s="356">
        <v>15</v>
      </c>
      <c r="T263" s="356">
        <v>0</v>
      </c>
      <c r="U263" s="356">
        <v>13</v>
      </c>
      <c r="V263" s="356">
        <v>10</v>
      </c>
      <c r="W263" s="356">
        <v>6</v>
      </c>
      <c r="X263" s="356">
        <v>3</v>
      </c>
      <c r="Y263" s="356">
        <v>6</v>
      </c>
      <c r="Z263" s="356">
        <v>12</v>
      </c>
      <c r="AA263" s="356">
        <v>1</v>
      </c>
      <c r="AB263" s="356">
        <v>15</v>
      </c>
      <c r="AC263" s="356">
        <v>8</v>
      </c>
      <c r="AD263" s="356">
        <v>12</v>
      </c>
      <c r="AE263" s="356">
        <v>13</v>
      </c>
      <c r="AF263" s="356">
        <v>2</v>
      </c>
      <c r="AG263" s="356">
        <v>0</v>
      </c>
      <c r="AH263" s="356">
        <v>13</v>
      </c>
      <c r="AI263" s="356">
        <v>15</v>
      </c>
      <c r="AJ263" s="356">
        <v>13</v>
      </c>
      <c r="AK263" s="356">
        <v>11</v>
      </c>
      <c r="AL263" s="356">
        <v>3</v>
      </c>
      <c r="AM263" s="356">
        <v>7</v>
      </c>
      <c r="AN263" s="356">
        <v>3</v>
      </c>
      <c r="AO263" s="356">
        <v>0</v>
      </c>
      <c r="AP263" s="356">
        <v>5</v>
      </c>
      <c r="AQ263" s="356">
        <v>10</v>
      </c>
      <c r="AR263" s="356">
        <v>11</v>
      </c>
      <c r="AS263" s="356">
        <v>7</v>
      </c>
      <c r="AT263" s="356">
        <v>7</v>
      </c>
      <c r="AU263" s="356">
        <v>10</v>
      </c>
      <c r="AV263" s="356">
        <v>1</v>
      </c>
      <c r="AW263" s="356">
        <v>6</v>
      </c>
      <c r="AX263" s="356">
        <v>9</v>
      </c>
      <c r="AY263" s="356">
        <v>5</v>
      </c>
      <c r="AZ263" s="356">
        <v>4</v>
      </c>
      <c r="BA263" s="356">
        <v>14</v>
      </c>
      <c r="BB263" s="356">
        <v>6</v>
      </c>
      <c r="BD263" s="353">
        <f t="shared" si="12"/>
        <v>72</v>
      </c>
      <c r="BE263" s="353">
        <f t="shared" si="13"/>
        <v>105</v>
      </c>
      <c r="BF263" s="353">
        <f t="shared" si="14"/>
        <v>86</v>
      </c>
      <c r="BG263" s="353">
        <f t="shared" si="15"/>
        <v>96</v>
      </c>
    </row>
    <row r="264" spans="2:59">
      <c r="B264" s="354">
        <v>256</v>
      </c>
      <c r="C264" s="743" t="s">
        <v>449</v>
      </c>
      <c r="D264" s="744" t="s">
        <v>449</v>
      </c>
      <c r="E264" s="744" t="s">
        <v>449</v>
      </c>
      <c r="F264" s="357">
        <v>91458231</v>
      </c>
      <c r="G264" s="356">
        <v>4</v>
      </c>
      <c r="H264" s="356">
        <v>13</v>
      </c>
      <c r="I264" s="356">
        <v>8</v>
      </c>
      <c r="J264" s="356">
        <v>12</v>
      </c>
      <c r="K264" s="356">
        <v>15</v>
      </c>
      <c r="L264" s="356">
        <v>2</v>
      </c>
      <c r="M264" s="356">
        <v>10</v>
      </c>
      <c r="N264" s="356">
        <v>8</v>
      </c>
      <c r="O264" s="356">
        <v>10</v>
      </c>
      <c r="P264" s="356">
        <v>0</v>
      </c>
      <c r="Q264" s="356">
        <v>3</v>
      </c>
      <c r="R264" s="356">
        <v>9</v>
      </c>
      <c r="S264" s="356">
        <v>9</v>
      </c>
      <c r="T264" s="356">
        <v>3</v>
      </c>
      <c r="U264" s="356">
        <v>15</v>
      </c>
      <c r="V264" s="356">
        <v>4</v>
      </c>
      <c r="W264" s="356">
        <v>5</v>
      </c>
      <c r="X264" s="356">
        <v>5</v>
      </c>
      <c r="Y264" s="356">
        <v>11</v>
      </c>
      <c r="Z264" s="356">
        <v>8</v>
      </c>
      <c r="AA264" s="356">
        <v>11</v>
      </c>
      <c r="AB264" s="356">
        <v>1</v>
      </c>
      <c r="AC264" s="356">
        <v>11</v>
      </c>
      <c r="AD264" s="356">
        <v>3</v>
      </c>
      <c r="AE264" s="356">
        <v>5</v>
      </c>
      <c r="AF264" s="356">
        <v>8</v>
      </c>
      <c r="AG264" s="356">
        <v>2</v>
      </c>
      <c r="AH264" s="356">
        <v>11</v>
      </c>
      <c r="AI264" s="356">
        <v>3</v>
      </c>
      <c r="AJ264" s="356">
        <v>7</v>
      </c>
      <c r="AK264" s="356">
        <v>7</v>
      </c>
      <c r="AL264" s="356">
        <v>12</v>
      </c>
      <c r="AM264" s="356">
        <v>6</v>
      </c>
      <c r="AN264" s="356">
        <v>2</v>
      </c>
      <c r="AO264" s="356">
        <v>3</v>
      </c>
      <c r="AP264" s="356">
        <v>12</v>
      </c>
      <c r="AQ264" s="356">
        <v>11</v>
      </c>
      <c r="AR264" s="356">
        <v>2</v>
      </c>
      <c r="AS264" s="356">
        <v>0</v>
      </c>
      <c r="AT264" s="356">
        <v>13</v>
      </c>
      <c r="AU264" s="356">
        <v>10</v>
      </c>
      <c r="AV264" s="356">
        <v>7</v>
      </c>
      <c r="AW264" s="356">
        <v>8</v>
      </c>
      <c r="AX264" s="356">
        <v>5</v>
      </c>
      <c r="AY264" s="356">
        <v>2</v>
      </c>
      <c r="AZ264" s="356">
        <v>13</v>
      </c>
      <c r="BA264" s="356">
        <v>14</v>
      </c>
      <c r="BB264" s="356">
        <v>3</v>
      </c>
      <c r="BD264" s="353">
        <f t="shared" si="12"/>
        <v>78</v>
      </c>
      <c r="BE264" s="353">
        <f t="shared" si="13"/>
        <v>91</v>
      </c>
      <c r="BF264" s="353">
        <f t="shared" si="14"/>
        <v>92</v>
      </c>
      <c r="BG264" s="353">
        <f t="shared" si="15"/>
        <v>87</v>
      </c>
    </row>
    <row r="265" spans="2:59">
      <c r="B265" s="354">
        <v>257</v>
      </c>
      <c r="C265" s="743" t="s">
        <v>448</v>
      </c>
      <c r="D265" s="744" t="s">
        <v>448</v>
      </c>
      <c r="E265" s="744" t="s">
        <v>448</v>
      </c>
      <c r="F265" s="357">
        <v>91458978</v>
      </c>
      <c r="G265" s="356">
        <v>8</v>
      </c>
      <c r="H265" s="356">
        <v>3</v>
      </c>
      <c r="I265" s="356">
        <v>3</v>
      </c>
      <c r="J265" s="356">
        <v>0</v>
      </c>
      <c r="K265" s="356">
        <v>7</v>
      </c>
      <c r="L265" s="356">
        <v>12</v>
      </c>
      <c r="M265" s="356">
        <v>15</v>
      </c>
      <c r="N265" s="356">
        <v>12</v>
      </c>
      <c r="O265" s="356">
        <v>5</v>
      </c>
      <c r="P265" s="356">
        <v>5</v>
      </c>
      <c r="Q265" s="356">
        <v>4</v>
      </c>
      <c r="R265" s="356">
        <v>5</v>
      </c>
      <c r="S265" s="356">
        <v>0</v>
      </c>
      <c r="T265" s="356">
        <v>9</v>
      </c>
      <c r="U265" s="356">
        <v>4</v>
      </c>
      <c r="V265" s="356">
        <v>4</v>
      </c>
      <c r="W265" s="356">
        <v>13</v>
      </c>
      <c r="X265" s="356">
        <v>12</v>
      </c>
      <c r="Y265" s="356">
        <v>15</v>
      </c>
      <c r="Z265" s="356">
        <v>10</v>
      </c>
      <c r="AA265" s="356">
        <v>14</v>
      </c>
      <c r="AB265" s="356">
        <v>3</v>
      </c>
      <c r="AC265" s="356">
        <v>2</v>
      </c>
      <c r="AD265" s="356">
        <v>12</v>
      </c>
      <c r="AE265" s="356">
        <v>11</v>
      </c>
      <c r="AF265" s="356">
        <v>12</v>
      </c>
      <c r="AG265" s="356">
        <v>2</v>
      </c>
      <c r="AH265" s="356">
        <v>5</v>
      </c>
      <c r="AI265" s="356">
        <v>1</v>
      </c>
      <c r="AJ265" s="356">
        <v>7</v>
      </c>
      <c r="AK265" s="356">
        <v>12</v>
      </c>
      <c r="AL265" s="356">
        <v>0</v>
      </c>
      <c r="AM265" s="356">
        <v>4</v>
      </c>
      <c r="AN265" s="356">
        <v>13</v>
      </c>
      <c r="AO265" s="356">
        <v>2</v>
      </c>
      <c r="AP265" s="356">
        <v>12</v>
      </c>
      <c r="AQ265" s="356">
        <v>0</v>
      </c>
      <c r="AR265" s="356">
        <v>2</v>
      </c>
      <c r="AS265" s="356">
        <v>13</v>
      </c>
      <c r="AT265" s="356">
        <v>13</v>
      </c>
      <c r="AU265" s="356">
        <v>10</v>
      </c>
      <c r="AV265" s="356">
        <v>2</v>
      </c>
      <c r="AW265" s="356">
        <v>6</v>
      </c>
      <c r="AX265" s="356">
        <v>1</v>
      </c>
      <c r="AY265" s="356">
        <v>13</v>
      </c>
      <c r="AZ265" s="356">
        <v>14</v>
      </c>
      <c r="BA265" s="356">
        <v>9</v>
      </c>
      <c r="BB265" s="356">
        <v>3</v>
      </c>
      <c r="BD265" s="353">
        <f t="shared" ref="BD265:BD270" si="16">SUMIF($G$8:$BB$8,"PREMIUM",E265:AZ265)</f>
        <v>78</v>
      </c>
      <c r="BE265" s="353">
        <f t="shared" ref="BE265:BE270" si="17">SUMIF($G$8:$BB$8,"SILVER",F265:BA265)</f>
        <v>86</v>
      </c>
      <c r="BF265" s="353">
        <f t="shared" ref="BF265:BF270" si="18">SUMIF($G$8:$BB$8,"GOLD",G265:BB265)</f>
        <v>87</v>
      </c>
      <c r="BG265" s="353">
        <f t="shared" ref="BG265:BG270" si="19">SUMIF($G$8:$BB$8,"DELUXE",H265:BC265)</f>
        <v>78</v>
      </c>
    </row>
    <row r="266" spans="2:59">
      <c r="B266" s="354">
        <v>258</v>
      </c>
      <c r="C266" s="743" t="s">
        <v>447</v>
      </c>
      <c r="D266" s="744" t="s">
        <v>447</v>
      </c>
      <c r="E266" s="744" t="s">
        <v>447</v>
      </c>
      <c r="F266" s="357">
        <v>91458978</v>
      </c>
      <c r="G266" s="356">
        <v>13</v>
      </c>
      <c r="H266" s="356">
        <v>7</v>
      </c>
      <c r="I266" s="356">
        <v>12</v>
      </c>
      <c r="J266" s="356">
        <v>7</v>
      </c>
      <c r="K266" s="356">
        <v>3</v>
      </c>
      <c r="L266" s="356">
        <v>5</v>
      </c>
      <c r="M266" s="356">
        <v>5</v>
      </c>
      <c r="N266" s="356">
        <v>0</v>
      </c>
      <c r="O266" s="356">
        <v>15</v>
      </c>
      <c r="P266" s="356">
        <v>11</v>
      </c>
      <c r="Q266" s="356">
        <v>12</v>
      </c>
      <c r="R266" s="356">
        <v>6</v>
      </c>
      <c r="S266" s="356">
        <v>10</v>
      </c>
      <c r="T266" s="356">
        <v>12</v>
      </c>
      <c r="U266" s="356">
        <v>9</v>
      </c>
      <c r="V266" s="356">
        <v>1</v>
      </c>
      <c r="W266" s="356">
        <v>5</v>
      </c>
      <c r="X266" s="356">
        <v>13</v>
      </c>
      <c r="Y266" s="356">
        <v>15</v>
      </c>
      <c r="Z266" s="356">
        <v>9</v>
      </c>
      <c r="AA266" s="356">
        <v>5</v>
      </c>
      <c r="AB266" s="356">
        <v>2</v>
      </c>
      <c r="AC266" s="356">
        <v>9</v>
      </c>
      <c r="AD266" s="356">
        <v>11</v>
      </c>
      <c r="AE266" s="356">
        <v>8</v>
      </c>
      <c r="AF266" s="356">
        <v>13</v>
      </c>
      <c r="AG266" s="356">
        <v>1</v>
      </c>
      <c r="AH266" s="356">
        <v>8</v>
      </c>
      <c r="AI266" s="356">
        <v>6</v>
      </c>
      <c r="AJ266" s="356">
        <v>1</v>
      </c>
      <c r="AK266" s="356">
        <v>4</v>
      </c>
      <c r="AL266" s="356">
        <v>1</v>
      </c>
      <c r="AM266" s="356">
        <v>6</v>
      </c>
      <c r="AN266" s="356">
        <v>8</v>
      </c>
      <c r="AO266" s="356">
        <v>12</v>
      </c>
      <c r="AP266" s="356">
        <v>5</v>
      </c>
      <c r="AQ266" s="356">
        <v>6</v>
      </c>
      <c r="AR266" s="356">
        <v>8</v>
      </c>
      <c r="AS266" s="356">
        <v>6</v>
      </c>
      <c r="AT266" s="356">
        <v>9</v>
      </c>
      <c r="AU266" s="356">
        <v>0</v>
      </c>
      <c r="AV266" s="356">
        <v>1</v>
      </c>
      <c r="AW266" s="356">
        <v>2</v>
      </c>
      <c r="AX266" s="356">
        <v>11</v>
      </c>
      <c r="AY266" s="356">
        <v>11</v>
      </c>
      <c r="AZ266" s="356">
        <v>7</v>
      </c>
      <c r="BA266" s="356">
        <v>12</v>
      </c>
      <c r="BB266" s="356">
        <v>7</v>
      </c>
      <c r="BD266" s="353">
        <f t="shared" si="16"/>
        <v>87</v>
      </c>
      <c r="BE266" s="353">
        <f t="shared" si="17"/>
        <v>88</v>
      </c>
      <c r="BF266" s="353">
        <f t="shared" si="18"/>
        <v>99</v>
      </c>
      <c r="BG266" s="353">
        <f t="shared" si="19"/>
        <v>75</v>
      </c>
    </row>
    <row r="267" spans="2:59">
      <c r="B267" s="354">
        <v>259</v>
      </c>
      <c r="C267" s="743" t="s">
        <v>446</v>
      </c>
      <c r="D267" s="744" t="s">
        <v>446</v>
      </c>
      <c r="E267" s="744" t="s">
        <v>446</v>
      </c>
      <c r="F267" s="357">
        <v>1101597126</v>
      </c>
      <c r="G267" s="356">
        <v>3</v>
      </c>
      <c r="H267" s="356">
        <v>11</v>
      </c>
      <c r="I267" s="356">
        <v>2</v>
      </c>
      <c r="J267" s="356">
        <v>12</v>
      </c>
      <c r="K267" s="356">
        <v>10</v>
      </c>
      <c r="L267" s="356">
        <v>11</v>
      </c>
      <c r="M267" s="356">
        <v>7</v>
      </c>
      <c r="N267" s="356">
        <v>8</v>
      </c>
      <c r="O267" s="356">
        <v>4</v>
      </c>
      <c r="P267" s="356">
        <v>7</v>
      </c>
      <c r="Q267" s="356">
        <v>6</v>
      </c>
      <c r="R267" s="356">
        <v>7</v>
      </c>
      <c r="S267" s="356">
        <v>3</v>
      </c>
      <c r="T267" s="356">
        <v>7</v>
      </c>
      <c r="U267" s="356">
        <v>3</v>
      </c>
      <c r="V267" s="356">
        <v>8</v>
      </c>
      <c r="W267" s="356">
        <v>15</v>
      </c>
      <c r="X267" s="356">
        <v>11</v>
      </c>
      <c r="Y267" s="356">
        <v>15</v>
      </c>
      <c r="Z267" s="356">
        <v>15</v>
      </c>
      <c r="AA267" s="356">
        <v>6</v>
      </c>
      <c r="AB267" s="356">
        <v>3</v>
      </c>
      <c r="AC267" s="356">
        <v>6</v>
      </c>
      <c r="AD267" s="356">
        <v>14</v>
      </c>
      <c r="AE267" s="356">
        <v>7</v>
      </c>
      <c r="AF267" s="356">
        <v>9</v>
      </c>
      <c r="AG267" s="356">
        <v>11</v>
      </c>
      <c r="AH267" s="356">
        <v>14</v>
      </c>
      <c r="AI267" s="356">
        <v>12</v>
      </c>
      <c r="AJ267" s="356">
        <v>13</v>
      </c>
      <c r="AK267" s="356">
        <v>13</v>
      </c>
      <c r="AL267" s="356">
        <v>9</v>
      </c>
      <c r="AM267" s="356">
        <v>10</v>
      </c>
      <c r="AN267" s="356">
        <v>4</v>
      </c>
      <c r="AO267" s="356">
        <v>15</v>
      </c>
      <c r="AP267" s="356">
        <v>5</v>
      </c>
      <c r="AQ267" s="356">
        <v>1</v>
      </c>
      <c r="AR267" s="356">
        <v>15</v>
      </c>
      <c r="AS267" s="356">
        <v>8</v>
      </c>
      <c r="AT267" s="356">
        <v>10</v>
      </c>
      <c r="AU267" s="356">
        <v>5</v>
      </c>
      <c r="AV267" s="356">
        <v>8</v>
      </c>
      <c r="AW267" s="356">
        <v>14</v>
      </c>
      <c r="AX267" s="356">
        <v>3</v>
      </c>
      <c r="AY267" s="356">
        <v>7</v>
      </c>
      <c r="AZ267" s="356">
        <v>0</v>
      </c>
      <c r="BA267" s="356">
        <v>4</v>
      </c>
      <c r="BB267" s="356">
        <v>0</v>
      </c>
      <c r="BD267" s="353">
        <f t="shared" si="16"/>
        <v>100</v>
      </c>
      <c r="BE267" s="353">
        <f t="shared" si="17"/>
        <v>83</v>
      </c>
      <c r="BF267" s="353">
        <f t="shared" si="18"/>
        <v>104</v>
      </c>
      <c r="BG267" s="353">
        <f t="shared" si="19"/>
        <v>80</v>
      </c>
    </row>
    <row r="268" spans="2:59">
      <c r="B268" s="354">
        <v>260</v>
      </c>
      <c r="C268" s="743" t="s">
        <v>445</v>
      </c>
      <c r="D268" s="744" t="s">
        <v>445</v>
      </c>
      <c r="E268" s="744" t="s">
        <v>445</v>
      </c>
      <c r="F268" s="357">
        <v>1056593009</v>
      </c>
      <c r="G268" s="356">
        <v>2</v>
      </c>
      <c r="H268" s="356">
        <v>12</v>
      </c>
      <c r="I268" s="356">
        <v>4</v>
      </c>
      <c r="J268" s="356">
        <v>1</v>
      </c>
      <c r="K268" s="356">
        <v>12</v>
      </c>
      <c r="L268" s="356">
        <v>7</v>
      </c>
      <c r="M268" s="356">
        <v>10</v>
      </c>
      <c r="N268" s="356">
        <v>15</v>
      </c>
      <c r="O268" s="356">
        <v>3</v>
      </c>
      <c r="P268" s="356">
        <v>9</v>
      </c>
      <c r="Q268" s="356">
        <v>9</v>
      </c>
      <c r="R268" s="356">
        <v>1</v>
      </c>
      <c r="S268" s="356">
        <v>7</v>
      </c>
      <c r="T268" s="356">
        <v>8</v>
      </c>
      <c r="U268" s="356">
        <v>12</v>
      </c>
      <c r="V268" s="356">
        <v>2</v>
      </c>
      <c r="W268" s="356">
        <v>8</v>
      </c>
      <c r="X268" s="356">
        <v>5</v>
      </c>
      <c r="Y268" s="356">
        <v>9</v>
      </c>
      <c r="Z268" s="356">
        <v>15</v>
      </c>
      <c r="AA268" s="356">
        <v>12</v>
      </c>
      <c r="AB268" s="356">
        <v>12</v>
      </c>
      <c r="AC268" s="356">
        <v>0</v>
      </c>
      <c r="AD268" s="356">
        <v>6</v>
      </c>
      <c r="AE268" s="356">
        <v>3</v>
      </c>
      <c r="AF268" s="356">
        <v>4</v>
      </c>
      <c r="AG268" s="356">
        <v>9</v>
      </c>
      <c r="AH268" s="356">
        <v>15</v>
      </c>
      <c r="AI268" s="356">
        <v>3</v>
      </c>
      <c r="AJ268" s="356">
        <v>7</v>
      </c>
      <c r="AK268" s="356">
        <v>11</v>
      </c>
      <c r="AL268" s="356">
        <v>10</v>
      </c>
      <c r="AM268" s="356">
        <v>3</v>
      </c>
      <c r="AN268" s="356">
        <v>0</v>
      </c>
      <c r="AO268" s="356">
        <v>2</v>
      </c>
      <c r="AP268" s="356">
        <v>5</v>
      </c>
      <c r="AQ268" s="356">
        <v>3</v>
      </c>
      <c r="AR268" s="356">
        <v>1</v>
      </c>
      <c r="AS268" s="356">
        <v>0</v>
      </c>
      <c r="AT268" s="356">
        <v>0</v>
      </c>
      <c r="AU268" s="356">
        <v>2</v>
      </c>
      <c r="AV268" s="356">
        <v>11</v>
      </c>
      <c r="AW268" s="356">
        <v>3</v>
      </c>
      <c r="AX268" s="356">
        <v>9</v>
      </c>
      <c r="AY268" s="356">
        <v>7</v>
      </c>
      <c r="AZ268" s="356">
        <v>15</v>
      </c>
      <c r="BA268" s="356">
        <v>3</v>
      </c>
      <c r="BB268" s="356">
        <v>3</v>
      </c>
      <c r="BD268" s="353">
        <f t="shared" si="16"/>
        <v>69</v>
      </c>
      <c r="BE268" s="353">
        <f t="shared" si="17"/>
        <v>65</v>
      </c>
      <c r="BF268" s="353">
        <f t="shared" si="18"/>
        <v>72</v>
      </c>
      <c r="BG268" s="353">
        <f t="shared" si="19"/>
        <v>63</v>
      </c>
    </row>
    <row r="269" spans="2:59">
      <c r="B269" s="354">
        <v>261</v>
      </c>
      <c r="C269" s="743" t="s">
        <v>444</v>
      </c>
      <c r="D269" s="744" t="s">
        <v>444</v>
      </c>
      <c r="E269" s="744" t="s">
        <v>444</v>
      </c>
      <c r="F269" s="357">
        <v>1101597539</v>
      </c>
      <c r="G269" s="356">
        <v>9</v>
      </c>
      <c r="H269" s="356">
        <v>5</v>
      </c>
      <c r="I269" s="356">
        <v>14</v>
      </c>
      <c r="J269" s="356">
        <v>11</v>
      </c>
      <c r="K269" s="356">
        <v>15</v>
      </c>
      <c r="L269" s="356">
        <v>1</v>
      </c>
      <c r="M269" s="356">
        <v>1</v>
      </c>
      <c r="N269" s="356">
        <v>13</v>
      </c>
      <c r="O269" s="356">
        <v>9</v>
      </c>
      <c r="P269" s="356">
        <v>13</v>
      </c>
      <c r="Q269" s="356">
        <v>10</v>
      </c>
      <c r="R269" s="356">
        <v>3</v>
      </c>
      <c r="S269" s="356">
        <v>11</v>
      </c>
      <c r="T269" s="356">
        <v>6</v>
      </c>
      <c r="U269" s="356">
        <v>6</v>
      </c>
      <c r="V269" s="356">
        <v>2</v>
      </c>
      <c r="W269" s="356">
        <v>11</v>
      </c>
      <c r="X269" s="356">
        <v>13</v>
      </c>
      <c r="Y269" s="356">
        <v>9</v>
      </c>
      <c r="Z269" s="356">
        <v>8</v>
      </c>
      <c r="AA269" s="356">
        <v>12</v>
      </c>
      <c r="AB269" s="356">
        <v>14</v>
      </c>
      <c r="AC269" s="356">
        <v>7</v>
      </c>
      <c r="AD269" s="356">
        <v>14</v>
      </c>
      <c r="AE269" s="356">
        <v>1</v>
      </c>
      <c r="AF269" s="356">
        <v>5</v>
      </c>
      <c r="AG269" s="356">
        <v>4</v>
      </c>
      <c r="AH269" s="356">
        <v>15</v>
      </c>
      <c r="AI269" s="356">
        <v>1</v>
      </c>
      <c r="AJ269" s="356">
        <v>9</v>
      </c>
      <c r="AK269" s="356">
        <v>10</v>
      </c>
      <c r="AL269" s="356">
        <v>4</v>
      </c>
      <c r="AM269" s="356">
        <v>10</v>
      </c>
      <c r="AN269" s="356">
        <v>9</v>
      </c>
      <c r="AO269" s="356">
        <v>2</v>
      </c>
      <c r="AP269" s="356">
        <v>7</v>
      </c>
      <c r="AQ269" s="356">
        <v>0</v>
      </c>
      <c r="AR269" s="356">
        <v>12</v>
      </c>
      <c r="AS269" s="356">
        <v>11</v>
      </c>
      <c r="AT269" s="356">
        <v>0</v>
      </c>
      <c r="AU269" s="356">
        <v>3</v>
      </c>
      <c r="AV269" s="356">
        <v>13</v>
      </c>
      <c r="AW269" s="356">
        <v>6</v>
      </c>
      <c r="AX269" s="356">
        <v>14</v>
      </c>
      <c r="AY269" s="356">
        <v>3</v>
      </c>
      <c r="AZ269" s="356">
        <v>1</v>
      </c>
      <c r="BA269" s="356">
        <v>7</v>
      </c>
      <c r="BB269" s="356">
        <v>6</v>
      </c>
      <c r="BD269" s="353">
        <f t="shared" si="16"/>
        <v>80</v>
      </c>
      <c r="BE269" s="353">
        <f t="shared" si="17"/>
        <v>85</v>
      </c>
      <c r="BF269" s="353">
        <f t="shared" si="18"/>
        <v>87</v>
      </c>
      <c r="BG269" s="353">
        <f t="shared" si="19"/>
        <v>76</v>
      </c>
    </row>
    <row r="270" spans="2:59" ht="15.75" thickBot="1">
      <c r="B270" s="358">
        <v>262</v>
      </c>
      <c r="C270" s="743" t="s">
        <v>443</v>
      </c>
      <c r="D270" s="744" t="s">
        <v>443</v>
      </c>
      <c r="E270" s="744" t="s">
        <v>443</v>
      </c>
      <c r="F270" s="357">
        <v>1101597539</v>
      </c>
      <c r="G270" s="356">
        <v>14</v>
      </c>
      <c r="H270" s="356">
        <v>9</v>
      </c>
      <c r="I270" s="356">
        <v>5</v>
      </c>
      <c r="J270" s="356">
        <v>3</v>
      </c>
      <c r="K270" s="356">
        <v>14</v>
      </c>
      <c r="L270" s="356">
        <v>14</v>
      </c>
      <c r="M270" s="356">
        <v>12</v>
      </c>
      <c r="N270" s="356">
        <v>8</v>
      </c>
      <c r="O270" s="356">
        <v>15</v>
      </c>
      <c r="P270" s="356">
        <v>2</v>
      </c>
      <c r="Q270" s="356">
        <v>14</v>
      </c>
      <c r="R270" s="356">
        <v>9</v>
      </c>
      <c r="S270" s="356">
        <v>6</v>
      </c>
      <c r="T270" s="356">
        <v>5</v>
      </c>
      <c r="U270" s="356">
        <v>11</v>
      </c>
      <c r="V270" s="356">
        <v>5</v>
      </c>
      <c r="W270" s="356">
        <v>14</v>
      </c>
      <c r="X270" s="356">
        <v>0</v>
      </c>
      <c r="Y270" s="356">
        <v>3</v>
      </c>
      <c r="Z270" s="356">
        <v>11</v>
      </c>
      <c r="AA270" s="356">
        <v>12</v>
      </c>
      <c r="AB270" s="356">
        <v>5</v>
      </c>
      <c r="AC270" s="356">
        <v>4</v>
      </c>
      <c r="AD270" s="356">
        <v>12</v>
      </c>
      <c r="AE270" s="356">
        <v>7</v>
      </c>
      <c r="AF270" s="356">
        <v>1</v>
      </c>
      <c r="AG270" s="356">
        <v>5</v>
      </c>
      <c r="AH270" s="356">
        <v>4</v>
      </c>
      <c r="AI270" s="356">
        <v>5</v>
      </c>
      <c r="AJ270" s="356">
        <v>7</v>
      </c>
      <c r="AK270" s="356">
        <v>4</v>
      </c>
      <c r="AL270" s="356">
        <v>10</v>
      </c>
      <c r="AM270" s="356">
        <v>12</v>
      </c>
      <c r="AN270" s="356">
        <v>13</v>
      </c>
      <c r="AO270" s="356">
        <v>9</v>
      </c>
      <c r="AP270" s="356">
        <v>6</v>
      </c>
      <c r="AQ270" s="356">
        <v>14</v>
      </c>
      <c r="AR270" s="356">
        <v>9</v>
      </c>
      <c r="AS270" s="356">
        <v>2</v>
      </c>
      <c r="AT270" s="356">
        <v>4</v>
      </c>
      <c r="AU270" s="356">
        <v>11</v>
      </c>
      <c r="AV270" s="356">
        <v>7</v>
      </c>
      <c r="AW270" s="356">
        <v>14</v>
      </c>
      <c r="AX270" s="356">
        <v>3</v>
      </c>
      <c r="AY270" s="356">
        <v>12</v>
      </c>
      <c r="AZ270" s="356">
        <v>12</v>
      </c>
      <c r="BA270" s="356">
        <v>5</v>
      </c>
      <c r="BB270" s="356">
        <v>14</v>
      </c>
      <c r="BD270" s="353">
        <f t="shared" si="16"/>
        <v>83</v>
      </c>
      <c r="BE270" s="353">
        <f t="shared" si="17"/>
        <v>136</v>
      </c>
      <c r="BF270" s="353">
        <f t="shared" si="18"/>
        <v>88</v>
      </c>
      <c r="BG270" s="353">
        <f t="shared" si="19"/>
        <v>122</v>
      </c>
    </row>
    <row r="271" spans="2:59" ht="24" customHeight="1">
      <c r="C271" s="359"/>
      <c r="D271" s="359"/>
      <c r="E271" s="359"/>
      <c r="BC271" s="778" t="s">
        <v>890</v>
      </c>
      <c r="BD271" s="742">
        <f>SUM(BD9:BD270)</f>
        <v>21388</v>
      </c>
      <c r="BE271" s="742">
        <f>SUM(BE9:BE270)</f>
        <v>22858</v>
      </c>
      <c r="BF271" s="742">
        <f>SUM(BF9:BF270)</f>
        <v>23299</v>
      </c>
      <c r="BG271" s="742">
        <f>SUM(BG9:BG270)</f>
        <v>20877</v>
      </c>
    </row>
    <row r="272" spans="2:59" ht="25.5" customHeight="1">
      <c r="C272" s="359"/>
      <c r="D272" s="359"/>
      <c r="E272" s="359"/>
      <c r="BC272" s="779"/>
      <c r="BD272" s="742"/>
      <c r="BE272" s="742"/>
      <c r="BF272" s="742"/>
      <c r="BG272" s="742"/>
    </row>
    <row r="273" spans="3:5">
      <c r="C273" s="359"/>
      <c r="D273" s="359"/>
      <c r="E273" s="359"/>
    </row>
    <row r="274" spans="3:5">
      <c r="C274" s="359"/>
      <c r="D274" s="359"/>
      <c r="E274" s="359"/>
    </row>
    <row r="275" spans="3:5">
      <c r="C275" s="359"/>
      <c r="D275" s="359"/>
      <c r="E275" s="359"/>
    </row>
    <row r="276" spans="3:5">
      <c r="C276" s="359"/>
      <c r="D276" s="359"/>
      <c r="E276" s="359"/>
    </row>
    <row r="277" spans="3:5">
      <c r="C277" s="359"/>
      <c r="D277" s="359"/>
      <c r="E277" s="359"/>
    </row>
    <row r="278" spans="3:5">
      <c r="C278" s="359"/>
      <c r="D278" s="359"/>
      <c r="E278" s="359"/>
    </row>
    <row r="279" spans="3:5">
      <c r="C279" s="359"/>
      <c r="D279" s="359"/>
      <c r="E279" s="359"/>
    </row>
    <row r="280" spans="3:5">
      <c r="C280" s="359"/>
      <c r="D280" s="359"/>
      <c r="E280" s="359"/>
    </row>
    <row r="281" spans="3:5">
      <c r="C281" s="359"/>
      <c r="D281" s="359"/>
      <c r="E281" s="359"/>
    </row>
    <row r="282" spans="3:5">
      <c r="C282" s="359"/>
      <c r="D282" s="359"/>
      <c r="E282" s="359"/>
    </row>
    <row r="283" spans="3:5">
      <c r="C283" s="359"/>
      <c r="D283" s="359"/>
      <c r="E283" s="359"/>
    </row>
    <row r="284" spans="3:5">
      <c r="C284" s="359"/>
      <c r="D284" s="359"/>
      <c r="E284" s="359"/>
    </row>
    <row r="285" spans="3:5">
      <c r="C285" s="359"/>
      <c r="D285" s="359"/>
      <c r="E285" s="359"/>
    </row>
    <row r="286" spans="3:5">
      <c r="C286" s="359"/>
      <c r="D286" s="359"/>
      <c r="E286" s="359"/>
    </row>
    <row r="287" spans="3:5">
      <c r="C287" s="359"/>
      <c r="D287" s="359"/>
      <c r="E287" s="359"/>
    </row>
    <row r="288" spans="3:5">
      <c r="C288" s="359"/>
      <c r="D288" s="359"/>
      <c r="E288" s="359"/>
    </row>
    <row r="289" spans="3:5">
      <c r="C289" s="359"/>
      <c r="D289" s="359"/>
      <c r="E289" s="359"/>
    </row>
    <row r="290" spans="3:5">
      <c r="C290" s="359"/>
      <c r="D290" s="359"/>
      <c r="E290" s="359"/>
    </row>
  </sheetData>
  <sheetProtection algorithmName="SHA-512" hashValue="P2TfMXJhWslWOZ98ZNDjf+UTk3b9EbyFSp75qVGbse/3qdVRqB6473rosxYldQYI4Fg6V9XLSB79XpyU07o1/A==" saltValue="VsuuAeoCSVbQ9QRzCjgx8Q==" spinCount="100000" sheet="1" formatCells="0" formatColumns="0" formatRows="0" insertColumns="0" insertRows="0" insertHyperlinks="0" deleteColumns="0" deleteRows="0" selectLockedCells="1" sort="0" autoFilter="0" pivotTables="0"/>
  <mergeCells count="298">
    <mergeCell ref="L2:M2"/>
    <mergeCell ref="L3:M3"/>
    <mergeCell ref="L4:M4"/>
    <mergeCell ref="L5:M5"/>
    <mergeCell ref="S6:V6"/>
    <mergeCell ref="S7:V7"/>
    <mergeCell ref="W6:Z6"/>
    <mergeCell ref="W7:Z7"/>
    <mergeCell ref="C22:E22"/>
    <mergeCell ref="C3:J4"/>
    <mergeCell ref="C16:E16"/>
    <mergeCell ref="C14:E14"/>
    <mergeCell ref="C15:E15"/>
    <mergeCell ref="K6:N6"/>
    <mergeCell ref="O6:R6"/>
    <mergeCell ref="C9:E9"/>
    <mergeCell ref="C10:E10"/>
    <mergeCell ref="C11:E11"/>
    <mergeCell ref="C12:E12"/>
    <mergeCell ref="C13:E13"/>
    <mergeCell ref="C8:E8"/>
    <mergeCell ref="C27:E27"/>
    <mergeCell ref="C28:E28"/>
    <mergeCell ref="C17:E17"/>
    <mergeCell ref="C18:E18"/>
    <mergeCell ref="C19:E19"/>
    <mergeCell ref="C20:E20"/>
    <mergeCell ref="C21:E21"/>
    <mergeCell ref="C35:E35"/>
    <mergeCell ref="C36:E36"/>
    <mergeCell ref="C23:E23"/>
    <mergeCell ref="C24:E24"/>
    <mergeCell ref="C25:E25"/>
    <mergeCell ref="C26:E26"/>
    <mergeCell ref="C37:E37"/>
    <mergeCell ref="C38:E38"/>
    <mergeCell ref="C39:E39"/>
    <mergeCell ref="C40:E40"/>
    <mergeCell ref="C29:E29"/>
    <mergeCell ref="C30:E30"/>
    <mergeCell ref="C31:E31"/>
    <mergeCell ref="C32:E32"/>
    <mergeCell ref="C33:E33"/>
    <mergeCell ref="C34:E34"/>
    <mergeCell ref="C41:E41"/>
    <mergeCell ref="C42:E42"/>
    <mergeCell ref="C67:E67"/>
    <mergeCell ref="C68:E68"/>
    <mergeCell ref="C69:E69"/>
    <mergeCell ref="C46:E46"/>
    <mergeCell ref="C47:E47"/>
    <mergeCell ref="C48:E48"/>
    <mergeCell ref="C49:E49"/>
    <mergeCell ref="C50:E50"/>
    <mergeCell ref="C43:E43"/>
    <mergeCell ref="C44:E44"/>
    <mergeCell ref="C45:E45"/>
    <mergeCell ref="C57:E57"/>
    <mergeCell ref="C58:E58"/>
    <mergeCell ref="C59:E59"/>
    <mergeCell ref="C60:E60"/>
    <mergeCell ref="C61:E61"/>
    <mergeCell ref="C62:E62"/>
    <mergeCell ref="C51:E51"/>
    <mergeCell ref="C52:E52"/>
    <mergeCell ref="C53:E53"/>
    <mergeCell ref="C54:E54"/>
    <mergeCell ref="C55:E55"/>
    <mergeCell ref="C56:E56"/>
    <mergeCell ref="C63:E63"/>
    <mergeCell ref="C64:E64"/>
    <mergeCell ref="C65:E65"/>
    <mergeCell ref="C66:E66"/>
    <mergeCell ref="C91:E91"/>
    <mergeCell ref="C92:E92"/>
    <mergeCell ref="C79:E79"/>
    <mergeCell ref="C80:E80"/>
    <mergeCell ref="C81:E81"/>
    <mergeCell ref="C82:E82"/>
    <mergeCell ref="C83:E83"/>
    <mergeCell ref="C84:E84"/>
    <mergeCell ref="C85:E85"/>
    <mergeCell ref="C86:E86"/>
    <mergeCell ref="C87:E87"/>
    <mergeCell ref="C88:E88"/>
    <mergeCell ref="C93:E93"/>
    <mergeCell ref="C70:E70"/>
    <mergeCell ref="C71:E71"/>
    <mergeCell ref="C72:E72"/>
    <mergeCell ref="C73:E73"/>
    <mergeCell ref="C74:E74"/>
    <mergeCell ref="C75:E75"/>
    <mergeCell ref="C76:E76"/>
    <mergeCell ref="C77:E77"/>
    <mergeCell ref="C78:E78"/>
    <mergeCell ref="C89:E89"/>
    <mergeCell ref="C90:E90"/>
    <mergeCell ref="C100:E100"/>
    <mergeCell ref="C101:E101"/>
    <mergeCell ref="C102:E102"/>
    <mergeCell ref="C103:E103"/>
    <mergeCell ref="C94:E94"/>
    <mergeCell ref="C95:E95"/>
    <mergeCell ref="C96:E96"/>
    <mergeCell ref="C97:E97"/>
    <mergeCell ref="C98:E98"/>
    <mergeCell ref="C99:E99"/>
    <mergeCell ref="C126:E126"/>
    <mergeCell ref="C127:E127"/>
    <mergeCell ref="C104:E104"/>
    <mergeCell ref="C105:E105"/>
    <mergeCell ref="C106:E106"/>
    <mergeCell ref="C107:E107"/>
    <mergeCell ref="C108:E108"/>
    <mergeCell ref="C109:E109"/>
    <mergeCell ref="C113:E113"/>
    <mergeCell ref="C114:E114"/>
    <mergeCell ref="C110:E110"/>
    <mergeCell ref="C111:E111"/>
    <mergeCell ref="C112:E112"/>
    <mergeCell ref="C125:E125"/>
    <mergeCell ref="C115:E115"/>
    <mergeCell ref="C116:E116"/>
    <mergeCell ref="C117:E117"/>
    <mergeCell ref="C118:E118"/>
    <mergeCell ref="C119:E119"/>
    <mergeCell ref="C120:E120"/>
    <mergeCell ref="C121:E121"/>
    <mergeCell ref="C122:E122"/>
    <mergeCell ref="C123:E123"/>
    <mergeCell ref="C124:E124"/>
    <mergeCell ref="C131:E131"/>
    <mergeCell ref="C132:E132"/>
    <mergeCell ref="C133:E133"/>
    <mergeCell ref="C134:E134"/>
    <mergeCell ref="C135:E135"/>
    <mergeCell ref="C136:E136"/>
    <mergeCell ref="C137:E137"/>
    <mergeCell ref="C128:E128"/>
    <mergeCell ref="C129:E129"/>
    <mergeCell ref="C130:E130"/>
    <mergeCell ref="C144:E144"/>
    <mergeCell ref="C145:E145"/>
    <mergeCell ref="C146:E146"/>
    <mergeCell ref="C147:E147"/>
    <mergeCell ref="C148:E148"/>
    <mergeCell ref="C149:E149"/>
    <mergeCell ref="C138:E138"/>
    <mergeCell ref="C139:E139"/>
    <mergeCell ref="C140:E140"/>
    <mergeCell ref="C141:E141"/>
    <mergeCell ref="C142:E142"/>
    <mergeCell ref="C143:E143"/>
    <mergeCell ref="C150:E150"/>
    <mergeCell ref="C151:E151"/>
    <mergeCell ref="C176:E176"/>
    <mergeCell ref="C177:E177"/>
    <mergeCell ref="C178:E178"/>
    <mergeCell ref="C155:E155"/>
    <mergeCell ref="C156:E156"/>
    <mergeCell ref="C157:E157"/>
    <mergeCell ref="C158:E158"/>
    <mergeCell ref="C159:E159"/>
    <mergeCell ref="C152:E152"/>
    <mergeCell ref="C153:E153"/>
    <mergeCell ref="C154:E154"/>
    <mergeCell ref="C166:E166"/>
    <mergeCell ref="C167:E167"/>
    <mergeCell ref="C168:E168"/>
    <mergeCell ref="C169:E169"/>
    <mergeCell ref="C170:E170"/>
    <mergeCell ref="C171:E171"/>
    <mergeCell ref="C160:E160"/>
    <mergeCell ref="C161:E161"/>
    <mergeCell ref="C162:E162"/>
    <mergeCell ref="C163:E163"/>
    <mergeCell ref="C164:E164"/>
    <mergeCell ref="C165:E165"/>
    <mergeCell ref="C172:E172"/>
    <mergeCell ref="C173:E173"/>
    <mergeCell ref="C174:E174"/>
    <mergeCell ref="C175:E175"/>
    <mergeCell ref="C200:E200"/>
    <mergeCell ref="C201:E201"/>
    <mergeCell ref="C188:E188"/>
    <mergeCell ref="C189:E189"/>
    <mergeCell ref="C190:E190"/>
    <mergeCell ref="C191:E191"/>
    <mergeCell ref="C192:E192"/>
    <mergeCell ref="C193:E193"/>
    <mergeCell ref="C194:E194"/>
    <mergeCell ref="C195:E195"/>
    <mergeCell ref="C196:E196"/>
    <mergeCell ref="C197:E197"/>
    <mergeCell ref="C179:E179"/>
    <mergeCell ref="C180:E180"/>
    <mergeCell ref="C181:E181"/>
    <mergeCell ref="C182:E182"/>
    <mergeCell ref="C183:E183"/>
    <mergeCell ref="C184:E184"/>
    <mergeCell ref="C185:E185"/>
    <mergeCell ref="C186:E186"/>
    <mergeCell ref="C187:E187"/>
    <mergeCell ref="C208:E208"/>
    <mergeCell ref="C209:E209"/>
    <mergeCell ref="C210:E210"/>
    <mergeCell ref="C211:E211"/>
    <mergeCell ref="C212:E212"/>
    <mergeCell ref="C213:E213"/>
    <mergeCell ref="C198:E198"/>
    <mergeCell ref="C199:E199"/>
    <mergeCell ref="C202:E202"/>
    <mergeCell ref="C203:E203"/>
    <mergeCell ref="C204:E204"/>
    <mergeCell ref="C205:E205"/>
    <mergeCell ref="C206:E206"/>
    <mergeCell ref="C207:E207"/>
    <mergeCell ref="C220:E220"/>
    <mergeCell ref="C221:E221"/>
    <mergeCell ref="C222:E222"/>
    <mergeCell ref="C223:E223"/>
    <mergeCell ref="C227:E227"/>
    <mergeCell ref="C228:E228"/>
    <mergeCell ref="C214:E214"/>
    <mergeCell ref="C215:E215"/>
    <mergeCell ref="C216:E216"/>
    <mergeCell ref="C217:E217"/>
    <mergeCell ref="C218:E218"/>
    <mergeCell ref="C219:E219"/>
    <mergeCell ref="C225:E225"/>
    <mergeCell ref="C226:E226"/>
    <mergeCell ref="C224:E224"/>
    <mergeCell ref="C229:E229"/>
    <mergeCell ref="C255:E255"/>
    <mergeCell ref="C256:E256"/>
    <mergeCell ref="C245:E245"/>
    <mergeCell ref="C246:E246"/>
    <mergeCell ref="C247:E247"/>
    <mergeCell ref="C248:E248"/>
    <mergeCell ref="C249:E249"/>
    <mergeCell ref="C233:E233"/>
    <mergeCell ref="C234:E234"/>
    <mergeCell ref="C232:E232"/>
    <mergeCell ref="C231:E231"/>
    <mergeCell ref="C230:E230"/>
    <mergeCell ref="C239:E239"/>
    <mergeCell ref="C240:E240"/>
    <mergeCell ref="C241:E241"/>
    <mergeCell ref="C242:E242"/>
    <mergeCell ref="C243:E243"/>
    <mergeCell ref="C244:E244"/>
    <mergeCell ref="C235:E235"/>
    <mergeCell ref="C236:E236"/>
    <mergeCell ref="C237:E237"/>
    <mergeCell ref="C238:E238"/>
    <mergeCell ref="C251:E251"/>
    <mergeCell ref="C252:E252"/>
    <mergeCell ref="C253:E253"/>
    <mergeCell ref="C254:E254"/>
    <mergeCell ref="BC271:BC272"/>
    <mergeCell ref="BD271:BD272"/>
    <mergeCell ref="C265:E265"/>
    <mergeCell ref="C266:E266"/>
    <mergeCell ref="C250:E250"/>
    <mergeCell ref="C263:E263"/>
    <mergeCell ref="C264:E264"/>
    <mergeCell ref="C267:E267"/>
    <mergeCell ref="C268:E268"/>
    <mergeCell ref="C257:E257"/>
    <mergeCell ref="C258:E258"/>
    <mergeCell ref="C259:E259"/>
    <mergeCell ref="C260:E260"/>
    <mergeCell ref="C261:E261"/>
    <mergeCell ref="C262:E262"/>
    <mergeCell ref="BG271:BG272"/>
    <mergeCell ref="C269:E269"/>
    <mergeCell ref="C270:E270"/>
    <mergeCell ref="AM6:AP6"/>
    <mergeCell ref="AM7:AP7"/>
    <mergeCell ref="BE271:BE272"/>
    <mergeCell ref="BF271:BF272"/>
    <mergeCell ref="AE7:AH7"/>
    <mergeCell ref="AI6:AL6"/>
    <mergeCell ref="AI7:AL7"/>
    <mergeCell ref="G7:J7"/>
    <mergeCell ref="K7:N7"/>
    <mergeCell ref="G6:J6"/>
    <mergeCell ref="AQ6:AT6"/>
    <mergeCell ref="AQ7:AT7"/>
    <mergeCell ref="AU6:AX6"/>
    <mergeCell ref="AU7:AX7"/>
    <mergeCell ref="AA6:AD6"/>
    <mergeCell ref="AA7:AD7"/>
    <mergeCell ref="AE6:AH6"/>
    <mergeCell ref="O7:R7"/>
    <mergeCell ref="BD6:BG7"/>
    <mergeCell ref="AY6:BB6"/>
    <mergeCell ref="AY7:BB7"/>
  </mergeCells>
  <conditionalFormatting sqref="B8:B27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1">
      <colorScale>
        <cfvo type="min"/>
        <cfvo type="max"/>
        <color rgb="FFFCFCFF"/>
        <color rgb="FFF8696B"/>
      </colorScale>
    </cfRule>
  </conditionalFormatting>
  <conditionalFormatting sqref="B8:E270">
    <cfRule type="colorScale" priority="3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6:J27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:J270">
    <cfRule type="colorScale" priority="27">
      <colorScale>
        <cfvo type="num" val="0"/>
        <cfvo type="percent" val="8"/>
        <cfvo type="num" val="15"/>
        <color rgb="FFFF7128"/>
        <color theme="6" tint="0.39997558519241921"/>
        <color theme="6" tint="-0.249977111117893"/>
      </colorScale>
    </cfRule>
  </conditionalFormatting>
  <conditionalFormatting sqref="K9:N270">
    <cfRule type="colorScale" priority="25">
      <colorScale>
        <cfvo type="num" val="0"/>
        <cfvo type="percent" val="8"/>
        <cfvo type="num" val="15"/>
        <color rgb="FFFF7128"/>
        <color rgb="FFEEFA7A"/>
        <color rgb="FFFFFF00"/>
      </colorScale>
    </cfRule>
    <cfRule type="colorScale" priority="26">
      <colorScale>
        <cfvo type="num" val="0"/>
        <cfvo type="num" val="8"/>
        <cfvo type="num" val="15"/>
        <color rgb="FFFF470D"/>
        <color rgb="FFFFFF00"/>
        <color rgb="FF00B0F0"/>
      </colorScale>
    </cfRule>
  </conditionalFormatting>
  <conditionalFormatting sqref="O9:R270">
    <cfRule type="colorScale" priority="24">
      <colorScale>
        <cfvo type="num" val="0"/>
        <cfvo type="percent" val="8"/>
        <cfvo type="num" val="15"/>
        <color rgb="FFFF7128"/>
        <color theme="7" tint="0.59999389629810485"/>
        <color theme="7" tint="0.39997558519241921"/>
      </colorScale>
    </cfRule>
  </conditionalFormatting>
  <conditionalFormatting sqref="S9:V270">
    <cfRule type="colorScale" priority="23">
      <colorScale>
        <cfvo type="num" val="0"/>
        <cfvo type="num" val="8"/>
        <cfvo type="num" val="15"/>
        <color rgb="FFFF7128"/>
        <color theme="5" tint="0.59999389629810485"/>
        <color theme="5" tint="0.39997558519241921"/>
      </colorScale>
    </cfRule>
  </conditionalFormatting>
  <conditionalFormatting sqref="W9:Z270">
    <cfRule type="colorScale" priority="21">
      <colorScale>
        <cfvo type="num" val="0"/>
        <cfvo type="num" val="7"/>
        <cfvo type="num" val="15"/>
        <color rgb="FFF8696B"/>
        <color theme="3" tint="0.79998168889431442"/>
        <color theme="3" tint="0.59999389629810485"/>
      </colorScale>
    </cfRule>
    <cfRule type="colorScale" priority="22">
      <colorScale>
        <cfvo type="num" val="0"/>
        <cfvo type="num" val="8"/>
        <cfvo type="num" val="15"/>
        <color rgb="FFFF7128"/>
        <color theme="3" tint="0.79998168889431442"/>
        <color theme="3" tint="0.39997558519241921"/>
      </colorScale>
    </cfRule>
  </conditionalFormatting>
  <conditionalFormatting sqref="AA9:AD270">
    <cfRule type="colorScale" priority="20">
      <colorScale>
        <cfvo type="num" val="0"/>
        <cfvo type="num" val="8"/>
        <cfvo type="num" val="15"/>
        <color rgb="FFFF7128"/>
        <color theme="5" tint="0.59999389629810485"/>
        <color theme="5"/>
      </colorScale>
    </cfRule>
  </conditionalFormatting>
  <conditionalFormatting sqref="AE9:AH270">
    <cfRule type="colorScale" priority="19">
      <colorScale>
        <cfvo type="num" val="0"/>
        <cfvo type="num" val="8"/>
        <cfvo type="num" val="15"/>
        <color rgb="FFFF7128"/>
        <color theme="9" tint="0.79998168889431442"/>
        <color theme="9" tint="0.39997558519241921"/>
      </colorScale>
    </cfRule>
  </conditionalFormatting>
  <conditionalFormatting sqref="AI9:AL270">
    <cfRule type="colorScale" priority="18">
      <colorScale>
        <cfvo type="num" val="0"/>
        <cfvo type="num" val="8"/>
        <cfvo type="num" val="15"/>
        <color rgb="FFFF7128"/>
        <color theme="6" tint="0.59999389629810485"/>
        <color rgb="FF92D050"/>
      </colorScale>
    </cfRule>
  </conditionalFormatting>
  <conditionalFormatting sqref="AM9:AP270">
    <cfRule type="colorScale" priority="17">
      <colorScale>
        <cfvo type="num" val="0"/>
        <cfvo type="num" val="8"/>
        <cfvo type="num" val="15"/>
        <color rgb="FFFF7128"/>
        <color theme="7" tint="0.79998168889431442"/>
        <color theme="7" tint="0.39997558519241921"/>
      </colorScale>
    </cfRule>
  </conditionalFormatting>
  <conditionalFormatting sqref="AQ9:AT270">
    <cfRule type="colorScale" priority="16">
      <colorScale>
        <cfvo type="num" val="0"/>
        <cfvo type="num" val="8"/>
        <cfvo type="num" val="15"/>
        <color rgb="FFFF7128"/>
        <color theme="8" tint="0.59999389629810485"/>
        <color theme="8" tint="-0.249977111117893"/>
      </colorScale>
    </cfRule>
  </conditionalFormatting>
  <conditionalFormatting sqref="AU9:AX270">
    <cfRule type="colorScale" priority="15">
      <colorScale>
        <cfvo type="num" val="0"/>
        <cfvo type="num" val="8"/>
        <cfvo type="num" val="15"/>
        <color rgb="FFFF7128"/>
        <color theme="2" tint="-0.249977111117893"/>
        <color rgb="FF9E9E4A"/>
      </colorScale>
    </cfRule>
  </conditionalFormatting>
  <conditionalFormatting sqref="AY9:BB270">
    <cfRule type="colorScale" priority="14">
      <colorScale>
        <cfvo type="num" val="0"/>
        <cfvo type="num" val="8"/>
        <cfvo type="num" val="15"/>
        <color rgb="FFFF7128"/>
        <color theme="7" tint="0.59999389629810485"/>
        <color rgb="FF7A5C9A"/>
      </colorScale>
    </cfRule>
  </conditionalFormatting>
  <conditionalFormatting sqref="BD9:BG27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{8872694C-CF41-462E-AEDC-59AB72C46869}</x14:id>
        </ext>
      </extLst>
    </cfRule>
  </conditionalFormatting>
  <conditionalFormatting sqref="K8:N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8:R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V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8:Z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8:AD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H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L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8:AP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8:AT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8:AX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8:B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8:BG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showDropDown="1" showInputMessage="1" showErrorMessage="1" sqref="F9:F103 G9:BB270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72694C-CF41-462E-AEDC-59AB72C468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BD9:BG270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7030A0"/>
  </sheetPr>
  <dimension ref="A1:N29"/>
  <sheetViews>
    <sheetView topLeftCell="B1" zoomScale="85" zoomScaleNormal="85" workbookViewId="0">
      <selection activeCell="O5" sqref="O5"/>
    </sheetView>
  </sheetViews>
  <sheetFormatPr baseColWidth="10" defaultColWidth="8" defaultRowHeight="30" customHeight="1"/>
  <cols>
    <col min="1" max="1" width="1.5" style="215" customWidth="1"/>
    <col min="2" max="2" width="2.625" style="308" customWidth="1"/>
    <col min="3" max="3" width="18.875" style="215" customWidth="1"/>
    <col min="4" max="4" width="16.5" style="215" customWidth="1"/>
    <col min="5" max="5" width="19.625" style="309" customWidth="1"/>
    <col min="6" max="6" width="22.5" style="310" customWidth="1"/>
    <col min="7" max="7" width="16.25" style="309" customWidth="1"/>
    <col min="8" max="8" width="15.375" style="310" customWidth="1"/>
    <col min="9" max="9" width="17.375" style="309" customWidth="1"/>
    <col min="10" max="10" width="19.125" style="18" customWidth="1"/>
    <col min="11" max="11" width="17.625" style="215" customWidth="1"/>
    <col min="12" max="12" width="17.25" style="215" customWidth="1"/>
    <col min="13" max="13" width="9" style="215" customWidth="1"/>
    <col min="14" max="16384" width="8" style="215"/>
  </cols>
  <sheetData>
    <row r="1" spans="1:14" ht="30" customHeight="1" thickBot="1"/>
    <row r="2" spans="1:14" ht="59.25" thickBot="1">
      <c r="A2" s="311"/>
      <c r="B2" s="312"/>
      <c r="C2" s="313" t="s">
        <v>791</v>
      </c>
      <c r="D2" s="314"/>
      <c r="E2" s="314"/>
      <c r="F2" s="315"/>
      <c r="G2" s="315"/>
      <c r="H2" s="316"/>
      <c r="I2" s="317"/>
      <c r="J2" s="317"/>
      <c r="K2" s="318"/>
      <c r="L2" s="319"/>
      <c r="M2" s="669" t="s">
        <v>18</v>
      </c>
      <c r="N2" s="669"/>
    </row>
    <row r="3" spans="1:14" ht="16.5">
      <c r="M3" s="670" t="s">
        <v>17</v>
      </c>
      <c r="N3" s="670"/>
    </row>
    <row r="4" spans="1:14" ht="45">
      <c r="B4" s="320" t="s">
        <v>790</v>
      </c>
      <c r="C4" s="321" t="s">
        <v>789</v>
      </c>
      <c r="D4" s="321" t="s">
        <v>788</v>
      </c>
      <c r="E4" s="321" t="s">
        <v>341</v>
      </c>
      <c r="F4" s="322" t="s">
        <v>787</v>
      </c>
      <c r="G4" s="321" t="s">
        <v>786</v>
      </c>
      <c r="H4" s="322" t="s">
        <v>785</v>
      </c>
      <c r="I4" s="321" t="s">
        <v>784</v>
      </c>
      <c r="J4" s="321" t="s">
        <v>783</v>
      </c>
      <c r="K4" s="321" t="s">
        <v>782</v>
      </c>
      <c r="L4" s="321" t="s">
        <v>781</v>
      </c>
      <c r="M4" s="670" t="s">
        <v>1029</v>
      </c>
      <c r="N4" s="670"/>
    </row>
    <row r="5" spans="1:14" ht="18.75" customHeight="1">
      <c r="B5" s="320">
        <f>IFERROR((ListaDeInventario[[#This Row],[Cantidad en existencias]]&lt;=ListaDeInventario[[#This Row],[Nivel del nuevo pedido]])*(ListaDeInventario[[#This Row],[EN STOCK]]="")*valResaltado,0)</f>
        <v>0</v>
      </c>
      <c r="C5" s="323" t="s">
        <v>780</v>
      </c>
      <c r="D5" s="323" t="s">
        <v>779</v>
      </c>
      <c r="E5" s="324" t="s">
        <v>778</v>
      </c>
      <c r="F5" s="325">
        <v>100000</v>
      </c>
      <c r="G5" s="326">
        <v>100</v>
      </c>
      <c r="H5" s="325">
        <f>ListaDeInventario[[#This Row],[PRECIO VALOR]]*ListaDeInventario[[#This Row],[Cantidad en existencias]]</f>
        <v>10000000</v>
      </c>
      <c r="I5" s="326">
        <v>9</v>
      </c>
      <c r="J5" s="326">
        <v>1</v>
      </c>
      <c r="K5" s="327">
        <v>150</v>
      </c>
      <c r="L5" s="328" t="s">
        <v>246</v>
      </c>
      <c r="M5" s="670" t="s">
        <v>1030</v>
      </c>
      <c r="N5" s="670"/>
    </row>
    <row r="6" spans="1:14" ht="21" customHeight="1">
      <c r="B6" s="320">
        <f>IFERROR((ListaDeInventario[[#This Row],[Cantidad en existencias]]&lt;=ListaDeInventario[[#This Row],[Nivel del nuevo pedido]])*(ListaDeInventario[[#This Row],[EN STOCK]]="")*valResaltado,0)</f>
        <v>0</v>
      </c>
      <c r="C6" s="323" t="s">
        <v>777</v>
      </c>
      <c r="D6" s="323" t="s">
        <v>776</v>
      </c>
      <c r="E6" s="324" t="s">
        <v>775</v>
      </c>
      <c r="F6" s="325">
        <v>120000</v>
      </c>
      <c r="G6" s="326">
        <v>100</v>
      </c>
      <c r="H6" s="325">
        <f>ListaDeInventario[[#This Row],[PRECIO VALOR]]*ListaDeInventario[[#This Row],[Cantidad en existencias]]</f>
        <v>12000000</v>
      </c>
      <c r="I6" s="326">
        <v>7</v>
      </c>
      <c r="J6" s="326">
        <v>1</v>
      </c>
      <c r="K6" s="327">
        <v>50</v>
      </c>
      <c r="L6" s="328" t="s">
        <v>246</v>
      </c>
    </row>
    <row r="7" spans="1:14" ht="19.5" customHeight="1">
      <c r="B7" s="320">
        <f>IFERROR((ListaDeInventario[[#This Row],[Cantidad en existencias]]&lt;=ListaDeInventario[[#This Row],[Nivel del nuevo pedido]])*(ListaDeInventario[[#This Row],[EN STOCK]]="")*valResaltado,0)</f>
        <v>0</v>
      </c>
      <c r="C7" s="323" t="s">
        <v>774</v>
      </c>
      <c r="D7" s="323" t="s">
        <v>773</v>
      </c>
      <c r="E7" s="324" t="s">
        <v>772</v>
      </c>
      <c r="F7" s="325">
        <v>30000</v>
      </c>
      <c r="G7" s="326">
        <v>100</v>
      </c>
      <c r="H7" s="325">
        <f>ListaDeInventario[[#This Row],[PRECIO VALOR]]*ListaDeInventario[[#This Row],[Cantidad en existencias]]</f>
        <v>3000000</v>
      </c>
      <c r="I7" s="326">
        <v>21</v>
      </c>
      <c r="J7" s="326">
        <v>1</v>
      </c>
      <c r="K7" s="327">
        <v>50</v>
      </c>
      <c r="L7" s="328" t="s">
        <v>246</v>
      </c>
    </row>
    <row r="8" spans="1:14" ht="25.5" customHeight="1">
      <c r="B8" s="320">
        <f>IFERROR((ListaDeInventario[[#This Row],[Cantidad en existencias]]&lt;=ListaDeInventario[[#This Row],[Nivel del nuevo pedido]])*(ListaDeInventario[[#This Row],[EN STOCK]]="")*valResaltado,0)</f>
        <v>0</v>
      </c>
      <c r="C8" s="323" t="s">
        <v>771</v>
      </c>
      <c r="D8" s="323" t="s">
        <v>770</v>
      </c>
      <c r="E8" s="324" t="s">
        <v>769</v>
      </c>
      <c r="F8" s="325">
        <v>30000</v>
      </c>
      <c r="G8" s="326">
        <v>12</v>
      </c>
      <c r="H8" s="325">
        <f>ListaDeInventario[[#This Row],[PRECIO VALOR]]*ListaDeInventario[[#This Row],[Cantidad en existencias]]</f>
        <v>360000</v>
      </c>
      <c r="I8" s="326">
        <v>113</v>
      </c>
      <c r="J8" s="326">
        <v>1</v>
      </c>
      <c r="K8" s="327">
        <v>50</v>
      </c>
      <c r="L8" s="328" t="s">
        <v>246</v>
      </c>
    </row>
    <row r="9" spans="1:14" ht="23.25" customHeight="1">
      <c r="B9" s="320">
        <f>IFERROR((ListaDeInventario[[#This Row],[Cantidad en existencias]]&lt;=ListaDeInventario[[#This Row],[Nivel del nuevo pedido]])*(ListaDeInventario[[#This Row],[EN STOCK]]="")*valResaltado,0)</f>
        <v>0</v>
      </c>
      <c r="C9" s="323" t="s">
        <v>768</v>
      </c>
      <c r="D9" s="323" t="s">
        <v>767</v>
      </c>
      <c r="E9" s="324" t="s">
        <v>766</v>
      </c>
      <c r="F9" s="325">
        <v>18000</v>
      </c>
      <c r="G9" s="326">
        <v>22</v>
      </c>
      <c r="H9" s="325">
        <f>ListaDeInventario[[#This Row],[PRECIO VALOR]]*ListaDeInventario[[#This Row],[Cantidad en existencias]]</f>
        <v>396000</v>
      </c>
      <c r="I9" s="326">
        <v>36</v>
      </c>
      <c r="J9" s="326">
        <v>1</v>
      </c>
      <c r="K9" s="327">
        <v>50</v>
      </c>
      <c r="L9" s="328" t="s">
        <v>246</v>
      </c>
    </row>
    <row r="10" spans="1:14" ht="17.25" customHeight="1">
      <c r="B10" s="320">
        <f>IFERROR((ListaDeInventario[[#This Row],[Cantidad en existencias]]&lt;=ListaDeInventario[[#This Row],[Nivel del nuevo pedido]])*(ListaDeInventario[[#This Row],[EN STOCK]]="")*valResaltado,0)</f>
        <v>0</v>
      </c>
      <c r="C10" s="323" t="s">
        <v>765</v>
      </c>
      <c r="D10" s="323" t="s">
        <v>764</v>
      </c>
      <c r="E10" s="324" t="s">
        <v>763</v>
      </c>
      <c r="F10" s="325">
        <v>190000</v>
      </c>
      <c r="G10" s="326">
        <v>55</v>
      </c>
      <c r="H10" s="325">
        <f>ListaDeInventario[[#This Row],[PRECIO VALOR]]*ListaDeInventario[[#This Row],[Cantidad en existencias]]</f>
        <v>10450000</v>
      </c>
      <c r="I10" s="326">
        <v>158</v>
      </c>
      <c r="J10" s="326">
        <v>1</v>
      </c>
      <c r="K10" s="327">
        <v>50</v>
      </c>
      <c r="L10" s="328" t="s">
        <v>246</v>
      </c>
    </row>
    <row r="11" spans="1:14" ht="47.25" customHeight="1">
      <c r="B11" s="320">
        <f>IFERROR((ListaDeInventario[[#This Row],[Cantidad en existencias]]&lt;=ListaDeInventario[[#This Row],[Nivel del nuevo pedido]])*(ListaDeInventario[[#This Row],[EN STOCK]]="")*valResaltado,0)</f>
        <v>0</v>
      </c>
      <c r="C11" s="323" t="s">
        <v>762</v>
      </c>
      <c r="D11" s="323" t="s">
        <v>761</v>
      </c>
      <c r="E11" s="324" t="s">
        <v>760</v>
      </c>
      <c r="F11" s="325">
        <v>200000</v>
      </c>
      <c r="G11" s="326">
        <v>32</v>
      </c>
      <c r="H11" s="325">
        <f>ListaDeInventario[[#This Row],[PRECIO VALOR]]*ListaDeInventario[[#This Row],[Cantidad en existencias]]</f>
        <v>6400000</v>
      </c>
      <c r="I11" s="326">
        <v>75</v>
      </c>
      <c r="J11" s="326">
        <v>1</v>
      </c>
      <c r="K11" s="327">
        <v>50</v>
      </c>
      <c r="L11" s="328" t="s">
        <v>246</v>
      </c>
    </row>
    <row r="12" spans="1:14" ht="21.75" customHeight="1">
      <c r="B12" s="320">
        <f>IFERROR((ListaDeInventario[[#This Row],[Cantidad en existencias]]&lt;=ListaDeInventario[[#This Row],[Nivel del nuevo pedido]])*(ListaDeInventario[[#This Row],[EN STOCK]]="")*valResaltado,0)</f>
        <v>0</v>
      </c>
      <c r="C12" s="323" t="s">
        <v>759</v>
      </c>
      <c r="D12" s="323" t="s">
        <v>758</v>
      </c>
      <c r="E12" s="324" t="s">
        <v>757</v>
      </c>
      <c r="F12" s="325">
        <v>500000</v>
      </c>
      <c r="G12" s="326">
        <v>21</v>
      </c>
      <c r="H12" s="325">
        <f>ListaDeInventario[[#This Row],[PRECIO VALOR]]*ListaDeInventario[[#This Row],[Cantidad en existencias]]</f>
        <v>10500000</v>
      </c>
      <c r="I12" s="326">
        <v>132</v>
      </c>
      <c r="J12" s="326">
        <v>15</v>
      </c>
      <c r="K12" s="327">
        <v>150</v>
      </c>
      <c r="L12" s="328" t="s">
        <v>246</v>
      </c>
    </row>
    <row r="13" spans="1:14" ht="20.25" customHeight="1">
      <c r="B13" s="320">
        <f>IFERROR((ListaDeInventario[[#This Row],[Cantidad en existencias]]&lt;=ListaDeInventario[[#This Row],[Nivel del nuevo pedido]])*(ListaDeInventario[[#This Row],[EN STOCK]]="")*valResaltado,0)</f>
        <v>0</v>
      </c>
      <c r="C13" s="323" t="s">
        <v>756</v>
      </c>
      <c r="D13" s="323" t="s">
        <v>755</v>
      </c>
      <c r="E13" s="324" t="s">
        <v>754</v>
      </c>
      <c r="F13" s="325">
        <v>500000</v>
      </c>
      <c r="G13" s="326">
        <v>20</v>
      </c>
      <c r="H13" s="325">
        <f>ListaDeInventario[[#This Row],[PRECIO VALOR]]*ListaDeInventario[[#This Row],[Cantidad en existencias]]</f>
        <v>10000000</v>
      </c>
      <c r="I13" s="326">
        <v>102</v>
      </c>
      <c r="J13" s="326">
        <v>15</v>
      </c>
      <c r="K13" s="327">
        <v>100</v>
      </c>
      <c r="L13" s="328" t="s">
        <v>246</v>
      </c>
    </row>
    <row r="14" spans="1:14" ht="30" customHeight="1">
      <c r="B14" s="320">
        <f>IFERROR((ListaDeInventario[[#This Row],[Cantidad en existencias]]&lt;=ListaDeInventario[[#This Row],[Nivel del nuevo pedido]])*(ListaDeInventario[[#This Row],[EN STOCK]]="")*valResaltado,0)</f>
        <v>0</v>
      </c>
      <c r="C14" s="329" t="s">
        <v>753</v>
      </c>
      <c r="D14" s="329" t="s">
        <v>752</v>
      </c>
      <c r="E14" s="330" t="s">
        <v>751</v>
      </c>
      <c r="F14" s="331">
        <v>450000</v>
      </c>
      <c r="G14" s="332">
        <v>0</v>
      </c>
      <c r="H14" s="331">
        <f>ListaDeInventario[[#This Row],[PRECIO VALOR]]*ListaDeInventario[[#This Row],[Cantidad en existencias]]</f>
        <v>0</v>
      </c>
      <c r="I14" s="333">
        <v>150</v>
      </c>
      <c r="J14" s="332">
        <v>15</v>
      </c>
      <c r="K14" s="334">
        <v>150</v>
      </c>
      <c r="L14" s="335" t="s">
        <v>708</v>
      </c>
    </row>
    <row r="15" spans="1:14" ht="30" customHeight="1">
      <c r="B15" s="320">
        <f>IFERROR((ListaDeInventario[[#This Row],[Cantidad en existencias]]&lt;=ListaDeInventario[[#This Row],[Nivel del nuevo pedido]])*(ListaDeInventario[[#This Row],[EN STOCK]]="")*valResaltado,0)</f>
        <v>0</v>
      </c>
      <c r="C15" s="323" t="s">
        <v>750</v>
      </c>
      <c r="D15" s="323" t="s">
        <v>749</v>
      </c>
      <c r="E15" s="324" t="s">
        <v>748</v>
      </c>
      <c r="F15" s="325">
        <v>3000000</v>
      </c>
      <c r="G15" s="326">
        <v>46</v>
      </c>
      <c r="H15" s="325">
        <f>ListaDeInventario[[#This Row],[PRECIO VALOR]]*ListaDeInventario[[#This Row],[Cantidad en existencias]]</f>
        <v>138000000</v>
      </c>
      <c r="I15" s="326">
        <v>12</v>
      </c>
      <c r="J15" s="326">
        <v>18</v>
      </c>
      <c r="K15" s="327">
        <v>50</v>
      </c>
      <c r="L15" s="328" t="s">
        <v>246</v>
      </c>
    </row>
    <row r="16" spans="1:14" ht="30" customHeight="1">
      <c r="B16" s="320">
        <f>IFERROR((ListaDeInventario[[#This Row],[Cantidad en existencias]]&lt;=ListaDeInventario[[#This Row],[Nivel del nuevo pedido]])*(ListaDeInventario[[#This Row],[EN STOCK]]="")*valResaltado,0)</f>
        <v>0</v>
      </c>
      <c r="C16" s="323" t="s">
        <v>747</v>
      </c>
      <c r="D16" s="323" t="s">
        <v>746</v>
      </c>
      <c r="E16" s="324" t="s">
        <v>745</v>
      </c>
      <c r="F16" s="325">
        <v>5000000</v>
      </c>
      <c r="G16" s="326">
        <v>12</v>
      </c>
      <c r="H16" s="325">
        <f>ListaDeInventario[[#This Row],[PRECIO VALOR]]*ListaDeInventario[[#This Row],[Cantidad en existencias]]</f>
        <v>60000000</v>
      </c>
      <c r="I16" s="326">
        <v>15</v>
      </c>
      <c r="J16" s="326">
        <v>5</v>
      </c>
      <c r="K16" s="327">
        <v>100</v>
      </c>
      <c r="L16" s="328" t="s">
        <v>246</v>
      </c>
    </row>
    <row r="17" spans="2:12" ht="30" customHeight="1">
      <c r="B17" s="320">
        <f>IFERROR((ListaDeInventario[[#This Row],[Cantidad en existencias]]&lt;=ListaDeInventario[[#This Row],[Nivel del nuevo pedido]])*(ListaDeInventario[[#This Row],[EN STOCK]]="")*valResaltado,0)</f>
        <v>0</v>
      </c>
      <c r="C17" s="323" t="s">
        <v>744</v>
      </c>
      <c r="D17" s="323" t="s">
        <v>743</v>
      </c>
      <c r="E17" s="324" t="s">
        <v>742</v>
      </c>
      <c r="F17" s="325">
        <v>1540000</v>
      </c>
      <c r="G17" s="326">
        <v>6</v>
      </c>
      <c r="H17" s="325">
        <f>ListaDeInventario[[#This Row],[PRECIO VALOR]]*ListaDeInventario[[#This Row],[Cantidad en existencias]]</f>
        <v>9240000</v>
      </c>
      <c r="I17" s="326">
        <v>2</v>
      </c>
      <c r="J17" s="326">
        <v>5</v>
      </c>
      <c r="K17" s="327">
        <v>100</v>
      </c>
      <c r="L17" s="328" t="s">
        <v>246</v>
      </c>
    </row>
    <row r="18" spans="2:12" ht="30" customHeight="1">
      <c r="B18" s="320">
        <f>IFERROR((ListaDeInventario[[#This Row],[Cantidad en existencias]]&lt;=ListaDeInventario[[#This Row],[Nivel del nuevo pedido]])*(ListaDeInventario[[#This Row],[EN STOCK]]="")*valResaltado,0)</f>
        <v>0</v>
      </c>
      <c r="C18" s="323" t="s">
        <v>741</v>
      </c>
      <c r="D18" s="323" t="s">
        <v>740</v>
      </c>
      <c r="E18" s="324" t="s">
        <v>739</v>
      </c>
      <c r="F18" s="325">
        <v>4056000</v>
      </c>
      <c r="G18" s="326">
        <v>12</v>
      </c>
      <c r="H18" s="325">
        <f>ListaDeInventario[[#This Row],[PRECIO VALOR]]*ListaDeInventario[[#This Row],[Cantidad en existencias]]</f>
        <v>48672000</v>
      </c>
      <c r="I18" s="326">
        <v>3</v>
      </c>
      <c r="J18" s="326">
        <v>5</v>
      </c>
      <c r="K18" s="327">
        <v>150</v>
      </c>
      <c r="L18" s="328" t="s">
        <v>246</v>
      </c>
    </row>
    <row r="19" spans="2:12" ht="30" customHeight="1">
      <c r="B19" s="320">
        <f>IFERROR((ListaDeInventario[[#This Row],[Cantidad en existencias]]&lt;=ListaDeInventario[[#This Row],[Nivel del nuevo pedido]])*(ListaDeInventario[[#This Row],[EN STOCK]]="")*valResaltado,0)</f>
        <v>0</v>
      </c>
      <c r="C19" s="329" t="s">
        <v>738</v>
      </c>
      <c r="D19" s="329" t="s">
        <v>737</v>
      </c>
      <c r="E19" s="330" t="s">
        <v>736</v>
      </c>
      <c r="F19" s="331">
        <v>3000000</v>
      </c>
      <c r="G19" s="332">
        <v>65</v>
      </c>
      <c r="H19" s="331">
        <f>ListaDeInventario[[#This Row],[PRECIO VALOR]]*ListaDeInventario[[#This Row],[Cantidad en existencias]]</f>
        <v>195000000</v>
      </c>
      <c r="I19" s="336">
        <v>70</v>
      </c>
      <c r="J19" s="332">
        <v>30</v>
      </c>
      <c r="K19" s="334">
        <v>100</v>
      </c>
      <c r="L19" s="335" t="s">
        <v>708</v>
      </c>
    </row>
    <row r="20" spans="2:12" ht="30" customHeight="1">
      <c r="B20" s="320">
        <f>IFERROR((ListaDeInventario[[#This Row],[Cantidad en existencias]]&lt;=ListaDeInventario[[#This Row],[Nivel del nuevo pedido]])*(ListaDeInventario[[#This Row],[EN STOCK]]="")*valResaltado,0)</f>
        <v>0</v>
      </c>
      <c r="C20" s="323" t="s">
        <v>735</v>
      </c>
      <c r="D20" s="323" t="s">
        <v>734</v>
      </c>
      <c r="E20" s="324" t="s">
        <v>733</v>
      </c>
      <c r="F20" s="325">
        <v>9000000</v>
      </c>
      <c r="G20" s="326">
        <v>10</v>
      </c>
      <c r="H20" s="325">
        <f>ListaDeInventario[[#This Row],[PRECIO VALOR]]*ListaDeInventario[[#This Row],[Cantidad en existencias]]</f>
        <v>90000000</v>
      </c>
      <c r="I20" s="326">
        <v>14</v>
      </c>
      <c r="J20" s="326">
        <v>15</v>
      </c>
      <c r="K20" s="327">
        <v>150</v>
      </c>
      <c r="L20" s="328" t="s">
        <v>246</v>
      </c>
    </row>
    <row r="21" spans="2:12" ht="30" customHeight="1">
      <c r="B21" s="320">
        <f>IFERROR((ListaDeInventario[[#This Row],[Cantidad en existencias]]&lt;=ListaDeInventario[[#This Row],[Nivel del nuevo pedido]])*(ListaDeInventario[[#This Row],[EN STOCK]]="")*valResaltado,0)</f>
        <v>0</v>
      </c>
      <c r="C21" s="323" t="s">
        <v>732</v>
      </c>
      <c r="D21" s="323" t="s">
        <v>731</v>
      </c>
      <c r="E21" s="324" t="s">
        <v>730</v>
      </c>
      <c r="F21" s="325">
        <v>4500000</v>
      </c>
      <c r="G21" s="326">
        <v>20</v>
      </c>
      <c r="H21" s="325">
        <f>ListaDeInventario[[#This Row],[PRECIO VALOR]]*ListaDeInventario[[#This Row],[Cantidad en existencias]]</f>
        <v>90000000</v>
      </c>
      <c r="I21" s="326">
        <v>9</v>
      </c>
      <c r="J21" s="326">
        <v>15</v>
      </c>
      <c r="K21" s="327">
        <v>150</v>
      </c>
      <c r="L21" s="328" t="s">
        <v>246</v>
      </c>
    </row>
    <row r="22" spans="2:12" ht="30" customHeight="1">
      <c r="B22" s="320">
        <f>IFERROR((ListaDeInventario[[#This Row],[Cantidad en existencias]]&lt;=ListaDeInventario[[#This Row],[Nivel del nuevo pedido]])*(ListaDeInventario[[#This Row],[EN STOCK]]="")*valResaltado,0)</f>
        <v>0</v>
      </c>
      <c r="C22" s="323" t="s">
        <v>729</v>
      </c>
      <c r="D22" s="323" t="s">
        <v>728</v>
      </c>
      <c r="E22" s="324" t="s">
        <v>727</v>
      </c>
      <c r="F22" s="325">
        <v>12500000</v>
      </c>
      <c r="G22" s="326">
        <v>40</v>
      </c>
      <c r="H22" s="325">
        <f>ListaDeInventario[[#This Row],[PRECIO VALOR]]*ListaDeInventario[[#This Row],[Cantidad en existencias]]</f>
        <v>500000000</v>
      </c>
      <c r="I22" s="326">
        <v>12</v>
      </c>
      <c r="J22" s="326">
        <v>12</v>
      </c>
      <c r="K22" s="327">
        <v>100</v>
      </c>
      <c r="L22" s="328" t="s">
        <v>246</v>
      </c>
    </row>
    <row r="23" spans="2:12" ht="30" customHeight="1">
      <c r="B23" s="320">
        <f>IFERROR((ListaDeInventario[[#This Row],[Cantidad en existencias]]&lt;=ListaDeInventario[[#This Row],[Nivel del nuevo pedido]])*(ListaDeInventario[[#This Row],[EN STOCK]]="")*valResaltado,0)</f>
        <v>0</v>
      </c>
      <c r="C23" s="323" t="s">
        <v>726</v>
      </c>
      <c r="D23" s="323" t="s">
        <v>725</v>
      </c>
      <c r="E23" s="324" t="s">
        <v>724</v>
      </c>
      <c r="F23" s="325">
        <v>8750000</v>
      </c>
      <c r="G23" s="326">
        <v>25</v>
      </c>
      <c r="H23" s="325">
        <f>ListaDeInventario[[#This Row],[PRECIO VALOR]]*ListaDeInventario[[#This Row],[Cantidad en existencias]]</f>
        <v>218750000</v>
      </c>
      <c r="I23" s="326">
        <v>1</v>
      </c>
      <c r="J23" s="326">
        <v>12</v>
      </c>
      <c r="K23" s="327">
        <v>50</v>
      </c>
      <c r="L23" s="328" t="s">
        <v>246</v>
      </c>
    </row>
    <row r="24" spans="2:12" ht="30" customHeight="1">
      <c r="B24" s="320">
        <f>IFERROR((ListaDeInventario[[#This Row],[Cantidad en existencias]]&lt;=ListaDeInventario[[#This Row],[Nivel del nuevo pedido]])*(ListaDeInventario[[#This Row],[EN STOCK]]="")*valResaltado,0)</f>
        <v>0</v>
      </c>
      <c r="C24" s="323" t="s">
        <v>723</v>
      </c>
      <c r="D24" s="323" t="s">
        <v>722</v>
      </c>
      <c r="E24" s="324" t="s">
        <v>721</v>
      </c>
      <c r="F24" s="325">
        <v>500000</v>
      </c>
      <c r="G24" s="326">
        <v>100</v>
      </c>
      <c r="H24" s="325">
        <f>ListaDeInventario[[#This Row],[PRECIO VALOR]]*ListaDeInventario[[#This Row],[Cantidad en existencias]]</f>
        <v>50000000</v>
      </c>
      <c r="I24" s="326">
        <v>500</v>
      </c>
      <c r="J24" s="326">
        <v>1</v>
      </c>
      <c r="K24" s="327">
        <v>100</v>
      </c>
      <c r="L24" s="328" t="s">
        <v>246</v>
      </c>
    </row>
    <row r="25" spans="2:12" ht="30" customHeight="1">
      <c r="B25" s="320">
        <f>IFERROR((ListaDeInventario[[#This Row],[Cantidad en existencias]]&lt;=ListaDeInventario[[#This Row],[Nivel del nuevo pedido]])*(ListaDeInventario[[#This Row],[EN STOCK]]="")*valResaltado,0)</f>
        <v>0</v>
      </c>
      <c r="C25" s="323" t="s">
        <v>720</v>
      </c>
      <c r="D25" s="323" t="s">
        <v>719</v>
      </c>
      <c r="E25" s="324" t="s">
        <v>718</v>
      </c>
      <c r="F25" s="325">
        <v>400000</v>
      </c>
      <c r="G25" s="326">
        <v>143</v>
      </c>
      <c r="H25" s="325">
        <f>ListaDeInventario[[#This Row],[PRECIO VALOR]]*ListaDeInventario[[#This Row],[Cantidad en existencias]]</f>
        <v>57200000</v>
      </c>
      <c r="I25" s="326">
        <v>500</v>
      </c>
      <c r="J25" s="326">
        <v>1</v>
      </c>
      <c r="K25" s="327">
        <v>150</v>
      </c>
      <c r="L25" s="328" t="s">
        <v>246</v>
      </c>
    </row>
    <row r="26" spans="2:12" ht="30" customHeight="1">
      <c r="B26" s="320">
        <f>IFERROR((ListaDeInventario[[#This Row],[Cantidad en existencias]]&lt;=ListaDeInventario[[#This Row],[Nivel del nuevo pedido]])*(ListaDeInventario[[#This Row],[EN STOCK]]="")*valResaltado,0)</f>
        <v>0</v>
      </c>
      <c r="C26" s="323" t="s">
        <v>717</v>
      </c>
      <c r="D26" s="323" t="s">
        <v>716</v>
      </c>
      <c r="E26" s="324" t="s">
        <v>715</v>
      </c>
      <c r="F26" s="325">
        <v>450000</v>
      </c>
      <c r="G26" s="326">
        <v>96</v>
      </c>
      <c r="H26" s="325">
        <f>ListaDeInventario[[#This Row],[PRECIO VALOR]]*ListaDeInventario[[#This Row],[Cantidad en existencias]]</f>
        <v>43200000</v>
      </c>
      <c r="I26" s="326">
        <v>500</v>
      </c>
      <c r="J26" s="326">
        <v>1</v>
      </c>
      <c r="K26" s="327">
        <v>50</v>
      </c>
      <c r="L26" s="328" t="s">
        <v>246</v>
      </c>
    </row>
    <row r="27" spans="2:12" ht="30" customHeight="1">
      <c r="B27" s="320">
        <f>IFERROR((ListaDeInventario[[#This Row],[Cantidad en existencias]]&lt;=ListaDeInventario[[#This Row],[Nivel del nuevo pedido]])*(ListaDeInventario[[#This Row],[EN STOCK]]="")*valResaltado,0)</f>
        <v>0</v>
      </c>
      <c r="C27" s="323" t="s">
        <v>714</v>
      </c>
      <c r="D27" s="323" t="s">
        <v>713</v>
      </c>
      <c r="E27" s="324" t="s">
        <v>712</v>
      </c>
      <c r="F27" s="325">
        <v>93</v>
      </c>
      <c r="G27" s="326">
        <v>66</v>
      </c>
      <c r="H27" s="325">
        <f>ListaDeInventario[[#This Row],[PRECIO VALOR]]*ListaDeInventario[[#This Row],[Cantidad en existencias]]</f>
        <v>6138</v>
      </c>
      <c r="I27" s="326">
        <v>500</v>
      </c>
      <c r="J27" s="326">
        <v>1</v>
      </c>
      <c r="K27" s="327">
        <v>50</v>
      </c>
      <c r="L27" s="328" t="s">
        <v>246</v>
      </c>
    </row>
    <row r="28" spans="2:12" ht="30" customHeight="1">
      <c r="B28" s="320">
        <f>IFERROR((ListaDeInventario[[#This Row],[Cantidad en existencias]]&lt;=ListaDeInventario[[#This Row],[Nivel del nuevo pedido]])*(ListaDeInventario[[#This Row],[EN STOCK]]="")*valResaltado,0)</f>
        <v>0</v>
      </c>
      <c r="C28" s="329" t="s">
        <v>711</v>
      </c>
      <c r="D28" s="329" t="s">
        <v>710</v>
      </c>
      <c r="E28" s="330" t="s">
        <v>709</v>
      </c>
      <c r="F28" s="331">
        <v>189000</v>
      </c>
      <c r="G28" s="332">
        <v>0</v>
      </c>
      <c r="H28" s="331">
        <f>ListaDeInventario[[#This Row],[PRECIO VALOR]]*ListaDeInventario[[#This Row],[Cantidad en existencias]]</f>
        <v>0</v>
      </c>
      <c r="I28" s="337">
        <v>1000</v>
      </c>
      <c r="J28" s="332">
        <v>1</v>
      </c>
      <c r="K28" s="334">
        <v>50</v>
      </c>
      <c r="L28" s="335" t="s">
        <v>708</v>
      </c>
    </row>
    <row r="29" spans="2:12" ht="30" customHeight="1">
      <c r="B29" s="320">
        <f>IFERROR((ListaDeInventario[[#This Row],[Cantidad en existencias]]&lt;=ListaDeInventario[[#This Row],[Nivel del nuevo pedido]])*(ListaDeInventario[[#This Row],[EN STOCK]]="")*valResaltado,0)</f>
        <v>0</v>
      </c>
      <c r="C29" s="323" t="s">
        <v>707</v>
      </c>
      <c r="D29" s="323" t="s">
        <v>706</v>
      </c>
      <c r="E29" s="324" t="s">
        <v>705</v>
      </c>
      <c r="F29" s="325">
        <v>9500000</v>
      </c>
      <c r="G29" s="326">
        <v>25</v>
      </c>
      <c r="H29" s="325">
        <f>ListaDeInventario[[#This Row],[PRECIO VALOR]]*ListaDeInventario[[#This Row],[Cantidad en existencias]]</f>
        <v>237500000</v>
      </c>
      <c r="I29" s="326">
        <v>15</v>
      </c>
      <c r="J29" s="326">
        <v>15</v>
      </c>
      <c r="K29" s="327">
        <v>50</v>
      </c>
      <c r="L29" s="328" t="s">
        <v>246</v>
      </c>
    </row>
  </sheetData>
  <sheetProtection algorithmName="SHA-512" hashValue="7aD5y66wtmw+v58X8gw+HpF4Pv/nE/1q5fMTwI2fWDfxNlkIYCB47iqhyP13GvCevCnyU4ccMPM9STFqC2EyoQ==" saltValue="SNbujKYnBHdjxKugaza3bA==" spinCount="100000" sheet="1" formatCells="0" formatColumns="0" formatRows="0" insertColumns="0" insertRows="0" insertHyperlinks="0" deleteColumns="0" deleteRows="0" selectLockedCells="1" sort="0" autoFilter="0" pivotTables="0"/>
  <mergeCells count="4">
    <mergeCell ref="M2:N2"/>
    <mergeCell ref="M3:N3"/>
    <mergeCell ref="M4:N4"/>
    <mergeCell ref="M5:N5"/>
  </mergeCells>
  <conditionalFormatting sqref="C5:L29">
    <cfRule type="expression" dxfId="38" priority="4">
      <formula>$B5=1</formula>
    </cfRule>
    <cfRule type="expression" dxfId="37" priority="5">
      <formula>$L5="sí"</formula>
    </cfRule>
  </conditionalFormatting>
  <conditionalFormatting sqref="I14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19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2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dataValidations count="14">
    <dataValidation allowBlank="1" showInputMessage="1" showErrorMessage="1" prompt="Especifique &quot;sí&quot; si el artículo se ha suspendido. Cuando se escribe &quot;sí&quot;, se resalta la fila correspondiente en color gris claro y el estilo de la fuente cambia a tachado." sqref="L4"/>
    <dataValidation allowBlank="1" showInputMessage="1" showErrorMessage="1" prompt="Especifique en esta columna la cantidad del nuevo pedido de cada artículo." sqref="K4"/>
    <dataValidation allowBlank="1" showInputMessage="1" showErrorMessage="1" prompt="Especifique esta columna el número de días que se tarda en volver a pedir cada artículo." sqref="J4"/>
    <dataValidation allowBlank="1" showInputMessage="1" showErrorMessage="1" prompt="Especifique en esta columna el nivel del nuevo pedido de cada artículo." sqref="I4"/>
    <dataValidation allowBlank="1" showInputMessage="1" showErrorMessage="1" prompt="El valor de inventario de cada artículo se calcula automáticamente en esta columna." sqref="H4"/>
    <dataValidation allowBlank="1" showInputMessage="1" showErrorMessage="1" prompt="Especifique en esta columna la cantidad en existencias de cada artículo." sqref="G4"/>
    <dataValidation allowBlank="1" showInputMessage="1" showErrorMessage="1" prompt="Especifique en esta columna el precio por unidad de cada artículo." sqref="F4"/>
    <dataValidation allowBlank="1" showInputMessage="1" showErrorMessage="1" prompt="Especifique en esta columna una descripción del artículo." sqref="E4"/>
    <dataValidation allowBlank="1" showInputMessage="1" showErrorMessage="1" prompt="Especifique en esta columna el nombre del artículo." sqref="D4"/>
    <dataValidation allowBlank="1" showInputMessage="1" showErrorMessage="1" prompt="Especifique en esta columna el identificador de inventario del artículo." sqref="C4"/>
    <dataValidation allowBlank="1" showInputMessage="1" showErrorMessage="1" prompt="Un icono de marca en esta columna indica los artículos de la lista de inventario que están listos para volver a pedirse. Los iconos de marca solo aparecen cuando se selecciona Sí en la celda H1 y el artículo cumple los criterios para volver a pedirse." sqref="B4"/>
    <dataValidation errorStyle="information" allowBlank="1" showInputMessage="1" error="Solamente con la entrada &quot;sí&quot; se resaltarán los artículos que van a volver a pedirse." prompt="Resaltado de artículos que se volverán a pedir. Si selecciona Sí en la lista de H1 a la derecha, se resaltarán las filas y se colocará una marca en la columna B de la tabla de la lista de inventario para los artículos que se pueden volver a pedir." sqref="F2:G2"/>
    <dataValidation allowBlank="1" showInputMessage="1" prompt="En esta hoja de cálculo se siguen los artículos del inventario de la tabla de la lista de inventario y se pueden resaltar y marcar los artículos que se pueden volver a pedir. Los que se han suspendido aparecen tachados con 'Sí' en la columna ¿Suspendido?" sqref="A2"/>
    <dataValidation type="list" allowBlank="1" showInputMessage="1" showErrorMessage="1" error="Seleccione una opción de la lista desplegable. Seleccione REINTENTAR para especificar Sí o No, o bien seleccione CANCELAR y pulse ALT+FLECHA ABAJO para desplazarse por la lista." prompt="Para resaltar artículos que se volverán a pedir, pulse ALT+FLECHA ABAJO, vaya a Sí y pulse ENTRAR. Aparecerá una marca en la columna B y se resaltará la fila en la tabla de la lista de inventario. Si selecciona No, se borran la marca y los resaltados." sqref="H2">
      <formula1>"Sí, No"</formula1>
    </dataValidation>
  </dataValidations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34CB91F5-854F-4FCF-AB06-8CC4F613F04A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B5:B29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7030A0"/>
    <pageSetUpPr fitToPage="1"/>
  </sheetPr>
  <dimension ref="A1:AK99"/>
  <sheetViews>
    <sheetView showGridLines="0" zoomScale="40" zoomScaleNormal="40" workbookViewId="0">
      <selection activeCell="L4" sqref="L4:U4"/>
    </sheetView>
  </sheetViews>
  <sheetFormatPr baseColWidth="10" defaultRowHeight="25.5"/>
  <cols>
    <col min="1" max="1" width="4.125" style="360" customWidth="1"/>
    <col min="2" max="2" width="3.625" style="360" customWidth="1"/>
    <col min="3" max="3" width="9.5" style="360" customWidth="1"/>
    <col min="4" max="4" width="27.125" style="360" customWidth="1"/>
    <col min="5" max="5" width="3" style="360" customWidth="1"/>
    <col min="6" max="6" width="6.25" style="360" customWidth="1"/>
    <col min="7" max="7" width="43.75" style="360" customWidth="1"/>
    <col min="8" max="8" width="5.75" style="360" customWidth="1"/>
    <col min="9" max="9" width="52.75" style="360" customWidth="1"/>
    <col min="10" max="10" width="4.125" style="360" customWidth="1"/>
    <col min="11" max="11" width="22.5" style="360" customWidth="1"/>
    <col min="12" max="12" width="7.375" style="360" customWidth="1"/>
    <col min="13" max="13" width="18.125" style="360" customWidth="1"/>
    <col min="14" max="14" width="9.75" style="360" customWidth="1"/>
    <col min="15" max="15" width="18" style="360" customWidth="1"/>
    <col min="16" max="16" width="16.25" style="360" customWidth="1"/>
    <col min="17" max="17" width="19.75" style="360" customWidth="1"/>
    <col min="18" max="18" width="20.25" style="360" customWidth="1"/>
    <col min="19" max="19" width="22.75" style="360" customWidth="1"/>
    <col min="20" max="20" width="17.125" style="360" customWidth="1"/>
    <col min="21" max="21" width="22.5" style="360" customWidth="1"/>
    <col min="22" max="22" width="4.375" style="360" customWidth="1"/>
    <col min="23" max="256" width="11" style="360"/>
    <col min="257" max="257" width="4.125" style="360" customWidth="1"/>
    <col min="258" max="258" width="3.625" style="360" customWidth="1"/>
    <col min="259" max="259" width="9.5" style="360" customWidth="1"/>
    <col min="260" max="260" width="27.125" style="360" customWidth="1"/>
    <col min="261" max="261" width="3" style="360" customWidth="1"/>
    <col min="262" max="262" width="6.25" style="360" customWidth="1"/>
    <col min="263" max="263" width="43.75" style="360" customWidth="1"/>
    <col min="264" max="264" width="5.75" style="360" customWidth="1"/>
    <col min="265" max="265" width="52.75" style="360" customWidth="1"/>
    <col min="266" max="266" width="4.125" style="360" customWidth="1"/>
    <col min="267" max="267" width="22.5" style="360" customWidth="1"/>
    <col min="268" max="268" width="7.375" style="360" customWidth="1"/>
    <col min="269" max="269" width="18.125" style="360" customWidth="1"/>
    <col min="270" max="270" width="9.75" style="360" customWidth="1"/>
    <col min="271" max="271" width="18" style="360" customWidth="1"/>
    <col min="272" max="272" width="16.25" style="360" customWidth="1"/>
    <col min="273" max="273" width="19.75" style="360" customWidth="1"/>
    <col min="274" max="274" width="20.25" style="360" customWidth="1"/>
    <col min="275" max="275" width="22.75" style="360" customWidth="1"/>
    <col min="276" max="276" width="17.125" style="360" customWidth="1"/>
    <col min="277" max="277" width="22.5" style="360" customWidth="1"/>
    <col min="278" max="278" width="4.375" style="360" customWidth="1"/>
    <col min="279" max="512" width="11" style="360"/>
    <col min="513" max="513" width="4.125" style="360" customWidth="1"/>
    <col min="514" max="514" width="3.625" style="360" customWidth="1"/>
    <col min="515" max="515" width="9.5" style="360" customWidth="1"/>
    <col min="516" max="516" width="27.125" style="360" customWidth="1"/>
    <col min="517" max="517" width="3" style="360" customWidth="1"/>
    <col min="518" max="518" width="6.25" style="360" customWidth="1"/>
    <col min="519" max="519" width="43.75" style="360" customWidth="1"/>
    <col min="520" max="520" width="5.75" style="360" customWidth="1"/>
    <col min="521" max="521" width="52.75" style="360" customWidth="1"/>
    <col min="522" max="522" width="4.125" style="360" customWidth="1"/>
    <col min="523" max="523" width="22.5" style="360" customWidth="1"/>
    <col min="524" max="524" width="7.375" style="360" customWidth="1"/>
    <col min="525" max="525" width="18.125" style="360" customWidth="1"/>
    <col min="526" max="526" width="9.75" style="360" customWidth="1"/>
    <col min="527" max="527" width="18" style="360" customWidth="1"/>
    <col min="528" max="528" width="16.25" style="360" customWidth="1"/>
    <col min="529" max="529" width="19.75" style="360" customWidth="1"/>
    <col min="530" max="530" width="20.25" style="360" customWidth="1"/>
    <col min="531" max="531" width="22.75" style="360" customWidth="1"/>
    <col min="532" max="532" width="17.125" style="360" customWidth="1"/>
    <col min="533" max="533" width="22.5" style="360" customWidth="1"/>
    <col min="534" max="534" width="4.375" style="360" customWidth="1"/>
    <col min="535" max="768" width="11" style="360"/>
    <col min="769" max="769" width="4.125" style="360" customWidth="1"/>
    <col min="770" max="770" width="3.625" style="360" customWidth="1"/>
    <col min="771" max="771" width="9.5" style="360" customWidth="1"/>
    <col min="772" max="772" width="27.125" style="360" customWidth="1"/>
    <col min="773" max="773" width="3" style="360" customWidth="1"/>
    <col min="774" max="774" width="6.25" style="360" customWidth="1"/>
    <col min="775" max="775" width="43.75" style="360" customWidth="1"/>
    <col min="776" max="776" width="5.75" style="360" customWidth="1"/>
    <col min="777" max="777" width="52.75" style="360" customWidth="1"/>
    <col min="778" max="778" width="4.125" style="360" customWidth="1"/>
    <col min="779" max="779" width="22.5" style="360" customWidth="1"/>
    <col min="780" max="780" width="7.375" style="360" customWidth="1"/>
    <col min="781" max="781" width="18.125" style="360" customWidth="1"/>
    <col min="782" max="782" width="9.75" style="360" customWidth="1"/>
    <col min="783" max="783" width="18" style="360" customWidth="1"/>
    <col min="784" max="784" width="16.25" style="360" customWidth="1"/>
    <col min="785" max="785" width="19.75" style="360" customWidth="1"/>
    <col min="786" max="786" width="20.25" style="360" customWidth="1"/>
    <col min="787" max="787" width="22.75" style="360" customWidth="1"/>
    <col min="788" max="788" width="17.125" style="360" customWidth="1"/>
    <col min="789" max="789" width="22.5" style="360" customWidth="1"/>
    <col min="790" max="790" width="4.375" style="360" customWidth="1"/>
    <col min="791" max="1024" width="11" style="360"/>
    <col min="1025" max="1025" width="4.125" style="360" customWidth="1"/>
    <col min="1026" max="1026" width="3.625" style="360" customWidth="1"/>
    <col min="1027" max="1027" width="9.5" style="360" customWidth="1"/>
    <col min="1028" max="1028" width="27.125" style="360" customWidth="1"/>
    <col min="1029" max="1029" width="3" style="360" customWidth="1"/>
    <col min="1030" max="1030" width="6.25" style="360" customWidth="1"/>
    <col min="1031" max="1031" width="43.75" style="360" customWidth="1"/>
    <col min="1032" max="1032" width="5.75" style="360" customWidth="1"/>
    <col min="1033" max="1033" width="52.75" style="360" customWidth="1"/>
    <col min="1034" max="1034" width="4.125" style="360" customWidth="1"/>
    <col min="1035" max="1035" width="22.5" style="360" customWidth="1"/>
    <col min="1036" max="1036" width="7.375" style="360" customWidth="1"/>
    <col min="1037" max="1037" width="18.125" style="360" customWidth="1"/>
    <col min="1038" max="1038" width="9.75" style="360" customWidth="1"/>
    <col min="1039" max="1039" width="18" style="360" customWidth="1"/>
    <col min="1040" max="1040" width="16.25" style="360" customWidth="1"/>
    <col min="1041" max="1041" width="19.75" style="360" customWidth="1"/>
    <col min="1042" max="1042" width="20.25" style="360" customWidth="1"/>
    <col min="1043" max="1043" width="22.75" style="360" customWidth="1"/>
    <col min="1044" max="1044" width="17.125" style="360" customWidth="1"/>
    <col min="1045" max="1045" width="22.5" style="360" customWidth="1"/>
    <col min="1046" max="1046" width="4.375" style="360" customWidth="1"/>
    <col min="1047" max="1280" width="11" style="360"/>
    <col min="1281" max="1281" width="4.125" style="360" customWidth="1"/>
    <col min="1282" max="1282" width="3.625" style="360" customWidth="1"/>
    <col min="1283" max="1283" width="9.5" style="360" customWidth="1"/>
    <col min="1284" max="1284" width="27.125" style="360" customWidth="1"/>
    <col min="1285" max="1285" width="3" style="360" customWidth="1"/>
    <col min="1286" max="1286" width="6.25" style="360" customWidth="1"/>
    <col min="1287" max="1287" width="43.75" style="360" customWidth="1"/>
    <col min="1288" max="1288" width="5.75" style="360" customWidth="1"/>
    <col min="1289" max="1289" width="52.75" style="360" customWidth="1"/>
    <col min="1290" max="1290" width="4.125" style="360" customWidth="1"/>
    <col min="1291" max="1291" width="22.5" style="360" customWidth="1"/>
    <col min="1292" max="1292" width="7.375" style="360" customWidth="1"/>
    <col min="1293" max="1293" width="18.125" style="360" customWidth="1"/>
    <col min="1294" max="1294" width="9.75" style="360" customWidth="1"/>
    <col min="1295" max="1295" width="18" style="360" customWidth="1"/>
    <col min="1296" max="1296" width="16.25" style="360" customWidth="1"/>
    <col min="1297" max="1297" width="19.75" style="360" customWidth="1"/>
    <col min="1298" max="1298" width="20.25" style="360" customWidth="1"/>
    <col min="1299" max="1299" width="22.75" style="360" customWidth="1"/>
    <col min="1300" max="1300" width="17.125" style="360" customWidth="1"/>
    <col min="1301" max="1301" width="22.5" style="360" customWidth="1"/>
    <col min="1302" max="1302" width="4.375" style="360" customWidth="1"/>
    <col min="1303" max="1536" width="11" style="360"/>
    <col min="1537" max="1537" width="4.125" style="360" customWidth="1"/>
    <col min="1538" max="1538" width="3.625" style="360" customWidth="1"/>
    <col min="1539" max="1539" width="9.5" style="360" customWidth="1"/>
    <col min="1540" max="1540" width="27.125" style="360" customWidth="1"/>
    <col min="1541" max="1541" width="3" style="360" customWidth="1"/>
    <col min="1542" max="1542" width="6.25" style="360" customWidth="1"/>
    <col min="1543" max="1543" width="43.75" style="360" customWidth="1"/>
    <col min="1544" max="1544" width="5.75" style="360" customWidth="1"/>
    <col min="1545" max="1545" width="52.75" style="360" customWidth="1"/>
    <col min="1546" max="1546" width="4.125" style="360" customWidth="1"/>
    <col min="1547" max="1547" width="22.5" style="360" customWidth="1"/>
    <col min="1548" max="1548" width="7.375" style="360" customWidth="1"/>
    <col min="1549" max="1549" width="18.125" style="360" customWidth="1"/>
    <col min="1550" max="1550" width="9.75" style="360" customWidth="1"/>
    <col min="1551" max="1551" width="18" style="360" customWidth="1"/>
    <col min="1552" max="1552" width="16.25" style="360" customWidth="1"/>
    <col min="1553" max="1553" width="19.75" style="360" customWidth="1"/>
    <col min="1554" max="1554" width="20.25" style="360" customWidth="1"/>
    <col min="1555" max="1555" width="22.75" style="360" customWidth="1"/>
    <col min="1556" max="1556" width="17.125" style="360" customWidth="1"/>
    <col min="1557" max="1557" width="22.5" style="360" customWidth="1"/>
    <col min="1558" max="1558" width="4.375" style="360" customWidth="1"/>
    <col min="1559" max="1792" width="11" style="360"/>
    <col min="1793" max="1793" width="4.125" style="360" customWidth="1"/>
    <col min="1794" max="1794" width="3.625" style="360" customWidth="1"/>
    <col min="1795" max="1795" width="9.5" style="360" customWidth="1"/>
    <col min="1796" max="1796" width="27.125" style="360" customWidth="1"/>
    <col min="1797" max="1797" width="3" style="360" customWidth="1"/>
    <col min="1798" max="1798" width="6.25" style="360" customWidth="1"/>
    <col min="1799" max="1799" width="43.75" style="360" customWidth="1"/>
    <col min="1800" max="1800" width="5.75" style="360" customWidth="1"/>
    <col min="1801" max="1801" width="52.75" style="360" customWidth="1"/>
    <col min="1802" max="1802" width="4.125" style="360" customWidth="1"/>
    <col min="1803" max="1803" width="22.5" style="360" customWidth="1"/>
    <col min="1804" max="1804" width="7.375" style="360" customWidth="1"/>
    <col min="1805" max="1805" width="18.125" style="360" customWidth="1"/>
    <col min="1806" max="1806" width="9.75" style="360" customWidth="1"/>
    <col min="1807" max="1807" width="18" style="360" customWidth="1"/>
    <col min="1808" max="1808" width="16.25" style="360" customWidth="1"/>
    <col min="1809" max="1809" width="19.75" style="360" customWidth="1"/>
    <col min="1810" max="1810" width="20.25" style="360" customWidth="1"/>
    <col min="1811" max="1811" width="22.75" style="360" customWidth="1"/>
    <col min="1812" max="1812" width="17.125" style="360" customWidth="1"/>
    <col min="1813" max="1813" width="22.5" style="360" customWidth="1"/>
    <col min="1814" max="1814" width="4.375" style="360" customWidth="1"/>
    <col min="1815" max="2048" width="11" style="360"/>
    <col min="2049" max="2049" width="4.125" style="360" customWidth="1"/>
    <col min="2050" max="2050" width="3.625" style="360" customWidth="1"/>
    <col min="2051" max="2051" width="9.5" style="360" customWidth="1"/>
    <col min="2052" max="2052" width="27.125" style="360" customWidth="1"/>
    <col min="2053" max="2053" width="3" style="360" customWidth="1"/>
    <col min="2054" max="2054" width="6.25" style="360" customWidth="1"/>
    <col min="2055" max="2055" width="43.75" style="360" customWidth="1"/>
    <col min="2056" max="2056" width="5.75" style="360" customWidth="1"/>
    <col min="2057" max="2057" width="52.75" style="360" customWidth="1"/>
    <col min="2058" max="2058" width="4.125" style="360" customWidth="1"/>
    <col min="2059" max="2059" width="22.5" style="360" customWidth="1"/>
    <col min="2060" max="2060" width="7.375" style="360" customWidth="1"/>
    <col min="2061" max="2061" width="18.125" style="360" customWidth="1"/>
    <col min="2062" max="2062" width="9.75" style="360" customWidth="1"/>
    <col min="2063" max="2063" width="18" style="360" customWidth="1"/>
    <col min="2064" max="2064" width="16.25" style="360" customWidth="1"/>
    <col min="2065" max="2065" width="19.75" style="360" customWidth="1"/>
    <col min="2066" max="2066" width="20.25" style="360" customWidth="1"/>
    <col min="2067" max="2067" width="22.75" style="360" customWidth="1"/>
    <col min="2068" max="2068" width="17.125" style="360" customWidth="1"/>
    <col min="2069" max="2069" width="22.5" style="360" customWidth="1"/>
    <col min="2070" max="2070" width="4.375" style="360" customWidth="1"/>
    <col min="2071" max="2304" width="11" style="360"/>
    <col min="2305" max="2305" width="4.125" style="360" customWidth="1"/>
    <col min="2306" max="2306" width="3.625" style="360" customWidth="1"/>
    <col min="2307" max="2307" width="9.5" style="360" customWidth="1"/>
    <col min="2308" max="2308" width="27.125" style="360" customWidth="1"/>
    <col min="2309" max="2309" width="3" style="360" customWidth="1"/>
    <col min="2310" max="2310" width="6.25" style="360" customWidth="1"/>
    <col min="2311" max="2311" width="43.75" style="360" customWidth="1"/>
    <col min="2312" max="2312" width="5.75" style="360" customWidth="1"/>
    <col min="2313" max="2313" width="52.75" style="360" customWidth="1"/>
    <col min="2314" max="2314" width="4.125" style="360" customWidth="1"/>
    <col min="2315" max="2315" width="22.5" style="360" customWidth="1"/>
    <col min="2316" max="2316" width="7.375" style="360" customWidth="1"/>
    <col min="2317" max="2317" width="18.125" style="360" customWidth="1"/>
    <col min="2318" max="2318" width="9.75" style="360" customWidth="1"/>
    <col min="2319" max="2319" width="18" style="360" customWidth="1"/>
    <col min="2320" max="2320" width="16.25" style="360" customWidth="1"/>
    <col min="2321" max="2321" width="19.75" style="360" customWidth="1"/>
    <col min="2322" max="2322" width="20.25" style="360" customWidth="1"/>
    <col min="2323" max="2323" width="22.75" style="360" customWidth="1"/>
    <col min="2324" max="2324" width="17.125" style="360" customWidth="1"/>
    <col min="2325" max="2325" width="22.5" style="360" customWidth="1"/>
    <col min="2326" max="2326" width="4.375" style="360" customWidth="1"/>
    <col min="2327" max="2560" width="11" style="360"/>
    <col min="2561" max="2561" width="4.125" style="360" customWidth="1"/>
    <col min="2562" max="2562" width="3.625" style="360" customWidth="1"/>
    <col min="2563" max="2563" width="9.5" style="360" customWidth="1"/>
    <col min="2564" max="2564" width="27.125" style="360" customWidth="1"/>
    <col min="2565" max="2565" width="3" style="360" customWidth="1"/>
    <col min="2566" max="2566" width="6.25" style="360" customWidth="1"/>
    <col min="2567" max="2567" width="43.75" style="360" customWidth="1"/>
    <col min="2568" max="2568" width="5.75" style="360" customWidth="1"/>
    <col min="2569" max="2569" width="52.75" style="360" customWidth="1"/>
    <col min="2570" max="2570" width="4.125" style="360" customWidth="1"/>
    <col min="2571" max="2571" width="22.5" style="360" customWidth="1"/>
    <col min="2572" max="2572" width="7.375" style="360" customWidth="1"/>
    <col min="2573" max="2573" width="18.125" style="360" customWidth="1"/>
    <col min="2574" max="2574" width="9.75" style="360" customWidth="1"/>
    <col min="2575" max="2575" width="18" style="360" customWidth="1"/>
    <col min="2576" max="2576" width="16.25" style="360" customWidth="1"/>
    <col min="2577" max="2577" width="19.75" style="360" customWidth="1"/>
    <col min="2578" max="2578" width="20.25" style="360" customWidth="1"/>
    <col min="2579" max="2579" width="22.75" style="360" customWidth="1"/>
    <col min="2580" max="2580" width="17.125" style="360" customWidth="1"/>
    <col min="2581" max="2581" width="22.5" style="360" customWidth="1"/>
    <col min="2582" max="2582" width="4.375" style="360" customWidth="1"/>
    <col min="2583" max="2816" width="11" style="360"/>
    <col min="2817" max="2817" width="4.125" style="360" customWidth="1"/>
    <col min="2818" max="2818" width="3.625" style="360" customWidth="1"/>
    <col min="2819" max="2819" width="9.5" style="360" customWidth="1"/>
    <col min="2820" max="2820" width="27.125" style="360" customWidth="1"/>
    <col min="2821" max="2821" width="3" style="360" customWidth="1"/>
    <col min="2822" max="2822" width="6.25" style="360" customWidth="1"/>
    <col min="2823" max="2823" width="43.75" style="360" customWidth="1"/>
    <col min="2824" max="2824" width="5.75" style="360" customWidth="1"/>
    <col min="2825" max="2825" width="52.75" style="360" customWidth="1"/>
    <col min="2826" max="2826" width="4.125" style="360" customWidth="1"/>
    <col min="2827" max="2827" width="22.5" style="360" customWidth="1"/>
    <col min="2828" max="2828" width="7.375" style="360" customWidth="1"/>
    <col min="2829" max="2829" width="18.125" style="360" customWidth="1"/>
    <col min="2830" max="2830" width="9.75" style="360" customWidth="1"/>
    <col min="2831" max="2831" width="18" style="360" customWidth="1"/>
    <col min="2832" max="2832" width="16.25" style="360" customWidth="1"/>
    <col min="2833" max="2833" width="19.75" style="360" customWidth="1"/>
    <col min="2834" max="2834" width="20.25" style="360" customWidth="1"/>
    <col min="2835" max="2835" width="22.75" style="360" customWidth="1"/>
    <col min="2836" max="2836" width="17.125" style="360" customWidth="1"/>
    <col min="2837" max="2837" width="22.5" style="360" customWidth="1"/>
    <col min="2838" max="2838" width="4.375" style="360" customWidth="1"/>
    <col min="2839" max="3072" width="11" style="360"/>
    <col min="3073" max="3073" width="4.125" style="360" customWidth="1"/>
    <col min="3074" max="3074" width="3.625" style="360" customWidth="1"/>
    <col min="3075" max="3075" width="9.5" style="360" customWidth="1"/>
    <col min="3076" max="3076" width="27.125" style="360" customWidth="1"/>
    <col min="3077" max="3077" width="3" style="360" customWidth="1"/>
    <col min="3078" max="3078" width="6.25" style="360" customWidth="1"/>
    <col min="3079" max="3079" width="43.75" style="360" customWidth="1"/>
    <col min="3080" max="3080" width="5.75" style="360" customWidth="1"/>
    <col min="3081" max="3081" width="52.75" style="360" customWidth="1"/>
    <col min="3082" max="3082" width="4.125" style="360" customWidth="1"/>
    <col min="3083" max="3083" width="22.5" style="360" customWidth="1"/>
    <col min="3084" max="3084" width="7.375" style="360" customWidth="1"/>
    <col min="3085" max="3085" width="18.125" style="360" customWidth="1"/>
    <col min="3086" max="3086" width="9.75" style="360" customWidth="1"/>
    <col min="3087" max="3087" width="18" style="360" customWidth="1"/>
    <col min="3088" max="3088" width="16.25" style="360" customWidth="1"/>
    <col min="3089" max="3089" width="19.75" style="360" customWidth="1"/>
    <col min="3090" max="3090" width="20.25" style="360" customWidth="1"/>
    <col min="3091" max="3091" width="22.75" style="360" customWidth="1"/>
    <col min="3092" max="3092" width="17.125" style="360" customWidth="1"/>
    <col min="3093" max="3093" width="22.5" style="360" customWidth="1"/>
    <col min="3094" max="3094" width="4.375" style="360" customWidth="1"/>
    <col min="3095" max="3328" width="11" style="360"/>
    <col min="3329" max="3329" width="4.125" style="360" customWidth="1"/>
    <col min="3330" max="3330" width="3.625" style="360" customWidth="1"/>
    <col min="3331" max="3331" width="9.5" style="360" customWidth="1"/>
    <col min="3332" max="3332" width="27.125" style="360" customWidth="1"/>
    <col min="3333" max="3333" width="3" style="360" customWidth="1"/>
    <col min="3334" max="3334" width="6.25" style="360" customWidth="1"/>
    <col min="3335" max="3335" width="43.75" style="360" customWidth="1"/>
    <col min="3336" max="3336" width="5.75" style="360" customWidth="1"/>
    <col min="3337" max="3337" width="52.75" style="360" customWidth="1"/>
    <col min="3338" max="3338" width="4.125" style="360" customWidth="1"/>
    <col min="3339" max="3339" width="22.5" style="360" customWidth="1"/>
    <col min="3340" max="3340" width="7.375" style="360" customWidth="1"/>
    <col min="3341" max="3341" width="18.125" style="360" customWidth="1"/>
    <col min="3342" max="3342" width="9.75" style="360" customWidth="1"/>
    <col min="3343" max="3343" width="18" style="360" customWidth="1"/>
    <col min="3344" max="3344" width="16.25" style="360" customWidth="1"/>
    <col min="3345" max="3345" width="19.75" style="360" customWidth="1"/>
    <col min="3346" max="3346" width="20.25" style="360" customWidth="1"/>
    <col min="3347" max="3347" width="22.75" style="360" customWidth="1"/>
    <col min="3348" max="3348" width="17.125" style="360" customWidth="1"/>
    <col min="3349" max="3349" width="22.5" style="360" customWidth="1"/>
    <col min="3350" max="3350" width="4.375" style="360" customWidth="1"/>
    <col min="3351" max="3584" width="11" style="360"/>
    <col min="3585" max="3585" width="4.125" style="360" customWidth="1"/>
    <col min="3586" max="3586" width="3.625" style="360" customWidth="1"/>
    <col min="3587" max="3587" width="9.5" style="360" customWidth="1"/>
    <col min="3588" max="3588" width="27.125" style="360" customWidth="1"/>
    <col min="3589" max="3589" width="3" style="360" customWidth="1"/>
    <col min="3590" max="3590" width="6.25" style="360" customWidth="1"/>
    <col min="3591" max="3591" width="43.75" style="360" customWidth="1"/>
    <col min="3592" max="3592" width="5.75" style="360" customWidth="1"/>
    <col min="3593" max="3593" width="52.75" style="360" customWidth="1"/>
    <col min="3594" max="3594" width="4.125" style="360" customWidth="1"/>
    <col min="3595" max="3595" width="22.5" style="360" customWidth="1"/>
    <col min="3596" max="3596" width="7.375" style="360" customWidth="1"/>
    <col min="3597" max="3597" width="18.125" style="360" customWidth="1"/>
    <col min="3598" max="3598" width="9.75" style="360" customWidth="1"/>
    <col min="3599" max="3599" width="18" style="360" customWidth="1"/>
    <col min="3600" max="3600" width="16.25" style="360" customWidth="1"/>
    <col min="3601" max="3601" width="19.75" style="360" customWidth="1"/>
    <col min="3602" max="3602" width="20.25" style="360" customWidth="1"/>
    <col min="3603" max="3603" width="22.75" style="360" customWidth="1"/>
    <col min="3604" max="3604" width="17.125" style="360" customWidth="1"/>
    <col min="3605" max="3605" width="22.5" style="360" customWidth="1"/>
    <col min="3606" max="3606" width="4.375" style="360" customWidth="1"/>
    <col min="3607" max="3840" width="11" style="360"/>
    <col min="3841" max="3841" width="4.125" style="360" customWidth="1"/>
    <col min="3842" max="3842" width="3.625" style="360" customWidth="1"/>
    <col min="3843" max="3843" width="9.5" style="360" customWidth="1"/>
    <col min="3844" max="3844" width="27.125" style="360" customWidth="1"/>
    <col min="3845" max="3845" width="3" style="360" customWidth="1"/>
    <col min="3846" max="3846" width="6.25" style="360" customWidth="1"/>
    <col min="3847" max="3847" width="43.75" style="360" customWidth="1"/>
    <col min="3848" max="3848" width="5.75" style="360" customWidth="1"/>
    <col min="3849" max="3849" width="52.75" style="360" customWidth="1"/>
    <col min="3850" max="3850" width="4.125" style="360" customWidth="1"/>
    <col min="3851" max="3851" width="22.5" style="360" customWidth="1"/>
    <col min="3852" max="3852" width="7.375" style="360" customWidth="1"/>
    <col min="3853" max="3853" width="18.125" style="360" customWidth="1"/>
    <col min="3854" max="3854" width="9.75" style="360" customWidth="1"/>
    <col min="3855" max="3855" width="18" style="360" customWidth="1"/>
    <col min="3856" max="3856" width="16.25" style="360" customWidth="1"/>
    <col min="3857" max="3857" width="19.75" style="360" customWidth="1"/>
    <col min="3858" max="3858" width="20.25" style="360" customWidth="1"/>
    <col min="3859" max="3859" width="22.75" style="360" customWidth="1"/>
    <col min="3860" max="3860" width="17.125" style="360" customWidth="1"/>
    <col min="3861" max="3861" width="22.5" style="360" customWidth="1"/>
    <col min="3862" max="3862" width="4.375" style="360" customWidth="1"/>
    <col min="3863" max="4096" width="11" style="360"/>
    <col min="4097" max="4097" width="4.125" style="360" customWidth="1"/>
    <col min="4098" max="4098" width="3.625" style="360" customWidth="1"/>
    <col min="4099" max="4099" width="9.5" style="360" customWidth="1"/>
    <col min="4100" max="4100" width="27.125" style="360" customWidth="1"/>
    <col min="4101" max="4101" width="3" style="360" customWidth="1"/>
    <col min="4102" max="4102" width="6.25" style="360" customWidth="1"/>
    <col min="4103" max="4103" width="43.75" style="360" customWidth="1"/>
    <col min="4104" max="4104" width="5.75" style="360" customWidth="1"/>
    <col min="4105" max="4105" width="52.75" style="360" customWidth="1"/>
    <col min="4106" max="4106" width="4.125" style="360" customWidth="1"/>
    <col min="4107" max="4107" width="22.5" style="360" customWidth="1"/>
    <col min="4108" max="4108" width="7.375" style="360" customWidth="1"/>
    <col min="4109" max="4109" width="18.125" style="360" customWidth="1"/>
    <col min="4110" max="4110" width="9.75" style="360" customWidth="1"/>
    <col min="4111" max="4111" width="18" style="360" customWidth="1"/>
    <col min="4112" max="4112" width="16.25" style="360" customWidth="1"/>
    <col min="4113" max="4113" width="19.75" style="360" customWidth="1"/>
    <col min="4114" max="4114" width="20.25" style="360" customWidth="1"/>
    <col min="4115" max="4115" width="22.75" style="360" customWidth="1"/>
    <col min="4116" max="4116" width="17.125" style="360" customWidth="1"/>
    <col min="4117" max="4117" width="22.5" style="360" customWidth="1"/>
    <col min="4118" max="4118" width="4.375" style="360" customWidth="1"/>
    <col min="4119" max="4352" width="11" style="360"/>
    <col min="4353" max="4353" width="4.125" style="360" customWidth="1"/>
    <col min="4354" max="4354" width="3.625" style="360" customWidth="1"/>
    <col min="4355" max="4355" width="9.5" style="360" customWidth="1"/>
    <col min="4356" max="4356" width="27.125" style="360" customWidth="1"/>
    <col min="4357" max="4357" width="3" style="360" customWidth="1"/>
    <col min="4358" max="4358" width="6.25" style="360" customWidth="1"/>
    <col min="4359" max="4359" width="43.75" style="360" customWidth="1"/>
    <col min="4360" max="4360" width="5.75" style="360" customWidth="1"/>
    <col min="4361" max="4361" width="52.75" style="360" customWidth="1"/>
    <col min="4362" max="4362" width="4.125" style="360" customWidth="1"/>
    <col min="4363" max="4363" width="22.5" style="360" customWidth="1"/>
    <col min="4364" max="4364" width="7.375" style="360" customWidth="1"/>
    <col min="4365" max="4365" width="18.125" style="360" customWidth="1"/>
    <col min="4366" max="4366" width="9.75" style="360" customWidth="1"/>
    <col min="4367" max="4367" width="18" style="360" customWidth="1"/>
    <col min="4368" max="4368" width="16.25" style="360" customWidth="1"/>
    <col min="4369" max="4369" width="19.75" style="360" customWidth="1"/>
    <col min="4370" max="4370" width="20.25" style="360" customWidth="1"/>
    <col min="4371" max="4371" width="22.75" style="360" customWidth="1"/>
    <col min="4372" max="4372" width="17.125" style="360" customWidth="1"/>
    <col min="4373" max="4373" width="22.5" style="360" customWidth="1"/>
    <col min="4374" max="4374" width="4.375" style="360" customWidth="1"/>
    <col min="4375" max="4608" width="11" style="360"/>
    <col min="4609" max="4609" width="4.125" style="360" customWidth="1"/>
    <col min="4610" max="4610" width="3.625" style="360" customWidth="1"/>
    <col min="4611" max="4611" width="9.5" style="360" customWidth="1"/>
    <col min="4612" max="4612" width="27.125" style="360" customWidth="1"/>
    <col min="4613" max="4613" width="3" style="360" customWidth="1"/>
    <col min="4614" max="4614" width="6.25" style="360" customWidth="1"/>
    <col min="4615" max="4615" width="43.75" style="360" customWidth="1"/>
    <col min="4616" max="4616" width="5.75" style="360" customWidth="1"/>
    <col min="4617" max="4617" width="52.75" style="360" customWidth="1"/>
    <col min="4618" max="4618" width="4.125" style="360" customWidth="1"/>
    <col min="4619" max="4619" width="22.5" style="360" customWidth="1"/>
    <col min="4620" max="4620" width="7.375" style="360" customWidth="1"/>
    <col min="4621" max="4621" width="18.125" style="360" customWidth="1"/>
    <col min="4622" max="4622" width="9.75" style="360" customWidth="1"/>
    <col min="4623" max="4623" width="18" style="360" customWidth="1"/>
    <col min="4624" max="4624" width="16.25" style="360" customWidth="1"/>
    <col min="4625" max="4625" width="19.75" style="360" customWidth="1"/>
    <col min="4626" max="4626" width="20.25" style="360" customWidth="1"/>
    <col min="4627" max="4627" width="22.75" style="360" customWidth="1"/>
    <col min="4628" max="4628" width="17.125" style="360" customWidth="1"/>
    <col min="4629" max="4629" width="22.5" style="360" customWidth="1"/>
    <col min="4630" max="4630" width="4.375" style="360" customWidth="1"/>
    <col min="4631" max="4864" width="11" style="360"/>
    <col min="4865" max="4865" width="4.125" style="360" customWidth="1"/>
    <col min="4866" max="4866" width="3.625" style="360" customWidth="1"/>
    <col min="4867" max="4867" width="9.5" style="360" customWidth="1"/>
    <col min="4868" max="4868" width="27.125" style="360" customWidth="1"/>
    <col min="4869" max="4869" width="3" style="360" customWidth="1"/>
    <col min="4870" max="4870" width="6.25" style="360" customWidth="1"/>
    <col min="4871" max="4871" width="43.75" style="360" customWidth="1"/>
    <col min="4872" max="4872" width="5.75" style="360" customWidth="1"/>
    <col min="4873" max="4873" width="52.75" style="360" customWidth="1"/>
    <col min="4874" max="4874" width="4.125" style="360" customWidth="1"/>
    <col min="4875" max="4875" width="22.5" style="360" customWidth="1"/>
    <col min="4876" max="4876" width="7.375" style="360" customWidth="1"/>
    <col min="4877" max="4877" width="18.125" style="360" customWidth="1"/>
    <col min="4878" max="4878" width="9.75" style="360" customWidth="1"/>
    <col min="4879" max="4879" width="18" style="360" customWidth="1"/>
    <col min="4880" max="4880" width="16.25" style="360" customWidth="1"/>
    <col min="4881" max="4881" width="19.75" style="360" customWidth="1"/>
    <col min="4882" max="4882" width="20.25" style="360" customWidth="1"/>
    <col min="4883" max="4883" width="22.75" style="360" customWidth="1"/>
    <col min="4884" max="4884" width="17.125" style="360" customWidth="1"/>
    <col min="4885" max="4885" width="22.5" style="360" customWidth="1"/>
    <col min="4886" max="4886" width="4.375" style="360" customWidth="1"/>
    <col min="4887" max="5120" width="11" style="360"/>
    <col min="5121" max="5121" width="4.125" style="360" customWidth="1"/>
    <col min="5122" max="5122" width="3.625" style="360" customWidth="1"/>
    <col min="5123" max="5123" width="9.5" style="360" customWidth="1"/>
    <col min="5124" max="5124" width="27.125" style="360" customWidth="1"/>
    <col min="5125" max="5125" width="3" style="360" customWidth="1"/>
    <col min="5126" max="5126" width="6.25" style="360" customWidth="1"/>
    <col min="5127" max="5127" width="43.75" style="360" customWidth="1"/>
    <col min="5128" max="5128" width="5.75" style="360" customWidth="1"/>
    <col min="5129" max="5129" width="52.75" style="360" customWidth="1"/>
    <col min="5130" max="5130" width="4.125" style="360" customWidth="1"/>
    <col min="5131" max="5131" width="22.5" style="360" customWidth="1"/>
    <col min="5132" max="5132" width="7.375" style="360" customWidth="1"/>
    <col min="5133" max="5133" width="18.125" style="360" customWidth="1"/>
    <col min="5134" max="5134" width="9.75" style="360" customWidth="1"/>
    <col min="5135" max="5135" width="18" style="360" customWidth="1"/>
    <col min="5136" max="5136" width="16.25" style="360" customWidth="1"/>
    <col min="5137" max="5137" width="19.75" style="360" customWidth="1"/>
    <col min="5138" max="5138" width="20.25" style="360" customWidth="1"/>
    <col min="5139" max="5139" width="22.75" style="360" customWidth="1"/>
    <col min="5140" max="5140" width="17.125" style="360" customWidth="1"/>
    <col min="5141" max="5141" width="22.5" style="360" customWidth="1"/>
    <col min="5142" max="5142" width="4.375" style="360" customWidth="1"/>
    <col min="5143" max="5376" width="11" style="360"/>
    <col min="5377" max="5377" width="4.125" style="360" customWidth="1"/>
    <col min="5378" max="5378" width="3.625" style="360" customWidth="1"/>
    <col min="5379" max="5379" width="9.5" style="360" customWidth="1"/>
    <col min="5380" max="5380" width="27.125" style="360" customWidth="1"/>
    <col min="5381" max="5381" width="3" style="360" customWidth="1"/>
    <col min="5382" max="5382" width="6.25" style="360" customWidth="1"/>
    <col min="5383" max="5383" width="43.75" style="360" customWidth="1"/>
    <col min="5384" max="5384" width="5.75" style="360" customWidth="1"/>
    <col min="5385" max="5385" width="52.75" style="360" customWidth="1"/>
    <col min="5386" max="5386" width="4.125" style="360" customWidth="1"/>
    <col min="5387" max="5387" width="22.5" style="360" customWidth="1"/>
    <col min="5388" max="5388" width="7.375" style="360" customWidth="1"/>
    <col min="5389" max="5389" width="18.125" style="360" customWidth="1"/>
    <col min="5390" max="5390" width="9.75" style="360" customWidth="1"/>
    <col min="5391" max="5391" width="18" style="360" customWidth="1"/>
    <col min="5392" max="5392" width="16.25" style="360" customWidth="1"/>
    <col min="5393" max="5393" width="19.75" style="360" customWidth="1"/>
    <col min="5394" max="5394" width="20.25" style="360" customWidth="1"/>
    <col min="5395" max="5395" width="22.75" style="360" customWidth="1"/>
    <col min="5396" max="5396" width="17.125" style="360" customWidth="1"/>
    <col min="5397" max="5397" width="22.5" style="360" customWidth="1"/>
    <col min="5398" max="5398" width="4.375" style="360" customWidth="1"/>
    <col min="5399" max="5632" width="11" style="360"/>
    <col min="5633" max="5633" width="4.125" style="360" customWidth="1"/>
    <col min="5634" max="5634" width="3.625" style="360" customWidth="1"/>
    <col min="5635" max="5635" width="9.5" style="360" customWidth="1"/>
    <col min="5636" max="5636" width="27.125" style="360" customWidth="1"/>
    <col min="5637" max="5637" width="3" style="360" customWidth="1"/>
    <col min="5638" max="5638" width="6.25" style="360" customWidth="1"/>
    <col min="5639" max="5639" width="43.75" style="360" customWidth="1"/>
    <col min="5640" max="5640" width="5.75" style="360" customWidth="1"/>
    <col min="5641" max="5641" width="52.75" style="360" customWidth="1"/>
    <col min="5642" max="5642" width="4.125" style="360" customWidth="1"/>
    <col min="5643" max="5643" width="22.5" style="360" customWidth="1"/>
    <col min="5644" max="5644" width="7.375" style="360" customWidth="1"/>
    <col min="5645" max="5645" width="18.125" style="360" customWidth="1"/>
    <col min="5646" max="5646" width="9.75" style="360" customWidth="1"/>
    <col min="5647" max="5647" width="18" style="360" customWidth="1"/>
    <col min="5648" max="5648" width="16.25" style="360" customWidth="1"/>
    <col min="5649" max="5649" width="19.75" style="360" customWidth="1"/>
    <col min="5650" max="5650" width="20.25" style="360" customWidth="1"/>
    <col min="5651" max="5651" width="22.75" style="360" customWidth="1"/>
    <col min="5652" max="5652" width="17.125" style="360" customWidth="1"/>
    <col min="5653" max="5653" width="22.5" style="360" customWidth="1"/>
    <col min="5654" max="5654" width="4.375" style="360" customWidth="1"/>
    <col min="5655" max="5888" width="11" style="360"/>
    <col min="5889" max="5889" width="4.125" style="360" customWidth="1"/>
    <col min="5890" max="5890" width="3.625" style="360" customWidth="1"/>
    <col min="5891" max="5891" width="9.5" style="360" customWidth="1"/>
    <col min="5892" max="5892" width="27.125" style="360" customWidth="1"/>
    <col min="5893" max="5893" width="3" style="360" customWidth="1"/>
    <col min="5894" max="5894" width="6.25" style="360" customWidth="1"/>
    <col min="5895" max="5895" width="43.75" style="360" customWidth="1"/>
    <col min="5896" max="5896" width="5.75" style="360" customWidth="1"/>
    <col min="5897" max="5897" width="52.75" style="360" customWidth="1"/>
    <col min="5898" max="5898" width="4.125" style="360" customWidth="1"/>
    <col min="5899" max="5899" width="22.5" style="360" customWidth="1"/>
    <col min="5900" max="5900" width="7.375" style="360" customWidth="1"/>
    <col min="5901" max="5901" width="18.125" style="360" customWidth="1"/>
    <col min="5902" max="5902" width="9.75" style="360" customWidth="1"/>
    <col min="5903" max="5903" width="18" style="360" customWidth="1"/>
    <col min="5904" max="5904" width="16.25" style="360" customWidth="1"/>
    <col min="5905" max="5905" width="19.75" style="360" customWidth="1"/>
    <col min="5906" max="5906" width="20.25" style="360" customWidth="1"/>
    <col min="5907" max="5907" width="22.75" style="360" customWidth="1"/>
    <col min="5908" max="5908" width="17.125" style="360" customWidth="1"/>
    <col min="5909" max="5909" width="22.5" style="360" customWidth="1"/>
    <col min="5910" max="5910" width="4.375" style="360" customWidth="1"/>
    <col min="5911" max="6144" width="11" style="360"/>
    <col min="6145" max="6145" width="4.125" style="360" customWidth="1"/>
    <col min="6146" max="6146" width="3.625" style="360" customWidth="1"/>
    <col min="6147" max="6147" width="9.5" style="360" customWidth="1"/>
    <col min="6148" max="6148" width="27.125" style="360" customWidth="1"/>
    <col min="6149" max="6149" width="3" style="360" customWidth="1"/>
    <col min="6150" max="6150" width="6.25" style="360" customWidth="1"/>
    <col min="6151" max="6151" width="43.75" style="360" customWidth="1"/>
    <col min="6152" max="6152" width="5.75" style="360" customWidth="1"/>
    <col min="6153" max="6153" width="52.75" style="360" customWidth="1"/>
    <col min="6154" max="6154" width="4.125" style="360" customWidth="1"/>
    <col min="6155" max="6155" width="22.5" style="360" customWidth="1"/>
    <col min="6156" max="6156" width="7.375" style="360" customWidth="1"/>
    <col min="6157" max="6157" width="18.125" style="360" customWidth="1"/>
    <col min="6158" max="6158" width="9.75" style="360" customWidth="1"/>
    <col min="6159" max="6159" width="18" style="360" customWidth="1"/>
    <col min="6160" max="6160" width="16.25" style="360" customWidth="1"/>
    <col min="6161" max="6161" width="19.75" style="360" customWidth="1"/>
    <col min="6162" max="6162" width="20.25" style="360" customWidth="1"/>
    <col min="6163" max="6163" width="22.75" style="360" customWidth="1"/>
    <col min="6164" max="6164" width="17.125" style="360" customWidth="1"/>
    <col min="6165" max="6165" width="22.5" style="360" customWidth="1"/>
    <col min="6166" max="6166" width="4.375" style="360" customWidth="1"/>
    <col min="6167" max="6400" width="11" style="360"/>
    <col min="6401" max="6401" width="4.125" style="360" customWidth="1"/>
    <col min="6402" max="6402" width="3.625" style="360" customWidth="1"/>
    <col min="6403" max="6403" width="9.5" style="360" customWidth="1"/>
    <col min="6404" max="6404" width="27.125" style="360" customWidth="1"/>
    <col min="6405" max="6405" width="3" style="360" customWidth="1"/>
    <col min="6406" max="6406" width="6.25" style="360" customWidth="1"/>
    <col min="6407" max="6407" width="43.75" style="360" customWidth="1"/>
    <col min="6408" max="6408" width="5.75" style="360" customWidth="1"/>
    <col min="6409" max="6409" width="52.75" style="360" customWidth="1"/>
    <col min="6410" max="6410" width="4.125" style="360" customWidth="1"/>
    <col min="6411" max="6411" width="22.5" style="360" customWidth="1"/>
    <col min="6412" max="6412" width="7.375" style="360" customWidth="1"/>
    <col min="6413" max="6413" width="18.125" style="360" customWidth="1"/>
    <col min="6414" max="6414" width="9.75" style="360" customWidth="1"/>
    <col min="6415" max="6415" width="18" style="360" customWidth="1"/>
    <col min="6416" max="6416" width="16.25" style="360" customWidth="1"/>
    <col min="6417" max="6417" width="19.75" style="360" customWidth="1"/>
    <col min="6418" max="6418" width="20.25" style="360" customWidth="1"/>
    <col min="6419" max="6419" width="22.75" style="360" customWidth="1"/>
    <col min="6420" max="6420" width="17.125" style="360" customWidth="1"/>
    <col min="6421" max="6421" width="22.5" style="360" customWidth="1"/>
    <col min="6422" max="6422" width="4.375" style="360" customWidth="1"/>
    <col min="6423" max="6656" width="11" style="360"/>
    <col min="6657" max="6657" width="4.125" style="360" customWidth="1"/>
    <col min="6658" max="6658" width="3.625" style="360" customWidth="1"/>
    <col min="6659" max="6659" width="9.5" style="360" customWidth="1"/>
    <col min="6660" max="6660" width="27.125" style="360" customWidth="1"/>
    <col min="6661" max="6661" width="3" style="360" customWidth="1"/>
    <col min="6662" max="6662" width="6.25" style="360" customWidth="1"/>
    <col min="6663" max="6663" width="43.75" style="360" customWidth="1"/>
    <col min="6664" max="6664" width="5.75" style="360" customWidth="1"/>
    <col min="6665" max="6665" width="52.75" style="360" customWidth="1"/>
    <col min="6666" max="6666" width="4.125" style="360" customWidth="1"/>
    <col min="6667" max="6667" width="22.5" style="360" customWidth="1"/>
    <col min="6668" max="6668" width="7.375" style="360" customWidth="1"/>
    <col min="6669" max="6669" width="18.125" style="360" customWidth="1"/>
    <col min="6670" max="6670" width="9.75" style="360" customWidth="1"/>
    <col min="6671" max="6671" width="18" style="360" customWidth="1"/>
    <col min="6672" max="6672" width="16.25" style="360" customWidth="1"/>
    <col min="6673" max="6673" width="19.75" style="360" customWidth="1"/>
    <col min="6674" max="6674" width="20.25" style="360" customWidth="1"/>
    <col min="6675" max="6675" width="22.75" style="360" customWidth="1"/>
    <col min="6676" max="6676" width="17.125" style="360" customWidth="1"/>
    <col min="6677" max="6677" width="22.5" style="360" customWidth="1"/>
    <col min="6678" max="6678" width="4.375" style="360" customWidth="1"/>
    <col min="6679" max="6912" width="11" style="360"/>
    <col min="6913" max="6913" width="4.125" style="360" customWidth="1"/>
    <col min="6914" max="6914" width="3.625" style="360" customWidth="1"/>
    <col min="6915" max="6915" width="9.5" style="360" customWidth="1"/>
    <col min="6916" max="6916" width="27.125" style="360" customWidth="1"/>
    <col min="6917" max="6917" width="3" style="360" customWidth="1"/>
    <col min="6918" max="6918" width="6.25" style="360" customWidth="1"/>
    <col min="6919" max="6919" width="43.75" style="360" customWidth="1"/>
    <col min="6920" max="6920" width="5.75" style="360" customWidth="1"/>
    <col min="6921" max="6921" width="52.75" style="360" customWidth="1"/>
    <col min="6922" max="6922" width="4.125" style="360" customWidth="1"/>
    <col min="6923" max="6923" width="22.5" style="360" customWidth="1"/>
    <col min="6924" max="6924" width="7.375" style="360" customWidth="1"/>
    <col min="6925" max="6925" width="18.125" style="360" customWidth="1"/>
    <col min="6926" max="6926" width="9.75" style="360" customWidth="1"/>
    <col min="6927" max="6927" width="18" style="360" customWidth="1"/>
    <col min="6928" max="6928" width="16.25" style="360" customWidth="1"/>
    <col min="6929" max="6929" width="19.75" style="360" customWidth="1"/>
    <col min="6930" max="6930" width="20.25" style="360" customWidth="1"/>
    <col min="6931" max="6931" width="22.75" style="360" customWidth="1"/>
    <col min="6932" max="6932" width="17.125" style="360" customWidth="1"/>
    <col min="6933" max="6933" width="22.5" style="360" customWidth="1"/>
    <col min="6934" max="6934" width="4.375" style="360" customWidth="1"/>
    <col min="6935" max="7168" width="11" style="360"/>
    <col min="7169" max="7169" width="4.125" style="360" customWidth="1"/>
    <col min="7170" max="7170" width="3.625" style="360" customWidth="1"/>
    <col min="7171" max="7171" width="9.5" style="360" customWidth="1"/>
    <col min="7172" max="7172" width="27.125" style="360" customWidth="1"/>
    <col min="7173" max="7173" width="3" style="360" customWidth="1"/>
    <col min="7174" max="7174" width="6.25" style="360" customWidth="1"/>
    <col min="7175" max="7175" width="43.75" style="360" customWidth="1"/>
    <col min="7176" max="7176" width="5.75" style="360" customWidth="1"/>
    <col min="7177" max="7177" width="52.75" style="360" customWidth="1"/>
    <col min="7178" max="7178" width="4.125" style="360" customWidth="1"/>
    <col min="7179" max="7179" width="22.5" style="360" customWidth="1"/>
    <col min="7180" max="7180" width="7.375" style="360" customWidth="1"/>
    <col min="7181" max="7181" width="18.125" style="360" customWidth="1"/>
    <col min="7182" max="7182" width="9.75" style="360" customWidth="1"/>
    <col min="7183" max="7183" width="18" style="360" customWidth="1"/>
    <col min="7184" max="7184" width="16.25" style="360" customWidth="1"/>
    <col min="7185" max="7185" width="19.75" style="360" customWidth="1"/>
    <col min="7186" max="7186" width="20.25" style="360" customWidth="1"/>
    <col min="7187" max="7187" width="22.75" style="360" customWidth="1"/>
    <col min="7188" max="7188" width="17.125" style="360" customWidth="1"/>
    <col min="7189" max="7189" width="22.5" style="360" customWidth="1"/>
    <col min="7190" max="7190" width="4.375" style="360" customWidth="1"/>
    <col min="7191" max="7424" width="11" style="360"/>
    <col min="7425" max="7425" width="4.125" style="360" customWidth="1"/>
    <col min="7426" max="7426" width="3.625" style="360" customWidth="1"/>
    <col min="7427" max="7427" width="9.5" style="360" customWidth="1"/>
    <col min="7428" max="7428" width="27.125" style="360" customWidth="1"/>
    <col min="7429" max="7429" width="3" style="360" customWidth="1"/>
    <col min="7430" max="7430" width="6.25" style="360" customWidth="1"/>
    <col min="7431" max="7431" width="43.75" style="360" customWidth="1"/>
    <col min="7432" max="7432" width="5.75" style="360" customWidth="1"/>
    <col min="7433" max="7433" width="52.75" style="360" customWidth="1"/>
    <col min="7434" max="7434" width="4.125" style="360" customWidth="1"/>
    <col min="7435" max="7435" width="22.5" style="360" customWidth="1"/>
    <col min="7436" max="7436" width="7.375" style="360" customWidth="1"/>
    <col min="7437" max="7437" width="18.125" style="360" customWidth="1"/>
    <col min="7438" max="7438" width="9.75" style="360" customWidth="1"/>
    <col min="7439" max="7439" width="18" style="360" customWidth="1"/>
    <col min="7440" max="7440" width="16.25" style="360" customWidth="1"/>
    <col min="7441" max="7441" width="19.75" style="360" customWidth="1"/>
    <col min="7442" max="7442" width="20.25" style="360" customWidth="1"/>
    <col min="7443" max="7443" width="22.75" style="360" customWidth="1"/>
    <col min="7444" max="7444" width="17.125" style="360" customWidth="1"/>
    <col min="7445" max="7445" width="22.5" style="360" customWidth="1"/>
    <col min="7446" max="7446" width="4.375" style="360" customWidth="1"/>
    <col min="7447" max="7680" width="11" style="360"/>
    <col min="7681" max="7681" width="4.125" style="360" customWidth="1"/>
    <col min="7682" max="7682" width="3.625" style="360" customWidth="1"/>
    <col min="7683" max="7683" width="9.5" style="360" customWidth="1"/>
    <col min="7684" max="7684" width="27.125" style="360" customWidth="1"/>
    <col min="7685" max="7685" width="3" style="360" customWidth="1"/>
    <col min="7686" max="7686" width="6.25" style="360" customWidth="1"/>
    <col min="7687" max="7687" width="43.75" style="360" customWidth="1"/>
    <col min="7688" max="7688" width="5.75" style="360" customWidth="1"/>
    <col min="7689" max="7689" width="52.75" style="360" customWidth="1"/>
    <col min="7690" max="7690" width="4.125" style="360" customWidth="1"/>
    <col min="7691" max="7691" width="22.5" style="360" customWidth="1"/>
    <col min="7692" max="7692" width="7.375" style="360" customWidth="1"/>
    <col min="7693" max="7693" width="18.125" style="360" customWidth="1"/>
    <col min="7694" max="7694" width="9.75" style="360" customWidth="1"/>
    <col min="7695" max="7695" width="18" style="360" customWidth="1"/>
    <col min="7696" max="7696" width="16.25" style="360" customWidth="1"/>
    <col min="7697" max="7697" width="19.75" style="360" customWidth="1"/>
    <col min="7698" max="7698" width="20.25" style="360" customWidth="1"/>
    <col min="7699" max="7699" width="22.75" style="360" customWidth="1"/>
    <col min="7700" max="7700" width="17.125" style="360" customWidth="1"/>
    <col min="7701" max="7701" width="22.5" style="360" customWidth="1"/>
    <col min="7702" max="7702" width="4.375" style="360" customWidth="1"/>
    <col min="7703" max="7936" width="11" style="360"/>
    <col min="7937" max="7937" width="4.125" style="360" customWidth="1"/>
    <col min="7938" max="7938" width="3.625" style="360" customWidth="1"/>
    <col min="7939" max="7939" width="9.5" style="360" customWidth="1"/>
    <col min="7940" max="7940" width="27.125" style="360" customWidth="1"/>
    <col min="7941" max="7941" width="3" style="360" customWidth="1"/>
    <col min="7942" max="7942" width="6.25" style="360" customWidth="1"/>
    <col min="7943" max="7943" width="43.75" style="360" customWidth="1"/>
    <col min="7944" max="7944" width="5.75" style="360" customWidth="1"/>
    <col min="7945" max="7945" width="52.75" style="360" customWidth="1"/>
    <col min="7946" max="7946" width="4.125" style="360" customWidth="1"/>
    <col min="7947" max="7947" width="22.5" style="360" customWidth="1"/>
    <col min="7948" max="7948" width="7.375" style="360" customWidth="1"/>
    <col min="7949" max="7949" width="18.125" style="360" customWidth="1"/>
    <col min="7950" max="7950" width="9.75" style="360" customWidth="1"/>
    <col min="7951" max="7951" width="18" style="360" customWidth="1"/>
    <col min="7952" max="7952" width="16.25" style="360" customWidth="1"/>
    <col min="7953" max="7953" width="19.75" style="360" customWidth="1"/>
    <col min="7954" max="7954" width="20.25" style="360" customWidth="1"/>
    <col min="7955" max="7955" width="22.75" style="360" customWidth="1"/>
    <col min="7956" max="7956" width="17.125" style="360" customWidth="1"/>
    <col min="7957" max="7957" width="22.5" style="360" customWidth="1"/>
    <col min="7958" max="7958" width="4.375" style="360" customWidth="1"/>
    <col min="7959" max="8192" width="11" style="360"/>
    <col min="8193" max="8193" width="4.125" style="360" customWidth="1"/>
    <col min="8194" max="8194" width="3.625" style="360" customWidth="1"/>
    <col min="8195" max="8195" width="9.5" style="360" customWidth="1"/>
    <col min="8196" max="8196" width="27.125" style="360" customWidth="1"/>
    <col min="8197" max="8197" width="3" style="360" customWidth="1"/>
    <col min="8198" max="8198" width="6.25" style="360" customWidth="1"/>
    <col min="8199" max="8199" width="43.75" style="360" customWidth="1"/>
    <col min="8200" max="8200" width="5.75" style="360" customWidth="1"/>
    <col min="8201" max="8201" width="52.75" style="360" customWidth="1"/>
    <col min="8202" max="8202" width="4.125" style="360" customWidth="1"/>
    <col min="8203" max="8203" width="22.5" style="360" customWidth="1"/>
    <col min="8204" max="8204" width="7.375" style="360" customWidth="1"/>
    <col min="8205" max="8205" width="18.125" style="360" customWidth="1"/>
    <col min="8206" max="8206" width="9.75" style="360" customWidth="1"/>
    <col min="8207" max="8207" width="18" style="360" customWidth="1"/>
    <col min="8208" max="8208" width="16.25" style="360" customWidth="1"/>
    <col min="8209" max="8209" width="19.75" style="360" customWidth="1"/>
    <col min="8210" max="8210" width="20.25" style="360" customWidth="1"/>
    <col min="8211" max="8211" width="22.75" style="360" customWidth="1"/>
    <col min="8212" max="8212" width="17.125" style="360" customWidth="1"/>
    <col min="8213" max="8213" width="22.5" style="360" customWidth="1"/>
    <col min="8214" max="8214" width="4.375" style="360" customWidth="1"/>
    <col min="8215" max="8448" width="11" style="360"/>
    <col min="8449" max="8449" width="4.125" style="360" customWidth="1"/>
    <col min="8450" max="8450" width="3.625" style="360" customWidth="1"/>
    <col min="8451" max="8451" width="9.5" style="360" customWidth="1"/>
    <col min="8452" max="8452" width="27.125" style="360" customWidth="1"/>
    <col min="8453" max="8453" width="3" style="360" customWidth="1"/>
    <col min="8454" max="8454" width="6.25" style="360" customWidth="1"/>
    <col min="8455" max="8455" width="43.75" style="360" customWidth="1"/>
    <col min="8456" max="8456" width="5.75" style="360" customWidth="1"/>
    <col min="8457" max="8457" width="52.75" style="360" customWidth="1"/>
    <col min="8458" max="8458" width="4.125" style="360" customWidth="1"/>
    <col min="8459" max="8459" width="22.5" style="360" customWidth="1"/>
    <col min="8460" max="8460" width="7.375" style="360" customWidth="1"/>
    <col min="8461" max="8461" width="18.125" style="360" customWidth="1"/>
    <col min="8462" max="8462" width="9.75" style="360" customWidth="1"/>
    <col min="8463" max="8463" width="18" style="360" customWidth="1"/>
    <col min="8464" max="8464" width="16.25" style="360" customWidth="1"/>
    <col min="8465" max="8465" width="19.75" style="360" customWidth="1"/>
    <col min="8466" max="8466" width="20.25" style="360" customWidth="1"/>
    <col min="8467" max="8467" width="22.75" style="360" customWidth="1"/>
    <col min="8468" max="8468" width="17.125" style="360" customWidth="1"/>
    <col min="8469" max="8469" width="22.5" style="360" customWidth="1"/>
    <col min="8470" max="8470" width="4.375" style="360" customWidth="1"/>
    <col min="8471" max="8704" width="11" style="360"/>
    <col min="8705" max="8705" width="4.125" style="360" customWidth="1"/>
    <col min="8706" max="8706" width="3.625" style="360" customWidth="1"/>
    <col min="8707" max="8707" width="9.5" style="360" customWidth="1"/>
    <col min="8708" max="8708" width="27.125" style="360" customWidth="1"/>
    <col min="8709" max="8709" width="3" style="360" customWidth="1"/>
    <col min="8710" max="8710" width="6.25" style="360" customWidth="1"/>
    <col min="8711" max="8711" width="43.75" style="360" customWidth="1"/>
    <col min="8712" max="8712" width="5.75" style="360" customWidth="1"/>
    <col min="8713" max="8713" width="52.75" style="360" customWidth="1"/>
    <col min="8714" max="8714" width="4.125" style="360" customWidth="1"/>
    <col min="8715" max="8715" width="22.5" style="360" customWidth="1"/>
    <col min="8716" max="8716" width="7.375" style="360" customWidth="1"/>
    <col min="8717" max="8717" width="18.125" style="360" customWidth="1"/>
    <col min="8718" max="8718" width="9.75" style="360" customWidth="1"/>
    <col min="8719" max="8719" width="18" style="360" customWidth="1"/>
    <col min="8720" max="8720" width="16.25" style="360" customWidth="1"/>
    <col min="8721" max="8721" width="19.75" style="360" customWidth="1"/>
    <col min="8722" max="8722" width="20.25" style="360" customWidth="1"/>
    <col min="8723" max="8723" width="22.75" style="360" customWidth="1"/>
    <col min="8724" max="8724" width="17.125" style="360" customWidth="1"/>
    <col min="8725" max="8725" width="22.5" style="360" customWidth="1"/>
    <col min="8726" max="8726" width="4.375" style="360" customWidth="1"/>
    <col min="8727" max="8960" width="11" style="360"/>
    <col min="8961" max="8961" width="4.125" style="360" customWidth="1"/>
    <col min="8962" max="8962" width="3.625" style="360" customWidth="1"/>
    <col min="8963" max="8963" width="9.5" style="360" customWidth="1"/>
    <col min="8964" max="8964" width="27.125" style="360" customWidth="1"/>
    <col min="8965" max="8965" width="3" style="360" customWidth="1"/>
    <col min="8966" max="8966" width="6.25" style="360" customWidth="1"/>
    <col min="8967" max="8967" width="43.75" style="360" customWidth="1"/>
    <col min="8968" max="8968" width="5.75" style="360" customWidth="1"/>
    <col min="8969" max="8969" width="52.75" style="360" customWidth="1"/>
    <col min="8970" max="8970" width="4.125" style="360" customWidth="1"/>
    <col min="8971" max="8971" width="22.5" style="360" customWidth="1"/>
    <col min="8972" max="8972" width="7.375" style="360" customWidth="1"/>
    <col min="8973" max="8973" width="18.125" style="360" customWidth="1"/>
    <col min="8974" max="8974" width="9.75" style="360" customWidth="1"/>
    <col min="8975" max="8975" width="18" style="360" customWidth="1"/>
    <col min="8976" max="8976" width="16.25" style="360" customWidth="1"/>
    <col min="8977" max="8977" width="19.75" style="360" customWidth="1"/>
    <col min="8978" max="8978" width="20.25" style="360" customWidth="1"/>
    <col min="8979" max="8979" width="22.75" style="360" customWidth="1"/>
    <col min="8980" max="8980" width="17.125" style="360" customWidth="1"/>
    <col min="8981" max="8981" width="22.5" style="360" customWidth="1"/>
    <col min="8982" max="8982" width="4.375" style="360" customWidth="1"/>
    <col min="8983" max="9216" width="11" style="360"/>
    <col min="9217" max="9217" width="4.125" style="360" customWidth="1"/>
    <col min="9218" max="9218" width="3.625" style="360" customWidth="1"/>
    <col min="9219" max="9219" width="9.5" style="360" customWidth="1"/>
    <col min="9220" max="9220" width="27.125" style="360" customWidth="1"/>
    <col min="9221" max="9221" width="3" style="360" customWidth="1"/>
    <col min="9222" max="9222" width="6.25" style="360" customWidth="1"/>
    <col min="9223" max="9223" width="43.75" style="360" customWidth="1"/>
    <col min="9224" max="9224" width="5.75" style="360" customWidth="1"/>
    <col min="9225" max="9225" width="52.75" style="360" customWidth="1"/>
    <col min="9226" max="9226" width="4.125" style="360" customWidth="1"/>
    <col min="9227" max="9227" width="22.5" style="360" customWidth="1"/>
    <col min="9228" max="9228" width="7.375" style="360" customWidth="1"/>
    <col min="9229" max="9229" width="18.125" style="360" customWidth="1"/>
    <col min="9230" max="9230" width="9.75" style="360" customWidth="1"/>
    <col min="9231" max="9231" width="18" style="360" customWidth="1"/>
    <col min="9232" max="9232" width="16.25" style="360" customWidth="1"/>
    <col min="9233" max="9233" width="19.75" style="360" customWidth="1"/>
    <col min="9234" max="9234" width="20.25" style="360" customWidth="1"/>
    <col min="9235" max="9235" width="22.75" style="360" customWidth="1"/>
    <col min="9236" max="9236" width="17.125" style="360" customWidth="1"/>
    <col min="9237" max="9237" width="22.5" style="360" customWidth="1"/>
    <col min="9238" max="9238" width="4.375" style="360" customWidth="1"/>
    <col min="9239" max="9472" width="11" style="360"/>
    <col min="9473" max="9473" width="4.125" style="360" customWidth="1"/>
    <col min="9474" max="9474" width="3.625" style="360" customWidth="1"/>
    <col min="9475" max="9475" width="9.5" style="360" customWidth="1"/>
    <col min="9476" max="9476" width="27.125" style="360" customWidth="1"/>
    <col min="9477" max="9477" width="3" style="360" customWidth="1"/>
    <col min="9478" max="9478" width="6.25" style="360" customWidth="1"/>
    <col min="9479" max="9479" width="43.75" style="360" customWidth="1"/>
    <col min="9480" max="9480" width="5.75" style="360" customWidth="1"/>
    <col min="9481" max="9481" width="52.75" style="360" customWidth="1"/>
    <col min="9482" max="9482" width="4.125" style="360" customWidth="1"/>
    <col min="9483" max="9483" width="22.5" style="360" customWidth="1"/>
    <col min="9484" max="9484" width="7.375" style="360" customWidth="1"/>
    <col min="9485" max="9485" width="18.125" style="360" customWidth="1"/>
    <col min="9486" max="9486" width="9.75" style="360" customWidth="1"/>
    <col min="9487" max="9487" width="18" style="360" customWidth="1"/>
    <col min="9488" max="9488" width="16.25" style="360" customWidth="1"/>
    <col min="9489" max="9489" width="19.75" style="360" customWidth="1"/>
    <col min="9490" max="9490" width="20.25" style="360" customWidth="1"/>
    <col min="9491" max="9491" width="22.75" style="360" customWidth="1"/>
    <col min="9492" max="9492" width="17.125" style="360" customWidth="1"/>
    <col min="9493" max="9493" width="22.5" style="360" customWidth="1"/>
    <col min="9494" max="9494" width="4.375" style="360" customWidth="1"/>
    <col min="9495" max="9728" width="11" style="360"/>
    <col min="9729" max="9729" width="4.125" style="360" customWidth="1"/>
    <col min="9730" max="9730" width="3.625" style="360" customWidth="1"/>
    <col min="9731" max="9731" width="9.5" style="360" customWidth="1"/>
    <col min="9732" max="9732" width="27.125" style="360" customWidth="1"/>
    <col min="9733" max="9733" width="3" style="360" customWidth="1"/>
    <col min="9734" max="9734" width="6.25" style="360" customWidth="1"/>
    <col min="9735" max="9735" width="43.75" style="360" customWidth="1"/>
    <col min="9736" max="9736" width="5.75" style="360" customWidth="1"/>
    <col min="9737" max="9737" width="52.75" style="360" customWidth="1"/>
    <col min="9738" max="9738" width="4.125" style="360" customWidth="1"/>
    <col min="9739" max="9739" width="22.5" style="360" customWidth="1"/>
    <col min="9740" max="9740" width="7.375" style="360" customWidth="1"/>
    <col min="9741" max="9741" width="18.125" style="360" customWidth="1"/>
    <col min="9742" max="9742" width="9.75" style="360" customWidth="1"/>
    <col min="9743" max="9743" width="18" style="360" customWidth="1"/>
    <col min="9744" max="9744" width="16.25" style="360" customWidth="1"/>
    <col min="9745" max="9745" width="19.75" style="360" customWidth="1"/>
    <col min="9746" max="9746" width="20.25" style="360" customWidth="1"/>
    <col min="9747" max="9747" width="22.75" style="360" customWidth="1"/>
    <col min="9748" max="9748" width="17.125" style="360" customWidth="1"/>
    <col min="9749" max="9749" width="22.5" style="360" customWidth="1"/>
    <col min="9750" max="9750" width="4.375" style="360" customWidth="1"/>
    <col min="9751" max="9984" width="11" style="360"/>
    <col min="9985" max="9985" width="4.125" style="360" customWidth="1"/>
    <col min="9986" max="9986" width="3.625" style="360" customWidth="1"/>
    <col min="9987" max="9987" width="9.5" style="360" customWidth="1"/>
    <col min="9988" max="9988" width="27.125" style="360" customWidth="1"/>
    <col min="9989" max="9989" width="3" style="360" customWidth="1"/>
    <col min="9990" max="9990" width="6.25" style="360" customWidth="1"/>
    <col min="9991" max="9991" width="43.75" style="360" customWidth="1"/>
    <col min="9992" max="9992" width="5.75" style="360" customWidth="1"/>
    <col min="9993" max="9993" width="52.75" style="360" customWidth="1"/>
    <col min="9994" max="9994" width="4.125" style="360" customWidth="1"/>
    <col min="9995" max="9995" width="22.5" style="360" customWidth="1"/>
    <col min="9996" max="9996" width="7.375" style="360" customWidth="1"/>
    <col min="9997" max="9997" width="18.125" style="360" customWidth="1"/>
    <col min="9998" max="9998" width="9.75" style="360" customWidth="1"/>
    <col min="9999" max="9999" width="18" style="360" customWidth="1"/>
    <col min="10000" max="10000" width="16.25" style="360" customWidth="1"/>
    <col min="10001" max="10001" width="19.75" style="360" customWidth="1"/>
    <col min="10002" max="10002" width="20.25" style="360" customWidth="1"/>
    <col min="10003" max="10003" width="22.75" style="360" customWidth="1"/>
    <col min="10004" max="10004" width="17.125" style="360" customWidth="1"/>
    <col min="10005" max="10005" width="22.5" style="360" customWidth="1"/>
    <col min="10006" max="10006" width="4.375" style="360" customWidth="1"/>
    <col min="10007" max="10240" width="11" style="360"/>
    <col min="10241" max="10241" width="4.125" style="360" customWidth="1"/>
    <col min="10242" max="10242" width="3.625" style="360" customWidth="1"/>
    <col min="10243" max="10243" width="9.5" style="360" customWidth="1"/>
    <col min="10244" max="10244" width="27.125" style="360" customWidth="1"/>
    <col min="10245" max="10245" width="3" style="360" customWidth="1"/>
    <col min="10246" max="10246" width="6.25" style="360" customWidth="1"/>
    <col min="10247" max="10247" width="43.75" style="360" customWidth="1"/>
    <col min="10248" max="10248" width="5.75" style="360" customWidth="1"/>
    <col min="10249" max="10249" width="52.75" style="360" customWidth="1"/>
    <col min="10250" max="10250" width="4.125" style="360" customWidth="1"/>
    <col min="10251" max="10251" width="22.5" style="360" customWidth="1"/>
    <col min="10252" max="10252" width="7.375" style="360" customWidth="1"/>
    <col min="10253" max="10253" width="18.125" style="360" customWidth="1"/>
    <col min="10254" max="10254" width="9.75" style="360" customWidth="1"/>
    <col min="10255" max="10255" width="18" style="360" customWidth="1"/>
    <col min="10256" max="10256" width="16.25" style="360" customWidth="1"/>
    <col min="10257" max="10257" width="19.75" style="360" customWidth="1"/>
    <col min="10258" max="10258" width="20.25" style="360" customWidth="1"/>
    <col min="10259" max="10259" width="22.75" style="360" customWidth="1"/>
    <col min="10260" max="10260" width="17.125" style="360" customWidth="1"/>
    <col min="10261" max="10261" width="22.5" style="360" customWidth="1"/>
    <col min="10262" max="10262" width="4.375" style="360" customWidth="1"/>
    <col min="10263" max="10496" width="11" style="360"/>
    <col min="10497" max="10497" width="4.125" style="360" customWidth="1"/>
    <col min="10498" max="10498" width="3.625" style="360" customWidth="1"/>
    <col min="10499" max="10499" width="9.5" style="360" customWidth="1"/>
    <col min="10500" max="10500" width="27.125" style="360" customWidth="1"/>
    <col min="10501" max="10501" width="3" style="360" customWidth="1"/>
    <col min="10502" max="10502" width="6.25" style="360" customWidth="1"/>
    <col min="10503" max="10503" width="43.75" style="360" customWidth="1"/>
    <col min="10504" max="10504" width="5.75" style="360" customWidth="1"/>
    <col min="10505" max="10505" width="52.75" style="360" customWidth="1"/>
    <col min="10506" max="10506" width="4.125" style="360" customWidth="1"/>
    <col min="10507" max="10507" width="22.5" style="360" customWidth="1"/>
    <col min="10508" max="10508" width="7.375" style="360" customWidth="1"/>
    <col min="10509" max="10509" width="18.125" style="360" customWidth="1"/>
    <col min="10510" max="10510" width="9.75" style="360" customWidth="1"/>
    <col min="10511" max="10511" width="18" style="360" customWidth="1"/>
    <col min="10512" max="10512" width="16.25" style="360" customWidth="1"/>
    <col min="10513" max="10513" width="19.75" style="360" customWidth="1"/>
    <col min="10514" max="10514" width="20.25" style="360" customWidth="1"/>
    <col min="10515" max="10515" width="22.75" style="360" customWidth="1"/>
    <col min="10516" max="10516" width="17.125" style="360" customWidth="1"/>
    <col min="10517" max="10517" width="22.5" style="360" customWidth="1"/>
    <col min="10518" max="10518" width="4.375" style="360" customWidth="1"/>
    <col min="10519" max="10752" width="11" style="360"/>
    <col min="10753" max="10753" width="4.125" style="360" customWidth="1"/>
    <col min="10754" max="10754" width="3.625" style="360" customWidth="1"/>
    <col min="10755" max="10755" width="9.5" style="360" customWidth="1"/>
    <col min="10756" max="10756" width="27.125" style="360" customWidth="1"/>
    <col min="10757" max="10757" width="3" style="360" customWidth="1"/>
    <col min="10758" max="10758" width="6.25" style="360" customWidth="1"/>
    <col min="10759" max="10759" width="43.75" style="360" customWidth="1"/>
    <col min="10760" max="10760" width="5.75" style="360" customWidth="1"/>
    <col min="10761" max="10761" width="52.75" style="360" customWidth="1"/>
    <col min="10762" max="10762" width="4.125" style="360" customWidth="1"/>
    <col min="10763" max="10763" width="22.5" style="360" customWidth="1"/>
    <col min="10764" max="10764" width="7.375" style="360" customWidth="1"/>
    <col min="10765" max="10765" width="18.125" style="360" customWidth="1"/>
    <col min="10766" max="10766" width="9.75" style="360" customWidth="1"/>
    <col min="10767" max="10767" width="18" style="360" customWidth="1"/>
    <col min="10768" max="10768" width="16.25" style="360" customWidth="1"/>
    <col min="10769" max="10769" width="19.75" style="360" customWidth="1"/>
    <col min="10770" max="10770" width="20.25" style="360" customWidth="1"/>
    <col min="10771" max="10771" width="22.75" style="360" customWidth="1"/>
    <col min="10772" max="10772" width="17.125" style="360" customWidth="1"/>
    <col min="10773" max="10773" width="22.5" style="360" customWidth="1"/>
    <col min="10774" max="10774" width="4.375" style="360" customWidth="1"/>
    <col min="10775" max="11008" width="11" style="360"/>
    <col min="11009" max="11009" width="4.125" style="360" customWidth="1"/>
    <col min="11010" max="11010" width="3.625" style="360" customWidth="1"/>
    <col min="11011" max="11011" width="9.5" style="360" customWidth="1"/>
    <col min="11012" max="11012" width="27.125" style="360" customWidth="1"/>
    <col min="11013" max="11013" width="3" style="360" customWidth="1"/>
    <col min="11014" max="11014" width="6.25" style="360" customWidth="1"/>
    <col min="11015" max="11015" width="43.75" style="360" customWidth="1"/>
    <col min="11016" max="11016" width="5.75" style="360" customWidth="1"/>
    <col min="11017" max="11017" width="52.75" style="360" customWidth="1"/>
    <col min="11018" max="11018" width="4.125" style="360" customWidth="1"/>
    <col min="11019" max="11019" width="22.5" style="360" customWidth="1"/>
    <col min="11020" max="11020" width="7.375" style="360" customWidth="1"/>
    <col min="11021" max="11021" width="18.125" style="360" customWidth="1"/>
    <col min="11022" max="11022" width="9.75" style="360" customWidth="1"/>
    <col min="11023" max="11023" width="18" style="360" customWidth="1"/>
    <col min="11024" max="11024" width="16.25" style="360" customWidth="1"/>
    <col min="11025" max="11025" width="19.75" style="360" customWidth="1"/>
    <col min="11026" max="11026" width="20.25" style="360" customWidth="1"/>
    <col min="11027" max="11027" width="22.75" style="360" customWidth="1"/>
    <col min="11028" max="11028" width="17.125" style="360" customWidth="1"/>
    <col min="11029" max="11029" width="22.5" style="360" customWidth="1"/>
    <col min="11030" max="11030" width="4.375" style="360" customWidth="1"/>
    <col min="11031" max="11264" width="11" style="360"/>
    <col min="11265" max="11265" width="4.125" style="360" customWidth="1"/>
    <col min="11266" max="11266" width="3.625" style="360" customWidth="1"/>
    <col min="11267" max="11267" width="9.5" style="360" customWidth="1"/>
    <col min="11268" max="11268" width="27.125" style="360" customWidth="1"/>
    <col min="11269" max="11269" width="3" style="360" customWidth="1"/>
    <col min="11270" max="11270" width="6.25" style="360" customWidth="1"/>
    <col min="11271" max="11271" width="43.75" style="360" customWidth="1"/>
    <col min="11272" max="11272" width="5.75" style="360" customWidth="1"/>
    <col min="11273" max="11273" width="52.75" style="360" customWidth="1"/>
    <col min="11274" max="11274" width="4.125" style="360" customWidth="1"/>
    <col min="11275" max="11275" width="22.5" style="360" customWidth="1"/>
    <col min="11276" max="11276" width="7.375" style="360" customWidth="1"/>
    <col min="11277" max="11277" width="18.125" style="360" customWidth="1"/>
    <col min="11278" max="11278" width="9.75" style="360" customWidth="1"/>
    <col min="11279" max="11279" width="18" style="360" customWidth="1"/>
    <col min="11280" max="11280" width="16.25" style="360" customWidth="1"/>
    <col min="11281" max="11281" width="19.75" style="360" customWidth="1"/>
    <col min="11282" max="11282" width="20.25" style="360" customWidth="1"/>
    <col min="11283" max="11283" width="22.75" style="360" customWidth="1"/>
    <col min="11284" max="11284" width="17.125" style="360" customWidth="1"/>
    <col min="11285" max="11285" width="22.5" style="360" customWidth="1"/>
    <col min="11286" max="11286" width="4.375" style="360" customWidth="1"/>
    <col min="11287" max="11520" width="11" style="360"/>
    <col min="11521" max="11521" width="4.125" style="360" customWidth="1"/>
    <col min="11522" max="11522" width="3.625" style="360" customWidth="1"/>
    <col min="11523" max="11523" width="9.5" style="360" customWidth="1"/>
    <col min="11524" max="11524" width="27.125" style="360" customWidth="1"/>
    <col min="11525" max="11525" width="3" style="360" customWidth="1"/>
    <col min="11526" max="11526" width="6.25" style="360" customWidth="1"/>
    <col min="11527" max="11527" width="43.75" style="360" customWidth="1"/>
    <col min="11528" max="11528" width="5.75" style="360" customWidth="1"/>
    <col min="11529" max="11529" width="52.75" style="360" customWidth="1"/>
    <col min="11530" max="11530" width="4.125" style="360" customWidth="1"/>
    <col min="11531" max="11531" width="22.5" style="360" customWidth="1"/>
    <col min="11532" max="11532" width="7.375" style="360" customWidth="1"/>
    <col min="11533" max="11533" width="18.125" style="360" customWidth="1"/>
    <col min="11534" max="11534" width="9.75" style="360" customWidth="1"/>
    <col min="11535" max="11535" width="18" style="360" customWidth="1"/>
    <col min="11536" max="11536" width="16.25" style="360" customWidth="1"/>
    <col min="11537" max="11537" width="19.75" style="360" customWidth="1"/>
    <col min="11538" max="11538" width="20.25" style="360" customWidth="1"/>
    <col min="11539" max="11539" width="22.75" style="360" customWidth="1"/>
    <col min="11540" max="11540" width="17.125" style="360" customWidth="1"/>
    <col min="11541" max="11541" width="22.5" style="360" customWidth="1"/>
    <col min="11542" max="11542" width="4.375" style="360" customWidth="1"/>
    <col min="11543" max="11776" width="11" style="360"/>
    <col min="11777" max="11777" width="4.125" style="360" customWidth="1"/>
    <col min="11778" max="11778" width="3.625" style="360" customWidth="1"/>
    <col min="11779" max="11779" width="9.5" style="360" customWidth="1"/>
    <col min="11780" max="11780" width="27.125" style="360" customWidth="1"/>
    <col min="11781" max="11781" width="3" style="360" customWidth="1"/>
    <col min="11782" max="11782" width="6.25" style="360" customWidth="1"/>
    <col min="11783" max="11783" width="43.75" style="360" customWidth="1"/>
    <col min="11784" max="11784" width="5.75" style="360" customWidth="1"/>
    <col min="11785" max="11785" width="52.75" style="360" customWidth="1"/>
    <col min="11786" max="11786" width="4.125" style="360" customWidth="1"/>
    <col min="11787" max="11787" width="22.5" style="360" customWidth="1"/>
    <col min="11788" max="11788" width="7.375" style="360" customWidth="1"/>
    <col min="11789" max="11789" width="18.125" style="360" customWidth="1"/>
    <col min="11790" max="11790" width="9.75" style="360" customWidth="1"/>
    <col min="11791" max="11791" width="18" style="360" customWidth="1"/>
    <col min="11792" max="11792" width="16.25" style="360" customWidth="1"/>
    <col min="11793" max="11793" width="19.75" style="360" customWidth="1"/>
    <col min="11794" max="11794" width="20.25" style="360" customWidth="1"/>
    <col min="11795" max="11795" width="22.75" style="360" customWidth="1"/>
    <col min="11796" max="11796" width="17.125" style="360" customWidth="1"/>
    <col min="11797" max="11797" width="22.5" style="360" customWidth="1"/>
    <col min="11798" max="11798" width="4.375" style="360" customWidth="1"/>
    <col min="11799" max="12032" width="11" style="360"/>
    <col min="12033" max="12033" width="4.125" style="360" customWidth="1"/>
    <col min="12034" max="12034" width="3.625" style="360" customWidth="1"/>
    <col min="12035" max="12035" width="9.5" style="360" customWidth="1"/>
    <col min="12036" max="12036" width="27.125" style="360" customWidth="1"/>
    <col min="12037" max="12037" width="3" style="360" customWidth="1"/>
    <col min="12038" max="12038" width="6.25" style="360" customWidth="1"/>
    <col min="12039" max="12039" width="43.75" style="360" customWidth="1"/>
    <col min="12040" max="12040" width="5.75" style="360" customWidth="1"/>
    <col min="12041" max="12041" width="52.75" style="360" customWidth="1"/>
    <col min="12042" max="12042" width="4.125" style="360" customWidth="1"/>
    <col min="12043" max="12043" width="22.5" style="360" customWidth="1"/>
    <col min="12044" max="12044" width="7.375" style="360" customWidth="1"/>
    <col min="12045" max="12045" width="18.125" style="360" customWidth="1"/>
    <col min="12046" max="12046" width="9.75" style="360" customWidth="1"/>
    <col min="12047" max="12047" width="18" style="360" customWidth="1"/>
    <col min="12048" max="12048" width="16.25" style="360" customWidth="1"/>
    <col min="12049" max="12049" width="19.75" style="360" customWidth="1"/>
    <col min="12050" max="12050" width="20.25" style="360" customWidth="1"/>
    <col min="12051" max="12051" width="22.75" style="360" customWidth="1"/>
    <col min="12052" max="12052" width="17.125" style="360" customWidth="1"/>
    <col min="12053" max="12053" width="22.5" style="360" customWidth="1"/>
    <col min="12054" max="12054" width="4.375" style="360" customWidth="1"/>
    <col min="12055" max="12288" width="11" style="360"/>
    <col min="12289" max="12289" width="4.125" style="360" customWidth="1"/>
    <col min="12290" max="12290" width="3.625" style="360" customWidth="1"/>
    <col min="12291" max="12291" width="9.5" style="360" customWidth="1"/>
    <col min="12292" max="12292" width="27.125" style="360" customWidth="1"/>
    <col min="12293" max="12293" width="3" style="360" customWidth="1"/>
    <col min="12294" max="12294" width="6.25" style="360" customWidth="1"/>
    <col min="12295" max="12295" width="43.75" style="360" customWidth="1"/>
    <col min="12296" max="12296" width="5.75" style="360" customWidth="1"/>
    <col min="12297" max="12297" width="52.75" style="360" customWidth="1"/>
    <col min="12298" max="12298" width="4.125" style="360" customWidth="1"/>
    <col min="12299" max="12299" width="22.5" style="360" customWidth="1"/>
    <col min="12300" max="12300" width="7.375" style="360" customWidth="1"/>
    <col min="12301" max="12301" width="18.125" style="360" customWidth="1"/>
    <col min="12302" max="12302" width="9.75" style="360" customWidth="1"/>
    <col min="12303" max="12303" width="18" style="360" customWidth="1"/>
    <col min="12304" max="12304" width="16.25" style="360" customWidth="1"/>
    <col min="12305" max="12305" width="19.75" style="360" customWidth="1"/>
    <col min="12306" max="12306" width="20.25" style="360" customWidth="1"/>
    <col min="12307" max="12307" width="22.75" style="360" customWidth="1"/>
    <col min="12308" max="12308" width="17.125" style="360" customWidth="1"/>
    <col min="12309" max="12309" width="22.5" style="360" customWidth="1"/>
    <col min="12310" max="12310" width="4.375" style="360" customWidth="1"/>
    <col min="12311" max="12544" width="11" style="360"/>
    <col min="12545" max="12545" width="4.125" style="360" customWidth="1"/>
    <col min="12546" max="12546" width="3.625" style="360" customWidth="1"/>
    <col min="12547" max="12547" width="9.5" style="360" customWidth="1"/>
    <col min="12548" max="12548" width="27.125" style="360" customWidth="1"/>
    <col min="12549" max="12549" width="3" style="360" customWidth="1"/>
    <col min="12550" max="12550" width="6.25" style="360" customWidth="1"/>
    <col min="12551" max="12551" width="43.75" style="360" customWidth="1"/>
    <col min="12552" max="12552" width="5.75" style="360" customWidth="1"/>
    <col min="12553" max="12553" width="52.75" style="360" customWidth="1"/>
    <col min="12554" max="12554" width="4.125" style="360" customWidth="1"/>
    <col min="12555" max="12555" width="22.5" style="360" customWidth="1"/>
    <col min="12556" max="12556" width="7.375" style="360" customWidth="1"/>
    <col min="12557" max="12557" width="18.125" style="360" customWidth="1"/>
    <col min="12558" max="12558" width="9.75" style="360" customWidth="1"/>
    <col min="12559" max="12559" width="18" style="360" customWidth="1"/>
    <col min="12560" max="12560" width="16.25" style="360" customWidth="1"/>
    <col min="12561" max="12561" width="19.75" style="360" customWidth="1"/>
    <col min="12562" max="12562" width="20.25" style="360" customWidth="1"/>
    <col min="12563" max="12563" width="22.75" style="360" customWidth="1"/>
    <col min="12564" max="12564" width="17.125" style="360" customWidth="1"/>
    <col min="12565" max="12565" width="22.5" style="360" customWidth="1"/>
    <col min="12566" max="12566" width="4.375" style="360" customWidth="1"/>
    <col min="12567" max="12800" width="11" style="360"/>
    <col min="12801" max="12801" width="4.125" style="360" customWidth="1"/>
    <col min="12802" max="12802" width="3.625" style="360" customWidth="1"/>
    <col min="12803" max="12803" width="9.5" style="360" customWidth="1"/>
    <col min="12804" max="12804" width="27.125" style="360" customWidth="1"/>
    <col min="12805" max="12805" width="3" style="360" customWidth="1"/>
    <col min="12806" max="12806" width="6.25" style="360" customWidth="1"/>
    <col min="12807" max="12807" width="43.75" style="360" customWidth="1"/>
    <col min="12808" max="12808" width="5.75" style="360" customWidth="1"/>
    <col min="12809" max="12809" width="52.75" style="360" customWidth="1"/>
    <col min="12810" max="12810" width="4.125" style="360" customWidth="1"/>
    <col min="12811" max="12811" width="22.5" style="360" customWidth="1"/>
    <col min="12812" max="12812" width="7.375" style="360" customWidth="1"/>
    <col min="12813" max="12813" width="18.125" style="360" customWidth="1"/>
    <col min="12814" max="12814" width="9.75" style="360" customWidth="1"/>
    <col min="12815" max="12815" width="18" style="360" customWidth="1"/>
    <col min="12816" max="12816" width="16.25" style="360" customWidth="1"/>
    <col min="12817" max="12817" width="19.75" style="360" customWidth="1"/>
    <col min="12818" max="12818" width="20.25" style="360" customWidth="1"/>
    <col min="12819" max="12819" width="22.75" style="360" customWidth="1"/>
    <col min="12820" max="12820" width="17.125" style="360" customWidth="1"/>
    <col min="12821" max="12821" width="22.5" style="360" customWidth="1"/>
    <col min="12822" max="12822" width="4.375" style="360" customWidth="1"/>
    <col min="12823" max="13056" width="11" style="360"/>
    <col min="13057" max="13057" width="4.125" style="360" customWidth="1"/>
    <col min="13058" max="13058" width="3.625" style="360" customWidth="1"/>
    <col min="13059" max="13059" width="9.5" style="360" customWidth="1"/>
    <col min="13060" max="13060" width="27.125" style="360" customWidth="1"/>
    <col min="13061" max="13061" width="3" style="360" customWidth="1"/>
    <col min="13062" max="13062" width="6.25" style="360" customWidth="1"/>
    <col min="13063" max="13063" width="43.75" style="360" customWidth="1"/>
    <col min="13064" max="13064" width="5.75" style="360" customWidth="1"/>
    <col min="13065" max="13065" width="52.75" style="360" customWidth="1"/>
    <col min="13066" max="13066" width="4.125" style="360" customWidth="1"/>
    <col min="13067" max="13067" width="22.5" style="360" customWidth="1"/>
    <col min="13068" max="13068" width="7.375" style="360" customWidth="1"/>
    <col min="13069" max="13069" width="18.125" style="360" customWidth="1"/>
    <col min="13070" max="13070" width="9.75" style="360" customWidth="1"/>
    <col min="13071" max="13071" width="18" style="360" customWidth="1"/>
    <col min="13072" max="13072" width="16.25" style="360" customWidth="1"/>
    <col min="13073" max="13073" width="19.75" style="360" customWidth="1"/>
    <col min="13074" max="13074" width="20.25" style="360" customWidth="1"/>
    <col min="13075" max="13075" width="22.75" style="360" customWidth="1"/>
    <col min="13076" max="13076" width="17.125" style="360" customWidth="1"/>
    <col min="13077" max="13077" width="22.5" style="360" customWidth="1"/>
    <col min="13078" max="13078" width="4.375" style="360" customWidth="1"/>
    <col min="13079" max="13312" width="11" style="360"/>
    <col min="13313" max="13313" width="4.125" style="360" customWidth="1"/>
    <col min="13314" max="13314" width="3.625" style="360" customWidth="1"/>
    <col min="13315" max="13315" width="9.5" style="360" customWidth="1"/>
    <col min="13316" max="13316" width="27.125" style="360" customWidth="1"/>
    <col min="13317" max="13317" width="3" style="360" customWidth="1"/>
    <col min="13318" max="13318" width="6.25" style="360" customWidth="1"/>
    <col min="13319" max="13319" width="43.75" style="360" customWidth="1"/>
    <col min="13320" max="13320" width="5.75" style="360" customWidth="1"/>
    <col min="13321" max="13321" width="52.75" style="360" customWidth="1"/>
    <col min="13322" max="13322" width="4.125" style="360" customWidth="1"/>
    <col min="13323" max="13323" width="22.5" style="360" customWidth="1"/>
    <col min="13324" max="13324" width="7.375" style="360" customWidth="1"/>
    <col min="13325" max="13325" width="18.125" style="360" customWidth="1"/>
    <col min="13326" max="13326" width="9.75" style="360" customWidth="1"/>
    <col min="13327" max="13327" width="18" style="360" customWidth="1"/>
    <col min="13328" max="13328" width="16.25" style="360" customWidth="1"/>
    <col min="13329" max="13329" width="19.75" style="360" customWidth="1"/>
    <col min="13330" max="13330" width="20.25" style="360" customWidth="1"/>
    <col min="13331" max="13331" width="22.75" style="360" customWidth="1"/>
    <col min="13332" max="13332" width="17.125" style="360" customWidth="1"/>
    <col min="13333" max="13333" width="22.5" style="360" customWidth="1"/>
    <col min="13334" max="13334" width="4.375" style="360" customWidth="1"/>
    <col min="13335" max="13568" width="11" style="360"/>
    <col min="13569" max="13569" width="4.125" style="360" customWidth="1"/>
    <col min="13570" max="13570" width="3.625" style="360" customWidth="1"/>
    <col min="13571" max="13571" width="9.5" style="360" customWidth="1"/>
    <col min="13572" max="13572" width="27.125" style="360" customWidth="1"/>
    <col min="13573" max="13573" width="3" style="360" customWidth="1"/>
    <col min="13574" max="13574" width="6.25" style="360" customWidth="1"/>
    <col min="13575" max="13575" width="43.75" style="360" customWidth="1"/>
    <col min="13576" max="13576" width="5.75" style="360" customWidth="1"/>
    <col min="13577" max="13577" width="52.75" style="360" customWidth="1"/>
    <col min="13578" max="13578" width="4.125" style="360" customWidth="1"/>
    <col min="13579" max="13579" width="22.5" style="360" customWidth="1"/>
    <col min="13580" max="13580" width="7.375" style="360" customWidth="1"/>
    <col min="13581" max="13581" width="18.125" style="360" customWidth="1"/>
    <col min="13582" max="13582" width="9.75" style="360" customWidth="1"/>
    <col min="13583" max="13583" width="18" style="360" customWidth="1"/>
    <col min="13584" max="13584" width="16.25" style="360" customWidth="1"/>
    <col min="13585" max="13585" width="19.75" style="360" customWidth="1"/>
    <col min="13586" max="13586" width="20.25" style="360" customWidth="1"/>
    <col min="13587" max="13587" width="22.75" style="360" customWidth="1"/>
    <col min="13588" max="13588" width="17.125" style="360" customWidth="1"/>
    <col min="13589" max="13589" width="22.5" style="360" customWidth="1"/>
    <col min="13590" max="13590" width="4.375" style="360" customWidth="1"/>
    <col min="13591" max="13824" width="11" style="360"/>
    <col min="13825" max="13825" width="4.125" style="360" customWidth="1"/>
    <col min="13826" max="13826" width="3.625" style="360" customWidth="1"/>
    <col min="13827" max="13827" width="9.5" style="360" customWidth="1"/>
    <col min="13828" max="13828" width="27.125" style="360" customWidth="1"/>
    <col min="13829" max="13829" width="3" style="360" customWidth="1"/>
    <col min="13830" max="13830" width="6.25" style="360" customWidth="1"/>
    <col min="13831" max="13831" width="43.75" style="360" customWidth="1"/>
    <col min="13832" max="13832" width="5.75" style="360" customWidth="1"/>
    <col min="13833" max="13833" width="52.75" style="360" customWidth="1"/>
    <col min="13834" max="13834" width="4.125" style="360" customWidth="1"/>
    <col min="13835" max="13835" width="22.5" style="360" customWidth="1"/>
    <col min="13836" max="13836" width="7.375" style="360" customWidth="1"/>
    <col min="13837" max="13837" width="18.125" style="360" customWidth="1"/>
    <col min="13838" max="13838" width="9.75" style="360" customWidth="1"/>
    <col min="13839" max="13839" width="18" style="360" customWidth="1"/>
    <col min="13840" max="13840" width="16.25" style="360" customWidth="1"/>
    <col min="13841" max="13841" width="19.75" style="360" customWidth="1"/>
    <col min="13842" max="13842" width="20.25" style="360" customWidth="1"/>
    <col min="13843" max="13843" width="22.75" style="360" customWidth="1"/>
    <col min="13844" max="13844" width="17.125" style="360" customWidth="1"/>
    <col min="13845" max="13845" width="22.5" style="360" customWidth="1"/>
    <col min="13846" max="13846" width="4.375" style="360" customWidth="1"/>
    <col min="13847" max="14080" width="11" style="360"/>
    <col min="14081" max="14081" width="4.125" style="360" customWidth="1"/>
    <col min="14082" max="14082" width="3.625" style="360" customWidth="1"/>
    <col min="14083" max="14083" width="9.5" style="360" customWidth="1"/>
    <col min="14084" max="14084" width="27.125" style="360" customWidth="1"/>
    <col min="14085" max="14085" width="3" style="360" customWidth="1"/>
    <col min="14086" max="14086" width="6.25" style="360" customWidth="1"/>
    <col min="14087" max="14087" width="43.75" style="360" customWidth="1"/>
    <col min="14088" max="14088" width="5.75" style="360" customWidth="1"/>
    <col min="14089" max="14089" width="52.75" style="360" customWidth="1"/>
    <col min="14090" max="14090" width="4.125" style="360" customWidth="1"/>
    <col min="14091" max="14091" width="22.5" style="360" customWidth="1"/>
    <col min="14092" max="14092" width="7.375" style="360" customWidth="1"/>
    <col min="14093" max="14093" width="18.125" style="360" customWidth="1"/>
    <col min="14094" max="14094" width="9.75" style="360" customWidth="1"/>
    <col min="14095" max="14095" width="18" style="360" customWidth="1"/>
    <col min="14096" max="14096" width="16.25" style="360" customWidth="1"/>
    <col min="14097" max="14097" width="19.75" style="360" customWidth="1"/>
    <col min="14098" max="14098" width="20.25" style="360" customWidth="1"/>
    <col min="14099" max="14099" width="22.75" style="360" customWidth="1"/>
    <col min="14100" max="14100" width="17.125" style="360" customWidth="1"/>
    <col min="14101" max="14101" width="22.5" style="360" customWidth="1"/>
    <col min="14102" max="14102" width="4.375" style="360" customWidth="1"/>
    <col min="14103" max="14336" width="11" style="360"/>
    <col min="14337" max="14337" width="4.125" style="360" customWidth="1"/>
    <col min="14338" max="14338" width="3.625" style="360" customWidth="1"/>
    <col min="14339" max="14339" width="9.5" style="360" customWidth="1"/>
    <col min="14340" max="14340" width="27.125" style="360" customWidth="1"/>
    <col min="14341" max="14341" width="3" style="360" customWidth="1"/>
    <col min="14342" max="14342" width="6.25" style="360" customWidth="1"/>
    <col min="14343" max="14343" width="43.75" style="360" customWidth="1"/>
    <col min="14344" max="14344" width="5.75" style="360" customWidth="1"/>
    <col min="14345" max="14345" width="52.75" style="360" customWidth="1"/>
    <col min="14346" max="14346" width="4.125" style="360" customWidth="1"/>
    <col min="14347" max="14347" width="22.5" style="360" customWidth="1"/>
    <col min="14348" max="14348" width="7.375" style="360" customWidth="1"/>
    <col min="14349" max="14349" width="18.125" style="360" customWidth="1"/>
    <col min="14350" max="14350" width="9.75" style="360" customWidth="1"/>
    <col min="14351" max="14351" width="18" style="360" customWidth="1"/>
    <col min="14352" max="14352" width="16.25" style="360" customWidth="1"/>
    <col min="14353" max="14353" width="19.75" style="360" customWidth="1"/>
    <col min="14354" max="14354" width="20.25" style="360" customWidth="1"/>
    <col min="14355" max="14355" width="22.75" style="360" customWidth="1"/>
    <col min="14356" max="14356" width="17.125" style="360" customWidth="1"/>
    <col min="14357" max="14357" width="22.5" style="360" customWidth="1"/>
    <col min="14358" max="14358" width="4.375" style="360" customWidth="1"/>
    <col min="14359" max="14592" width="11" style="360"/>
    <col min="14593" max="14593" width="4.125" style="360" customWidth="1"/>
    <col min="14594" max="14594" width="3.625" style="360" customWidth="1"/>
    <col min="14595" max="14595" width="9.5" style="360" customWidth="1"/>
    <col min="14596" max="14596" width="27.125" style="360" customWidth="1"/>
    <col min="14597" max="14597" width="3" style="360" customWidth="1"/>
    <col min="14598" max="14598" width="6.25" style="360" customWidth="1"/>
    <col min="14599" max="14599" width="43.75" style="360" customWidth="1"/>
    <col min="14600" max="14600" width="5.75" style="360" customWidth="1"/>
    <col min="14601" max="14601" width="52.75" style="360" customWidth="1"/>
    <col min="14602" max="14602" width="4.125" style="360" customWidth="1"/>
    <col min="14603" max="14603" width="22.5" style="360" customWidth="1"/>
    <col min="14604" max="14604" width="7.375" style="360" customWidth="1"/>
    <col min="14605" max="14605" width="18.125" style="360" customWidth="1"/>
    <col min="14606" max="14606" width="9.75" style="360" customWidth="1"/>
    <col min="14607" max="14607" width="18" style="360" customWidth="1"/>
    <col min="14608" max="14608" width="16.25" style="360" customWidth="1"/>
    <col min="14609" max="14609" width="19.75" style="360" customWidth="1"/>
    <col min="14610" max="14610" width="20.25" style="360" customWidth="1"/>
    <col min="14611" max="14611" width="22.75" style="360" customWidth="1"/>
    <col min="14612" max="14612" width="17.125" style="360" customWidth="1"/>
    <col min="14613" max="14613" width="22.5" style="360" customWidth="1"/>
    <col min="14614" max="14614" width="4.375" style="360" customWidth="1"/>
    <col min="14615" max="14848" width="11" style="360"/>
    <col min="14849" max="14849" width="4.125" style="360" customWidth="1"/>
    <col min="14850" max="14850" width="3.625" style="360" customWidth="1"/>
    <col min="14851" max="14851" width="9.5" style="360" customWidth="1"/>
    <col min="14852" max="14852" width="27.125" style="360" customWidth="1"/>
    <col min="14853" max="14853" width="3" style="360" customWidth="1"/>
    <col min="14854" max="14854" width="6.25" style="360" customWidth="1"/>
    <col min="14855" max="14855" width="43.75" style="360" customWidth="1"/>
    <col min="14856" max="14856" width="5.75" style="360" customWidth="1"/>
    <col min="14857" max="14857" width="52.75" style="360" customWidth="1"/>
    <col min="14858" max="14858" width="4.125" style="360" customWidth="1"/>
    <col min="14859" max="14859" width="22.5" style="360" customWidth="1"/>
    <col min="14860" max="14860" width="7.375" style="360" customWidth="1"/>
    <col min="14861" max="14861" width="18.125" style="360" customWidth="1"/>
    <col min="14862" max="14862" width="9.75" style="360" customWidth="1"/>
    <col min="14863" max="14863" width="18" style="360" customWidth="1"/>
    <col min="14864" max="14864" width="16.25" style="360" customWidth="1"/>
    <col min="14865" max="14865" width="19.75" style="360" customWidth="1"/>
    <col min="14866" max="14866" width="20.25" style="360" customWidth="1"/>
    <col min="14867" max="14867" width="22.75" style="360" customWidth="1"/>
    <col min="14868" max="14868" width="17.125" style="360" customWidth="1"/>
    <col min="14869" max="14869" width="22.5" style="360" customWidth="1"/>
    <col min="14870" max="14870" width="4.375" style="360" customWidth="1"/>
    <col min="14871" max="15104" width="11" style="360"/>
    <col min="15105" max="15105" width="4.125" style="360" customWidth="1"/>
    <col min="15106" max="15106" width="3.625" style="360" customWidth="1"/>
    <col min="15107" max="15107" width="9.5" style="360" customWidth="1"/>
    <col min="15108" max="15108" width="27.125" style="360" customWidth="1"/>
    <col min="15109" max="15109" width="3" style="360" customWidth="1"/>
    <col min="15110" max="15110" width="6.25" style="360" customWidth="1"/>
    <col min="15111" max="15111" width="43.75" style="360" customWidth="1"/>
    <col min="15112" max="15112" width="5.75" style="360" customWidth="1"/>
    <col min="15113" max="15113" width="52.75" style="360" customWidth="1"/>
    <col min="15114" max="15114" width="4.125" style="360" customWidth="1"/>
    <col min="15115" max="15115" width="22.5" style="360" customWidth="1"/>
    <col min="15116" max="15116" width="7.375" style="360" customWidth="1"/>
    <col min="15117" max="15117" width="18.125" style="360" customWidth="1"/>
    <col min="15118" max="15118" width="9.75" style="360" customWidth="1"/>
    <col min="15119" max="15119" width="18" style="360" customWidth="1"/>
    <col min="15120" max="15120" width="16.25" style="360" customWidth="1"/>
    <col min="15121" max="15121" width="19.75" style="360" customWidth="1"/>
    <col min="15122" max="15122" width="20.25" style="360" customWidth="1"/>
    <col min="15123" max="15123" width="22.75" style="360" customWidth="1"/>
    <col min="15124" max="15124" width="17.125" style="360" customWidth="1"/>
    <col min="15125" max="15125" width="22.5" style="360" customWidth="1"/>
    <col min="15126" max="15126" width="4.375" style="360" customWidth="1"/>
    <col min="15127" max="15360" width="11" style="360"/>
    <col min="15361" max="15361" width="4.125" style="360" customWidth="1"/>
    <col min="15362" max="15362" width="3.625" style="360" customWidth="1"/>
    <col min="15363" max="15363" width="9.5" style="360" customWidth="1"/>
    <col min="15364" max="15364" width="27.125" style="360" customWidth="1"/>
    <col min="15365" max="15365" width="3" style="360" customWidth="1"/>
    <col min="15366" max="15366" width="6.25" style="360" customWidth="1"/>
    <col min="15367" max="15367" width="43.75" style="360" customWidth="1"/>
    <col min="15368" max="15368" width="5.75" style="360" customWidth="1"/>
    <col min="15369" max="15369" width="52.75" style="360" customWidth="1"/>
    <col min="15370" max="15370" width="4.125" style="360" customWidth="1"/>
    <col min="15371" max="15371" width="22.5" style="360" customWidth="1"/>
    <col min="15372" max="15372" width="7.375" style="360" customWidth="1"/>
    <col min="15373" max="15373" width="18.125" style="360" customWidth="1"/>
    <col min="15374" max="15374" width="9.75" style="360" customWidth="1"/>
    <col min="15375" max="15375" width="18" style="360" customWidth="1"/>
    <col min="15376" max="15376" width="16.25" style="360" customWidth="1"/>
    <col min="15377" max="15377" width="19.75" style="360" customWidth="1"/>
    <col min="15378" max="15378" width="20.25" style="360" customWidth="1"/>
    <col min="15379" max="15379" width="22.75" style="360" customWidth="1"/>
    <col min="15380" max="15380" width="17.125" style="360" customWidth="1"/>
    <col min="15381" max="15381" width="22.5" style="360" customWidth="1"/>
    <col min="15382" max="15382" width="4.375" style="360" customWidth="1"/>
    <col min="15383" max="15616" width="11" style="360"/>
    <col min="15617" max="15617" width="4.125" style="360" customWidth="1"/>
    <col min="15618" max="15618" width="3.625" style="360" customWidth="1"/>
    <col min="15619" max="15619" width="9.5" style="360" customWidth="1"/>
    <col min="15620" max="15620" width="27.125" style="360" customWidth="1"/>
    <col min="15621" max="15621" width="3" style="360" customWidth="1"/>
    <col min="15622" max="15622" width="6.25" style="360" customWidth="1"/>
    <col min="15623" max="15623" width="43.75" style="360" customWidth="1"/>
    <col min="15624" max="15624" width="5.75" style="360" customWidth="1"/>
    <col min="15625" max="15625" width="52.75" style="360" customWidth="1"/>
    <col min="15626" max="15626" width="4.125" style="360" customWidth="1"/>
    <col min="15627" max="15627" width="22.5" style="360" customWidth="1"/>
    <col min="15628" max="15628" width="7.375" style="360" customWidth="1"/>
    <col min="15629" max="15629" width="18.125" style="360" customWidth="1"/>
    <col min="15630" max="15630" width="9.75" style="360" customWidth="1"/>
    <col min="15631" max="15631" width="18" style="360" customWidth="1"/>
    <col min="15632" max="15632" width="16.25" style="360" customWidth="1"/>
    <col min="15633" max="15633" width="19.75" style="360" customWidth="1"/>
    <col min="15634" max="15634" width="20.25" style="360" customWidth="1"/>
    <col min="15635" max="15635" width="22.75" style="360" customWidth="1"/>
    <col min="15636" max="15636" width="17.125" style="360" customWidth="1"/>
    <col min="15637" max="15637" width="22.5" style="360" customWidth="1"/>
    <col min="15638" max="15638" width="4.375" style="360" customWidth="1"/>
    <col min="15639" max="15872" width="11" style="360"/>
    <col min="15873" max="15873" width="4.125" style="360" customWidth="1"/>
    <col min="15874" max="15874" width="3.625" style="360" customWidth="1"/>
    <col min="15875" max="15875" width="9.5" style="360" customWidth="1"/>
    <col min="15876" max="15876" width="27.125" style="360" customWidth="1"/>
    <col min="15877" max="15877" width="3" style="360" customWidth="1"/>
    <col min="15878" max="15878" width="6.25" style="360" customWidth="1"/>
    <col min="15879" max="15879" width="43.75" style="360" customWidth="1"/>
    <col min="15880" max="15880" width="5.75" style="360" customWidth="1"/>
    <col min="15881" max="15881" width="52.75" style="360" customWidth="1"/>
    <col min="15882" max="15882" width="4.125" style="360" customWidth="1"/>
    <col min="15883" max="15883" width="22.5" style="360" customWidth="1"/>
    <col min="15884" max="15884" width="7.375" style="360" customWidth="1"/>
    <col min="15885" max="15885" width="18.125" style="360" customWidth="1"/>
    <col min="15886" max="15886" width="9.75" style="360" customWidth="1"/>
    <col min="15887" max="15887" width="18" style="360" customWidth="1"/>
    <col min="15888" max="15888" width="16.25" style="360" customWidth="1"/>
    <col min="15889" max="15889" width="19.75" style="360" customWidth="1"/>
    <col min="15890" max="15890" width="20.25" style="360" customWidth="1"/>
    <col min="15891" max="15891" width="22.75" style="360" customWidth="1"/>
    <col min="15892" max="15892" width="17.125" style="360" customWidth="1"/>
    <col min="15893" max="15893" width="22.5" style="360" customWidth="1"/>
    <col min="15894" max="15894" width="4.375" style="360" customWidth="1"/>
    <col min="15895" max="16128" width="11" style="360"/>
    <col min="16129" max="16129" width="4.125" style="360" customWidth="1"/>
    <col min="16130" max="16130" width="3.625" style="360" customWidth="1"/>
    <col min="16131" max="16131" width="9.5" style="360" customWidth="1"/>
    <col min="16132" max="16132" width="27.125" style="360" customWidth="1"/>
    <col min="16133" max="16133" width="3" style="360" customWidth="1"/>
    <col min="16134" max="16134" width="6.25" style="360" customWidth="1"/>
    <col min="16135" max="16135" width="43.75" style="360" customWidth="1"/>
    <col min="16136" max="16136" width="5.75" style="360" customWidth="1"/>
    <col min="16137" max="16137" width="52.75" style="360" customWidth="1"/>
    <col min="16138" max="16138" width="4.125" style="360" customWidth="1"/>
    <col min="16139" max="16139" width="22.5" style="360" customWidth="1"/>
    <col min="16140" max="16140" width="7.375" style="360" customWidth="1"/>
    <col min="16141" max="16141" width="18.125" style="360" customWidth="1"/>
    <col min="16142" max="16142" width="9.75" style="360" customWidth="1"/>
    <col min="16143" max="16143" width="18" style="360" customWidth="1"/>
    <col min="16144" max="16144" width="16.25" style="360" customWidth="1"/>
    <col min="16145" max="16145" width="19.75" style="360" customWidth="1"/>
    <col min="16146" max="16146" width="20.25" style="360" customWidth="1"/>
    <col min="16147" max="16147" width="22.75" style="360" customWidth="1"/>
    <col min="16148" max="16148" width="17.125" style="360" customWidth="1"/>
    <col min="16149" max="16149" width="22.5" style="360" customWidth="1"/>
    <col min="16150" max="16150" width="4.375" style="360" customWidth="1"/>
    <col min="16151" max="16384" width="11" style="360"/>
  </cols>
  <sheetData>
    <row r="1" spans="1:37" ht="26.25" thickBot="1"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</row>
    <row r="2" spans="1:37" ht="61.5" customHeight="1">
      <c r="A2" s="361"/>
      <c r="B2" s="799" t="s">
        <v>1000</v>
      </c>
      <c r="C2" s="800"/>
      <c r="D2" s="800"/>
      <c r="E2" s="800"/>
      <c r="F2" s="800"/>
      <c r="G2" s="800"/>
      <c r="H2" s="800"/>
      <c r="I2" s="800"/>
      <c r="J2" s="800"/>
      <c r="K2" s="800"/>
      <c r="L2" s="800"/>
      <c r="M2" s="800"/>
      <c r="N2" s="800"/>
      <c r="O2" s="800"/>
      <c r="P2" s="800"/>
      <c r="Q2" s="800"/>
      <c r="R2" s="800"/>
      <c r="S2" s="800"/>
      <c r="T2" s="800"/>
      <c r="U2" s="800"/>
      <c r="V2" s="801"/>
    </row>
    <row r="3" spans="1:37" ht="53.25" customHeight="1">
      <c r="A3" s="361"/>
      <c r="B3" s="362"/>
      <c r="C3" s="363" t="s">
        <v>350</v>
      </c>
      <c r="D3" s="364"/>
      <c r="E3" s="364"/>
      <c r="F3" s="364"/>
      <c r="G3" s="364"/>
      <c r="H3" s="364"/>
      <c r="I3" s="364"/>
      <c r="J3" s="364"/>
      <c r="K3" s="364"/>
      <c r="L3" s="363" t="s">
        <v>351</v>
      </c>
      <c r="M3" s="364"/>
      <c r="N3" s="364"/>
      <c r="O3" s="364"/>
      <c r="P3" s="364"/>
      <c r="Q3" s="364"/>
      <c r="R3" s="364"/>
      <c r="S3" s="364"/>
      <c r="T3" s="364"/>
      <c r="U3" s="364"/>
      <c r="V3" s="365"/>
      <c r="W3" s="669" t="s">
        <v>18</v>
      </c>
      <c r="X3" s="669"/>
      <c r="Y3" s="366"/>
      <c r="Z3" s="820"/>
      <c r="AA3" s="820"/>
      <c r="AB3" s="820"/>
      <c r="AC3" s="820"/>
      <c r="AD3" s="820"/>
      <c r="AE3" s="820"/>
      <c r="AF3" s="820"/>
      <c r="AG3" s="820"/>
      <c r="AH3" s="820"/>
      <c r="AI3" s="366"/>
      <c r="AJ3" s="366"/>
      <c r="AK3" s="366"/>
    </row>
    <row r="4" spans="1:37" ht="60" customHeight="1">
      <c r="A4" s="361"/>
      <c r="B4" s="362"/>
      <c r="C4" s="821"/>
      <c r="D4" s="822"/>
      <c r="E4" s="822"/>
      <c r="F4" s="822"/>
      <c r="G4" s="822"/>
      <c r="H4" s="822"/>
      <c r="I4" s="822"/>
      <c r="J4" s="823"/>
      <c r="K4" s="364"/>
      <c r="L4" s="824"/>
      <c r="M4" s="825"/>
      <c r="N4" s="825"/>
      <c r="O4" s="825"/>
      <c r="P4" s="825"/>
      <c r="Q4" s="825"/>
      <c r="R4" s="825"/>
      <c r="S4" s="825"/>
      <c r="T4" s="825"/>
      <c r="U4" s="826"/>
      <c r="V4" s="365"/>
      <c r="W4" s="670" t="s">
        <v>17</v>
      </c>
      <c r="X4" s="670"/>
      <c r="Y4" s="366"/>
      <c r="Z4" s="820"/>
      <c r="AA4" s="820"/>
      <c r="AB4" s="820"/>
      <c r="AC4" s="820"/>
      <c r="AD4" s="820"/>
      <c r="AE4" s="820"/>
      <c r="AF4" s="820"/>
      <c r="AG4" s="820"/>
      <c r="AH4" s="820"/>
      <c r="AI4" s="366"/>
      <c r="AJ4" s="366"/>
      <c r="AK4" s="366"/>
    </row>
    <row r="5" spans="1:37" ht="54" customHeight="1">
      <c r="A5" s="361"/>
      <c r="B5" s="362"/>
      <c r="C5" s="363" t="s">
        <v>352</v>
      </c>
      <c r="D5" s="363"/>
      <c r="E5" s="364"/>
      <c r="F5" s="364"/>
      <c r="G5" s="364"/>
      <c r="H5" s="364"/>
      <c r="I5" s="364"/>
      <c r="J5" s="364"/>
      <c r="K5" s="364"/>
      <c r="L5" s="363" t="s">
        <v>409</v>
      </c>
      <c r="M5" s="364"/>
      <c r="N5" s="364"/>
      <c r="O5" s="364"/>
      <c r="P5" s="364"/>
      <c r="Q5" s="363" t="s">
        <v>353</v>
      </c>
      <c r="R5" s="363"/>
      <c r="S5" s="364"/>
      <c r="T5" s="364"/>
      <c r="U5" s="364"/>
      <c r="V5" s="365"/>
      <c r="W5" s="670" t="s">
        <v>1029</v>
      </c>
      <c r="X5" s="670"/>
    </row>
    <row r="6" spans="1:37" ht="60" customHeight="1">
      <c r="A6" s="361"/>
      <c r="B6" s="362"/>
      <c r="C6" s="821"/>
      <c r="D6" s="822"/>
      <c r="E6" s="822"/>
      <c r="F6" s="822"/>
      <c r="G6" s="822"/>
      <c r="H6" s="822"/>
      <c r="I6" s="822"/>
      <c r="J6" s="823"/>
      <c r="K6" s="364"/>
      <c r="L6" s="816"/>
      <c r="M6" s="817"/>
      <c r="N6" s="817"/>
      <c r="O6" s="818"/>
      <c r="P6" s="364"/>
      <c r="Q6" s="816"/>
      <c r="R6" s="817"/>
      <c r="S6" s="817"/>
      <c r="T6" s="817"/>
      <c r="U6" s="818"/>
      <c r="V6" s="365"/>
      <c r="W6" s="670" t="s">
        <v>1030</v>
      </c>
      <c r="X6" s="670"/>
      <c r="AB6" s="367"/>
      <c r="AC6" s="367"/>
      <c r="AD6" s="367"/>
      <c r="AE6" s="367"/>
      <c r="AF6" s="367"/>
      <c r="AG6" s="367"/>
    </row>
    <row r="7" spans="1:37" ht="54.75" customHeight="1">
      <c r="A7" s="361"/>
      <c r="B7" s="362"/>
      <c r="C7" s="363" t="s">
        <v>891</v>
      </c>
      <c r="D7" s="364"/>
      <c r="E7" s="364"/>
      <c r="F7" s="364"/>
      <c r="G7" s="363" t="s">
        <v>354</v>
      </c>
      <c r="H7" s="364"/>
      <c r="I7" s="364"/>
      <c r="J7" s="364"/>
      <c r="K7" s="364"/>
      <c r="L7" s="363" t="s">
        <v>355</v>
      </c>
      <c r="M7" s="364"/>
      <c r="N7" s="363"/>
      <c r="O7" s="364"/>
      <c r="P7" s="364"/>
      <c r="Q7" s="364"/>
      <c r="R7" s="364"/>
      <c r="S7" s="368" t="s">
        <v>356</v>
      </c>
      <c r="T7" s="364"/>
      <c r="U7" s="369" t="s">
        <v>357</v>
      </c>
      <c r="V7" s="365"/>
      <c r="AA7" s="367"/>
      <c r="AB7" s="367"/>
      <c r="AC7" s="367"/>
      <c r="AD7" s="367"/>
      <c r="AE7" s="367"/>
      <c r="AF7" s="367"/>
      <c r="AG7" s="367"/>
    </row>
    <row r="8" spans="1:37" ht="60" customHeight="1">
      <c r="A8" s="361"/>
      <c r="B8" s="362"/>
      <c r="C8" s="816"/>
      <c r="D8" s="817"/>
      <c r="E8" s="818"/>
      <c r="F8" s="370"/>
      <c r="G8" s="816"/>
      <c r="H8" s="817"/>
      <c r="I8" s="817"/>
      <c r="J8" s="818"/>
      <c r="K8" s="364"/>
      <c r="L8" s="816"/>
      <c r="M8" s="817"/>
      <c r="N8" s="817"/>
      <c r="O8" s="817"/>
      <c r="P8" s="817"/>
      <c r="Q8" s="818"/>
      <c r="R8" s="364"/>
      <c r="S8" s="19"/>
      <c r="T8" s="370"/>
      <c r="U8" s="19"/>
      <c r="V8" s="365"/>
      <c r="W8" s="361"/>
      <c r="X8" s="361"/>
      <c r="Z8" s="371"/>
      <c r="AA8" s="367"/>
      <c r="AB8" s="367"/>
      <c r="AC8" s="367"/>
      <c r="AD8" s="367"/>
      <c r="AE8" s="367"/>
      <c r="AF8" s="367"/>
      <c r="AG8" s="367"/>
    </row>
    <row r="9" spans="1:37" ht="45" customHeight="1" thickBot="1">
      <c r="A9" s="361"/>
      <c r="B9" s="372"/>
      <c r="C9" s="373"/>
      <c r="D9" s="373"/>
      <c r="E9" s="373"/>
      <c r="F9" s="373"/>
      <c r="G9" s="373"/>
      <c r="H9" s="373"/>
      <c r="I9" s="374"/>
      <c r="J9" s="374"/>
      <c r="K9" s="373"/>
      <c r="L9" s="374"/>
      <c r="M9" s="374"/>
      <c r="N9" s="373"/>
      <c r="O9" s="373"/>
      <c r="P9" s="373"/>
      <c r="Q9" s="375"/>
      <c r="R9" s="373"/>
      <c r="S9" s="373"/>
      <c r="T9" s="373"/>
      <c r="U9" s="373"/>
      <c r="V9" s="376"/>
      <c r="W9" s="361"/>
      <c r="X9" s="361"/>
      <c r="AA9" s="377"/>
      <c r="AE9" s="361"/>
      <c r="AF9" s="361"/>
    </row>
    <row r="10" spans="1:37" ht="26.25" thickBot="1">
      <c r="C10" s="378"/>
      <c r="D10" s="378"/>
      <c r="E10" s="378"/>
      <c r="F10" s="378"/>
      <c r="G10" s="378"/>
      <c r="H10" s="378"/>
      <c r="I10" s="378"/>
      <c r="J10" s="378"/>
      <c r="N10" s="361"/>
      <c r="W10" s="361"/>
      <c r="X10" s="361"/>
      <c r="Y10" s="361"/>
    </row>
    <row r="11" spans="1:37" ht="11.25" customHeight="1">
      <c r="B11" s="379"/>
      <c r="C11" s="380"/>
      <c r="D11" s="380"/>
      <c r="E11" s="380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0"/>
      <c r="R11" s="380"/>
      <c r="S11" s="380"/>
      <c r="T11" s="380"/>
      <c r="U11" s="380"/>
      <c r="V11" s="381"/>
    </row>
    <row r="12" spans="1:37" ht="53.25" customHeight="1">
      <c r="B12" s="382"/>
      <c r="C12" s="383" t="s">
        <v>358</v>
      </c>
      <c r="D12" s="383"/>
      <c r="E12" s="383"/>
      <c r="F12" s="384"/>
      <c r="G12" s="384"/>
      <c r="H12" s="385" t="s">
        <v>359</v>
      </c>
      <c r="I12" s="20">
        <v>40422</v>
      </c>
      <c r="J12" s="386" t="s">
        <v>360</v>
      </c>
      <c r="K12" s="819"/>
      <c r="L12" s="819"/>
      <c r="M12" s="819"/>
      <c r="N12" s="819"/>
      <c r="O12" s="819"/>
      <c r="P12" s="819"/>
      <c r="Q12" s="387"/>
      <c r="R12" s="387"/>
      <c r="S12" s="387"/>
      <c r="T12" s="385" t="s">
        <v>361</v>
      </c>
      <c r="U12" s="21"/>
      <c r="V12" s="388"/>
    </row>
    <row r="13" spans="1:37" ht="13.5" customHeight="1" thickBot="1">
      <c r="B13" s="389"/>
      <c r="C13" s="390"/>
      <c r="D13" s="390"/>
      <c r="E13" s="390"/>
      <c r="F13" s="391"/>
      <c r="G13" s="392"/>
      <c r="H13" s="393"/>
      <c r="I13" s="394"/>
      <c r="J13" s="394"/>
      <c r="K13" s="390"/>
      <c r="L13" s="390"/>
      <c r="M13" s="390"/>
      <c r="N13" s="390"/>
      <c r="O13" s="390"/>
      <c r="P13" s="390"/>
      <c r="Q13" s="395"/>
      <c r="R13" s="395"/>
      <c r="S13" s="393"/>
      <c r="T13" s="393"/>
      <c r="U13" s="390"/>
      <c r="V13" s="396"/>
      <c r="AF13" s="361"/>
      <c r="AG13" s="361"/>
    </row>
    <row r="14" spans="1:37" ht="26.25" thickBot="1">
      <c r="Q14" s="397"/>
      <c r="R14" s="397"/>
      <c r="AF14" s="361"/>
      <c r="AG14" s="361"/>
    </row>
    <row r="15" spans="1:37" ht="16.5" customHeight="1">
      <c r="B15" s="398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/>
      <c r="P15" s="399"/>
      <c r="Q15" s="399"/>
      <c r="R15" s="399"/>
      <c r="S15" s="399"/>
      <c r="T15" s="399"/>
      <c r="U15" s="399"/>
      <c r="V15" s="400"/>
      <c r="AF15" s="361"/>
      <c r="AG15" s="361"/>
    </row>
    <row r="16" spans="1:37" ht="37.5">
      <c r="B16" s="401"/>
      <c r="C16" s="402" t="s">
        <v>362</v>
      </c>
      <c r="D16" s="403"/>
      <c r="E16" s="403"/>
      <c r="F16" s="403"/>
      <c r="G16" s="403"/>
      <c r="H16" s="403"/>
      <c r="I16" s="403"/>
      <c r="J16" s="404"/>
      <c r="K16" s="404"/>
      <c r="L16" s="404"/>
      <c r="M16" s="404"/>
      <c r="N16" s="404"/>
      <c r="O16" s="404"/>
      <c r="P16" s="404"/>
      <c r="Q16" s="404"/>
      <c r="R16" s="404"/>
      <c r="S16" s="404"/>
      <c r="T16" s="404"/>
      <c r="U16" s="404"/>
      <c r="V16" s="405"/>
    </row>
    <row r="17" spans="2:37" ht="23.25" customHeight="1">
      <c r="B17" s="401"/>
      <c r="C17" s="403"/>
      <c r="D17" s="403"/>
      <c r="E17" s="403"/>
      <c r="F17" s="403"/>
      <c r="G17" s="403"/>
      <c r="H17" s="403"/>
      <c r="I17" s="403"/>
      <c r="J17" s="404"/>
      <c r="K17" s="404"/>
      <c r="L17" s="404"/>
      <c r="M17" s="404"/>
      <c r="N17" s="404"/>
      <c r="O17" s="404"/>
      <c r="P17" s="404"/>
      <c r="Q17" s="404"/>
      <c r="R17" s="404"/>
      <c r="S17" s="404"/>
      <c r="T17" s="404"/>
      <c r="U17" s="404"/>
      <c r="V17" s="405"/>
    </row>
    <row r="18" spans="2:37" ht="37.5">
      <c r="B18" s="401"/>
      <c r="C18" s="402" t="s">
        <v>363</v>
      </c>
      <c r="D18" s="403"/>
      <c r="E18" s="403"/>
      <c r="F18" s="403"/>
      <c r="G18" s="403"/>
      <c r="H18" s="403"/>
      <c r="I18" s="403"/>
      <c r="J18" s="404"/>
      <c r="K18" s="404"/>
      <c r="L18" s="404"/>
      <c r="M18" s="404"/>
      <c r="N18" s="404"/>
      <c r="O18" s="404"/>
      <c r="P18" s="404"/>
      <c r="Q18" s="404"/>
      <c r="R18" s="404"/>
      <c r="S18" s="404"/>
      <c r="T18" s="404"/>
      <c r="U18" s="404"/>
      <c r="V18" s="405"/>
    </row>
    <row r="19" spans="2:37" ht="27.75" customHeight="1">
      <c r="B19" s="401"/>
      <c r="C19" s="403"/>
      <c r="D19" s="403"/>
      <c r="E19" s="403"/>
      <c r="F19" s="403"/>
      <c r="G19" s="403"/>
      <c r="H19" s="403"/>
      <c r="I19" s="403"/>
      <c r="J19" s="404"/>
      <c r="K19" s="404"/>
      <c r="L19" s="404"/>
      <c r="M19" s="404"/>
      <c r="N19" s="404"/>
      <c r="O19" s="404"/>
      <c r="P19" s="404"/>
      <c r="Q19" s="404"/>
      <c r="R19" s="404"/>
      <c r="S19" s="404"/>
      <c r="T19" s="404"/>
      <c r="U19" s="404"/>
      <c r="V19" s="405"/>
    </row>
    <row r="20" spans="2:37" ht="37.5">
      <c r="B20" s="401"/>
      <c r="C20" s="403"/>
      <c r="D20" s="811" t="s">
        <v>364</v>
      </c>
      <c r="E20" s="811"/>
      <c r="F20" s="811"/>
      <c r="G20" s="811"/>
      <c r="H20" s="811"/>
      <c r="I20" s="811"/>
      <c r="J20" s="811"/>
      <c r="K20" s="811"/>
      <c r="L20" s="811"/>
      <c r="M20" s="811"/>
      <c r="N20" s="406"/>
      <c r="O20" s="809"/>
      <c r="P20" s="809"/>
      <c r="Q20" s="809"/>
      <c r="R20" s="809"/>
      <c r="S20" s="404"/>
      <c r="T20" s="404"/>
      <c r="U20" s="404"/>
      <c r="V20" s="405"/>
      <c r="AD20" s="361"/>
      <c r="AE20" s="361"/>
      <c r="AF20" s="361"/>
      <c r="AG20" s="361"/>
      <c r="AH20" s="361"/>
      <c r="AI20" s="361"/>
      <c r="AJ20" s="361"/>
      <c r="AK20" s="361"/>
    </row>
    <row r="21" spans="2:37" ht="52.5" customHeight="1">
      <c r="B21" s="401"/>
      <c r="C21" s="403"/>
      <c r="D21" s="811" t="s">
        <v>365</v>
      </c>
      <c r="E21" s="811"/>
      <c r="F21" s="811"/>
      <c r="G21" s="811"/>
      <c r="H21" s="811"/>
      <c r="I21" s="811"/>
      <c r="J21" s="407"/>
      <c r="K21" s="404"/>
      <c r="L21" s="404"/>
      <c r="M21" s="404"/>
      <c r="N21" s="404"/>
      <c r="O21" s="408"/>
      <c r="P21" s="408"/>
      <c r="Q21" s="408"/>
      <c r="R21" s="408"/>
      <c r="S21" s="404"/>
      <c r="T21" s="404"/>
      <c r="U21" s="404"/>
      <c r="V21" s="405"/>
      <c r="AD21" s="361"/>
      <c r="AE21" s="361"/>
      <c r="AF21" s="361"/>
      <c r="AG21" s="361"/>
      <c r="AH21" s="361"/>
      <c r="AI21" s="361"/>
      <c r="AJ21" s="361"/>
      <c r="AK21" s="361"/>
    </row>
    <row r="22" spans="2:37" ht="52.5" customHeight="1">
      <c r="B22" s="401"/>
      <c r="C22" s="404"/>
      <c r="D22" s="813"/>
      <c r="E22" s="813"/>
      <c r="F22" s="813"/>
      <c r="G22" s="813"/>
      <c r="H22" s="406"/>
      <c r="I22" s="810" t="s">
        <v>366</v>
      </c>
      <c r="J22" s="810"/>
      <c r="K22" s="810"/>
      <c r="L22" s="810"/>
      <c r="M22" s="810"/>
      <c r="N22" s="406"/>
      <c r="O22" s="809"/>
      <c r="P22" s="809"/>
      <c r="Q22" s="809"/>
      <c r="R22" s="809"/>
      <c r="S22" s="404"/>
      <c r="T22" s="404"/>
      <c r="U22" s="404"/>
      <c r="V22" s="405"/>
      <c r="AD22" s="361"/>
      <c r="AE22" s="361"/>
      <c r="AF22" s="361"/>
      <c r="AG22" s="361"/>
      <c r="AH22" s="361"/>
      <c r="AI22" s="361"/>
      <c r="AJ22" s="361"/>
      <c r="AK22" s="361"/>
    </row>
    <row r="23" spans="2:37" ht="52.5" customHeight="1">
      <c r="B23" s="401"/>
      <c r="C23" s="404"/>
      <c r="D23" s="814"/>
      <c r="E23" s="814"/>
      <c r="F23" s="814"/>
      <c r="G23" s="814"/>
      <c r="H23" s="406"/>
      <c r="I23" s="810" t="s">
        <v>366</v>
      </c>
      <c r="J23" s="810"/>
      <c r="K23" s="810"/>
      <c r="L23" s="810"/>
      <c r="M23" s="810"/>
      <c r="N23" s="406"/>
      <c r="O23" s="809"/>
      <c r="P23" s="809"/>
      <c r="Q23" s="809"/>
      <c r="R23" s="809"/>
      <c r="S23" s="404"/>
      <c r="T23" s="404"/>
      <c r="U23" s="404"/>
      <c r="V23" s="405"/>
      <c r="AD23" s="361"/>
      <c r="AE23" s="361"/>
      <c r="AF23" s="361"/>
      <c r="AG23" s="361"/>
      <c r="AH23" s="361"/>
      <c r="AI23" s="361"/>
      <c r="AJ23" s="361"/>
      <c r="AK23" s="361"/>
    </row>
    <row r="24" spans="2:37" ht="52.5" customHeight="1">
      <c r="B24" s="401"/>
      <c r="C24" s="404"/>
      <c r="D24" s="814"/>
      <c r="E24" s="814"/>
      <c r="F24" s="814"/>
      <c r="G24" s="814"/>
      <c r="H24" s="406"/>
      <c r="I24" s="810" t="s">
        <v>366</v>
      </c>
      <c r="J24" s="810"/>
      <c r="K24" s="810"/>
      <c r="L24" s="810"/>
      <c r="M24" s="810"/>
      <c r="N24" s="406"/>
      <c r="O24" s="809"/>
      <c r="P24" s="809"/>
      <c r="Q24" s="809"/>
      <c r="R24" s="809"/>
      <c r="S24" s="404"/>
      <c r="T24" s="404"/>
      <c r="U24" s="404"/>
      <c r="V24" s="405"/>
      <c r="AD24" s="361"/>
      <c r="AE24" s="361"/>
      <c r="AF24" s="361"/>
      <c r="AG24" s="361"/>
      <c r="AH24" s="361"/>
      <c r="AI24" s="361"/>
      <c r="AJ24" s="361"/>
      <c r="AK24" s="361"/>
    </row>
    <row r="25" spans="2:37" ht="52.5" customHeight="1">
      <c r="B25" s="401"/>
      <c r="C25" s="404"/>
      <c r="D25" s="814"/>
      <c r="E25" s="814"/>
      <c r="F25" s="814"/>
      <c r="G25" s="814"/>
      <c r="H25" s="406"/>
      <c r="I25" s="810" t="s">
        <v>366</v>
      </c>
      <c r="J25" s="810"/>
      <c r="K25" s="810"/>
      <c r="L25" s="810"/>
      <c r="M25" s="810"/>
      <c r="N25" s="406"/>
      <c r="O25" s="809"/>
      <c r="P25" s="809"/>
      <c r="Q25" s="809"/>
      <c r="R25" s="809"/>
      <c r="S25" s="404"/>
      <c r="T25" s="404"/>
      <c r="U25" s="404"/>
      <c r="V25" s="405"/>
    </row>
    <row r="26" spans="2:37" ht="52.5" customHeight="1">
      <c r="B26" s="401"/>
      <c r="C26" s="404"/>
      <c r="D26" s="814"/>
      <c r="E26" s="814"/>
      <c r="F26" s="814"/>
      <c r="G26" s="814"/>
      <c r="H26" s="406"/>
      <c r="I26" s="810" t="s">
        <v>366</v>
      </c>
      <c r="J26" s="810"/>
      <c r="K26" s="810"/>
      <c r="L26" s="810"/>
      <c r="M26" s="810"/>
      <c r="N26" s="406"/>
      <c r="O26" s="809"/>
      <c r="P26" s="809"/>
      <c r="Q26" s="809"/>
      <c r="R26" s="809"/>
      <c r="S26" s="404"/>
      <c r="T26" s="404"/>
      <c r="U26" s="404"/>
      <c r="V26" s="405"/>
    </row>
    <row r="27" spans="2:37" ht="27.75" customHeight="1">
      <c r="B27" s="401"/>
      <c r="C27" s="404"/>
      <c r="D27" s="404"/>
      <c r="E27" s="404"/>
      <c r="F27" s="404"/>
      <c r="G27" s="404"/>
      <c r="H27" s="404"/>
      <c r="I27" s="404"/>
      <c r="J27" s="404"/>
      <c r="K27" s="404"/>
      <c r="L27" s="404"/>
      <c r="M27" s="404"/>
      <c r="N27" s="404"/>
      <c r="O27" s="408"/>
      <c r="P27" s="408"/>
      <c r="Q27" s="408"/>
      <c r="R27" s="408"/>
      <c r="S27" s="404"/>
      <c r="T27" s="404"/>
      <c r="U27" s="404"/>
      <c r="V27" s="405"/>
    </row>
    <row r="28" spans="2:37" ht="41.25" customHeight="1">
      <c r="B28" s="409"/>
      <c r="C28" s="403"/>
      <c r="D28" s="811" t="s">
        <v>367</v>
      </c>
      <c r="E28" s="811"/>
      <c r="F28" s="811"/>
      <c r="G28" s="811"/>
      <c r="H28" s="811"/>
      <c r="I28" s="811"/>
      <c r="J28" s="811"/>
      <c r="K28" s="811"/>
      <c r="L28" s="811"/>
      <c r="M28" s="811"/>
      <c r="N28" s="404"/>
      <c r="O28" s="809"/>
      <c r="P28" s="809"/>
      <c r="Q28" s="809"/>
      <c r="R28" s="809"/>
      <c r="S28" s="404"/>
      <c r="T28" s="404"/>
      <c r="U28" s="404"/>
      <c r="V28" s="405"/>
    </row>
    <row r="29" spans="2:37" ht="27.75" customHeight="1">
      <c r="B29" s="409"/>
      <c r="C29" s="403"/>
      <c r="D29" s="403"/>
      <c r="E29" s="403"/>
      <c r="F29" s="403"/>
      <c r="G29" s="403"/>
      <c r="H29" s="403"/>
      <c r="I29" s="403"/>
      <c r="J29" s="404"/>
      <c r="K29" s="404"/>
      <c r="L29" s="404"/>
      <c r="M29" s="404"/>
      <c r="N29" s="404"/>
      <c r="O29" s="408"/>
      <c r="P29" s="408"/>
      <c r="Q29" s="408"/>
      <c r="R29" s="408"/>
      <c r="S29" s="404"/>
      <c r="T29" s="404"/>
      <c r="U29" s="404"/>
      <c r="V29" s="405"/>
    </row>
    <row r="30" spans="2:37" ht="41.25" customHeight="1">
      <c r="B30" s="409"/>
      <c r="C30" s="403"/>
      <c r="D30" s="811" t="s">
        <v>368</v>
      </c>
      <c r="E30" s="811"/>
      <c r="F30" s="811"/>
      <c r="G30" s="811"/>
      <c r="H30" s="811"/>
      <c r="I30" s="811"/>
      <c r="J30" s="811"/>
      <c r="K30" s="811"/>
      <c r="L30" s="811"/>
      <c r="M30" s="811"/>
      <c r="N30" s="404"/>
      <c r="O30" s="809"/>
      <c r="P30" s="809"/>
      <c r="Q30" s="809"/>
      <c r="R30" s="809"/>
      <c r="S30" s="404"/>
      <c r="T30" s="404"/>
      <c r="U30" s="404"/>
      <c r="V30" s="405"/>
    </row>
    <row r="31" spans="2:37" ht="27.75" customHeight="1">
      <c r="B31" s="409"/>
      <c r="C31" s="403"/>
      <c r="D31" s="403"/>
      <c r="E31" s="403"/>
      <c r="F31" s="403"/>
      <c r="G31" s="403"/>
      <c r="H31" s="403"/>
      <c r="I31" s="403"/>
      <c r="J31" s="404"/>
      <c r="K31" s="404"/>
      <c r="L31" s="404"/>
      <c r="M31" s="404"/>
      <c r="N31" s="404"/>
      <c r="O31" s="408"/>
      <c r="P31" s="408"/>
      <c r="Q31" s="408"/>
      <c r="R31" s="408"/>
      <c r="S31" s="404"/>
      <c r="T31" s="404"/>
      <c r="U31" s="404"/>
      <c r="V31" s="405"/>
    </row>
    <row r="32" spans="2:37" ht="41.25" customHeight="1">
      <c r="B32" s="409"/>
      <c r="C32" s="403"/>
      <c r="D32" s="811" t="s">
        <v>369</v>
      </c>
      <c r="E32" s="811"/>
      <c r="F32" s="811"/>
      <c r="G32" s="811"/>
      <c r="H32" s="811"/>
      <c r="I32" s="811"/>
      <c r="J32" s="811"/>
      <c r="K32" s="811"/>
      <c r="L32" s="811"/>
      <c r="M32" s="811"/>
      <c r="N32" s="404"/>
      <c r="O32" s="809"/>
      <c r="P32" s="809"/>
      <c r="Q32" s="809"/>
      <c r="R32" s="809"/>
      <c r="S32" s="404"/>
      <c r="T32" s="404"/>
      <c r="U32" s="404"/>
      <c r="V32" s="405"/>
    </row>
    <row r="33" spans="2:22" ht="27.75" customHeight="1">
      <c r="B33" s="409"/>
      <c r="C33" s="403"/>
      <c r="D33" s="403"/>
      <c r="E33" s="403"/>
      <c r="F33" s="403"/>
      <c r="G33" s="403"/>
      <c r="H33" s="403"/>
      <c r="I33" s="403"/>
      <c r="J33" s="404"/>
      <c r="K33" s="404"/>
      <c r="L33" s="404"/>
      <c r="M33" s="404"/>
      <c r="N33" s="404"/>
      <c r="O33" s="408"/>
      <c r="P33" s="408"/>
      <c r="Q33" s="408"/>
      <c r="R33" s="408"/>
      <c r="S33" s="404"/>
      <c r="T33" s="404"/>
      <c r="U33" s="404"/>
      <c r="V33" s="405"/>
    </row>
    <row r="34" spans="2:22" ht="37.5">
      <c r="B34" s="409"/>
      <c r="C34" s="402" t="s">
        <v>370</v>
      </c>
      <c r="D34" s="403"/>
      <c r="E34" s="403"/>
      <c r="F34" s="403"/>
      <c r="G34" s="403"/>
      <c r="H34" s="403"/>
      <c r="I34" s="403"/>
      <c r="J34" s="404"/>
      <c r="K34" s="404"/>
      <c r="L34" s="404"/>
      <c r="M34" s="404"/>
      <c r="N34" s="404"/>
      <c r="O34" s="408"/>
      <c r="P34" s="408"/>
      <c r="Q34" s="408"/>
      <c r="R34" s="408"/>
      <c r="S34" s="404"/>
      <c r="T34" s="404"/>
      <c r="U34" s="404"/>
      <c r="V34" s="405"/>
    </row>
    <row r="35" spans="2:22" ht="27.75" customHeight="1">
      <c r="B35" s="409"/>
      <c r="C35" s="403"/>
      <c r="D35" s="403"/>
      <c r="E35" s="403"/>
      <c r="F35" s="403"/>
      <c r="G35" s="403"/>
      <c r="H35" s="403"/>
      <c r="I35" s="403"/>
      <c r="J35" s="404"/>
      <c r="K35" s="404"/>
      <c r="L35" s="404"/>
      <c r="M35" s="404"/>
      <c r="N35" s="404"/>
      <c r="O35" s="408"/>
      <c r="P35" s="408"/>
      <c r="Q35" s="408"/>
      <c r="R35" s="408"/>
      <c r="S35" s="404"/>
      <c r="T35" s="404"/>
      <c r="U35" s="404"/>
      <c r="V35" s="405"/>
    </row>
    <row r="36" spans="2:22" ht="41.25" customHeight="1">
      <c r="B36" s="409"/>
      <c r="C36" s="403"/>
      <c r="D36" s="811" t="s">
        <v>371</v>
      </c>
      <c r="E36" s="811"/>
      <c r="F36" s="811"/>
      <c r="G36" s="811"/>
      <c r="H36" s="811"/>
      <c r="I36" s="811"/>
      <c r="J36" s="407"/>
      <c r="K36" s="404"/>
      <c r="L36" s="404"/>
      <c r="M36" s="404"/>
      <c r="N36" s="404"/>
      <c r="O36" s="408"/>
      <c r="P36" s="408"/>
      <c r="Q36" s="408"/>
      <c r="R36" s="408"/>
      <c r="S36" s="404"/>
      <c r="T36" s="404"/>
      <c r="U36" s="404"/>
      <c r="V36" s="405"/>
    </row>
    <row r="37" spans="2:22" ht="52.5" customHeight="1">
      <c r="B37" s="409"/>
      <c r="C37" s="403"/>
      <c r="D37" s="813"/>
      <c r="E37" s="813"/>
      <c r="F37" s="813"/>
      <c r="G37" s="813"/>
      <c r="H37" s="410"/>
      <c r="I37" s="810" t="s">
        <v>372</v>
      </c>
      <c r="J37" s="810"/>
      <c r="K37" s="810"/>
      <c r="L37" s="810"/>
      <c r="M37" s="810"/>
      <c r="N37" s="404"/>
      <c r="O37" s="809"/>
      <c r="P37" s="809"/>
      <c r="Q37" s="809"/>
      <c r="R37" s="809"/>
      <c r="S37" s="404"/>
      <c r="T37" s="404"/>
      <c r="U37" s="404"/>
      <c r="V37" s="405"/>
    </row>
    <row r="38" spans="2:22" ht="52.5" customHeight="1">
      <c r="B38" s="409"/>
      <c r="C38" s="403"/>
      <c r="D38" s="814"/>
      <c r="E38" s="814"/>
      <c r="F38" s="814"/>
      <c r="G38" s="814"/>
      <c r="H38" s="410"/>
      <c r="I38" s="810" t="s">
        <v>373</v>
      </c>
      <c r="J38" s="810"/>
      <c r="K38" s="810"/>
      <c r="L38" s="810"/>
      <c r="M38" s="810"/>
      <c r="N38" s="404"/>
      <c r="O38" s="809"/>
      <c r="P38" s="809"/>
      <c r="Q38" s="809"/>
      <c r="R38" s="809"/>
      <c r="S38" s="404"/>
      <c r="T38" s="404"/>
      <c r="U38" s="404"/>
      <c r="V38" s="405"/>
    </row>
    <row r="39" spans="2:22" ht="41.25" customHeight="1">
      <c r="B39" s="409"/>
      <c r="C39" s="403"/>
      <c r="D39" s="811" t="s">
        <v>374</v>
      </c>
      <c r="E39" s="811"/>
      <c r="F39" s="811"/>
      <c r="G39" s="811"/>
      <c r="H39" s="811"/>
      <c r="I39" s="811"/>
      <c r="J39" s="811"/>
      <c r="K39" s="811"/>
      <c r="L39" s="404"/>
      <c r="M39" s="404"/>
      <c r="N39" s="404"/>
      <c r="O39" s="408"/>
      <c r="P39" s="408"/>
      <c r="Q39" s="408"/>
      <c r="R39" s="408"/>
      <c r="S39" s="404"/>
      <c r="T39" s="404"/>
      <c r="U39" s="404"/>
      <c r="V39" s="405"/>
    </row>
    <row r="40" spans="2:22" ht="51.75" customHeight="1">
      <c r="B40" s="409"/>
      <c r="C40" s="403"/>
      <c r="D40" s="813"/>
      <c r="E40" s="813"/>
      <c r="F40" s="813"/>
      <c r="G40" s="813"/>
      <c r="H40" s="410"/>
      <c r="I40" s="810" t="s">
        <v>375</v>
      </c>
      <c r="J40" s="810"/>
      <c r="K40" s="810"/>
      <c r="L40" s="810"/>
      <c r="M40" s="810"/>
      <c r="N40" s="404"/>
      <c r="O40" s="809"/>
      <c r="P40" s="809"/>
      <c r="Q40" s="809"/>
      <c r="R40" s="809"/>
      <c r="S40" s="404"/>
      <c r="T40" s="404"/>
      <c r="U40" s="404"/>
      <c r="V40" s="405"/>
    </row>
    <row r="41" spans="2:22" ht="41.25" customHeight="1">
      <c r="B41" s="409"/>
      <c r="C41" s="403"/>
      <c r="D41" s="811" t="s">
        <v>376</v>
      </c>
      <c r="E41" s="811"/>
      <c r="F41" s="811"/>
      <c r="G41" s="811"/>
      <c r="H41" s="811"/>
      <c r="I41" s="811"/>
      <c r="J41" s="811"/>
      <c r="K41" s="811"/>
      <c r="L41" s="404"/>
      <c r="M41" s="404"/>
      <c r="N41" s="404"/>
      <c r="O41" s="408"/>
      <c r="P41" s="408"/>
      <c r="Q41" s="408"/>
      <c r="R41" s="408"/>
      <c r="S41" s="404"/>
      <c r="T41" s="404"/>
      <c r="U41" s="404"/>
      <c r="V41" s="405"/>
    </row>
    <row r="42" spans="2:22" ht="51.75" customHeight="1">
      <c r="B42" s="409"/>
      <c r="C42" s="403"/>
      <c r="D42" s="813"/>
      <c r="E42" s="813"/>
      <c r="F42" s="813"/>
      <c r="G42" s="813"/>
      <c r="H42" s="410"/>
      <c r="I42" s="810" t="s">
        <v>377</v>
      </c>
      <c r="J42" s="810"/>
      <c r="K42" s="810"/>
      <c r="L42" s="810"/>
      <c r="M42" s="810"/>
      <c r="N42" s="404"/>
      <c r="O42" s="809"/>
      <c r="P42" s="809"/>
      <c r="Q42" s="809"/>
      <c r="R42" s="809"/>
      <c r="S42" s="404"/>
      <c r="T42" s="404"/>
      <c r="U42" s="404"/>
      <c r="V42" s="405"/>
    </row>
    <row r="43" spans="2:22" ht="41.25" customHeight="1">
      <c r="B43" s="409"/>
      <c r="C43" s="403"/>
      <c r="D43" s="815" t="s">
        <v>378</v>
      </c>
      <c r="E43" s="815"/>
      <c r="F43" s="815"/>
      <c r="G43" s="815"/>
      <c r="H43" s="811"/>
      <c r="I43" s="811"/>
      <c r="J43" s="407"/>
      <c r="K43" s="404"/>
      <c r="L43" s="404"/>
      <c r="M43" s="404"/>
      <c r="N43" s="404"/>
      <c r="O43" s="408"/>
      <c r="P43" s="408"/>
      <c r="Q43" s="408"/>
      <c r="R43" s="408"/>
      <c r="S43" s="404"/>
      <c r="T43" s="404"/>
      <c r="U43" s="404"/>
      <c r="V43" s="405"/>
    </row>
    <row r="44" spans="2:22" ht="51.75" customHeight="1">
      <c r="B44" s="401"/>
      <c r="C44" s="404"/>
      <c r="D44" s="813"/>
      <c r="E44" s="813"/>
      <c r="F44" s="813"/>
      <c r="G44" s="813"/>
      <c r="H44" s="406"/>
      <c r="I44" s="810" t="s">
        <v>379</v>
      </c>
      <c r="J44" s="810"/>
      <c r="K44" s="810"/>
      <c r="L44" s="810"/>
      <c r="M44" s="810"/>
      <c r="N44" s="404"/>
      <c r="O44" s="809"/>
      <c r="P44" s="809"/>
      <c r="Q44" s="809"/>
      <c r="R44" s="809"/>
      <c r="S44" s="404"/>
      <c r="T44" s="404"/>
      <c r="U44" s="404"/>
      <c r="V44" s="405"/>
    </row>
    <row r="45" spans="2:22" ht="16.5" customHeight="1">
      <c r="B45" s="401"/>
      <c r="C45" s="404"/>
      <c r="D45" s="404"/>
      <c r="E45" s="404"/>
      <c r="F45" s="404"/>
      <c r="G45" s="404"/>
      <c r="H45" s="404"/>
      <c r="I45" s="404"/>
      <c r="J45" s="404"/>
      <c r="K45" s="404"/>
      <c r="L45" s="404"/>
      <c r="M45" s="404"/>
      <c r="N45" s="404"/>
      <c r="O45" s="404"/>
      <c r="P45" s="404"/>
      <c r="Q45" s="404"/>
      <c r="R45" s="404"/>
      <c r="S45" s="404"/>
      <c r="T45" s="404"/>
      <c r="U45" s="404"/>
      <c r="V45" s="405"/>
    </row>
    <row r="46" spans="2:22" ht="46.5" customHeight="1">
      <c r="B46" s="401"/>
      <c r="C46" s="404"/>
      <c r="D46" s="404"/>
      <c r="E46" s="404"/>
      <c r="F46" s="404"/>
      <c r="G46" s="404"/>
      <c r="H46" s="404"/>
      <c r="I46" s="403"/>
      <c r="J46" s="404"/>
      <c r="K46" s="404"/>
      <c r="L46" s="404"/>
      <c r="M46" s="404"/>
      <c r="N46" s="411"/>
      <c r="O46" s="404"/>
      <c r="P46" s="404"/>
      <c r="Q46" s="412"/>
      <c r="R46" s="413" t="s">
        <v>380</v>
      </c>
      <c r="S46" s="809">
        <f>SUM(O20:R44)</f>
        <v>0</v>
      </c>
      <c r="T46" s="809"/>
      <c r="U46" s="809"/>
      <c r="V46" s="405"/>
    </row>
    <row r="47" spans="2:22" ht="15" customHeight="1">
      <c r="B47" s="401"/>
      <c r="C47" s="404"/>
      <c r="D47" s="404"/>
      <c r="E47" s="404"/>
      <c r="F47" s="404"/>
      <c r="G47" s="404"/>
      <c r="H47" s="404"/>
      <c r="I47" s="404"/>
      <c r="J47" s="404"/>
      <c r="K47" s="404"/>
      <c r="L47" s="404"/>
      <c r="M47" s="404"/>
      <c r="N47" s="404"/>
      <c r="O47" s="404"/>
      <c r="P47" s="404"/>
      <c r="Q47" s="404"/>
      <c r="R47" s="404"/>
      <c r="S47" s="404"/>
      <c r="T47" s="404"/>
      <c r="U47" s="404"/>
      <c r="V47" s="405"/>
    </row>
    <row r="48" spans="2:22" ht="37.5">
      <c r="B48" s="401"/>
      <c r="C48" s="402" t="s">
        <v>381</v>
      </c>
      <c r="D48" s="403"/>
      <c r="E48" s="403"/>
      <c r="F48" s="403"/>
      <c r="G48" s="403"/>
      <c r="H48" s="403"/>
      <c r="I48" s="403"/>
      <c r="J48" s="404"/>
      <c r="K48" s="404"/>
      <c r="L48" s="404"/>
      <c r="M48" s="404"/>
      <c r="N48" s="404"/>
      <c r="O48" s="404"/>
      <c r="P48" s="404"/>
      <c r="Q48" s="404"/>
      <c r="R48" s="404"/>
      <c r="S48" s="404"/>
      <c r="T48" s="404"/>
      <c r="U48" s="404"/>
      <c r="V48" s="405"/>
    </row>
    <row r="49" spans="2:22" ht="26.25" customHeight="1">
      <c r="B49" s="401"/>
      <c r="C49" s="403"/>
      <c r="D49" s="403"/>
      <c r="E49" s="403"/>
      <c r="F49" s="403"/>
      <c r="G49" s="403"/>
      <c r="H49" s="403"/>
      <c r="I49" s="403"/>
      <c r="J49" s="404"/>
      <c r="K49" s="404"/>
      <c r="L49" s="404"/>
      <c r="M49" s="404"/>
      <c r="N49" s="404"/>
      <c r="O49" s="404"/>
      <c r="P49" s="404"/>
      <c r="Q49" s="404"/>
      <c r="R49" s="404"/>
      <c r="S49" s="404"/>
      <c r="T49" s="404"/>
      <c r="U49" s="404"/>
      <c r="V49" s="405"/>
    </row>
    <row r="50" spans="2:22" ht="37.5">
      <c r="B50" s="401"/>
      <c r="C50" s="412"/>
      <c r="D50" s="403" t="s">
        <v>382</v>
      </c>
      <c r="E50" s="403"/>
      <c r="F50" s="403"/>
      <c r="G50" s="403"/>
      <c r="H50" s="403"/>
      <c r="I50" s="403"/>
      <c r="J50" s="404"/>
      <c r="K50" s="404"/>
      <c r="L50" s="404"/>
      <c r="M50" s="404"/>
      <c r="N50" s="404"/>
      <c r="O50" s="404"/>
      <c r="P50" s="404"/>
      <c r="Q50" s="404"/>
      <c r="R50" s="404"/>
      <c r="S50" s="404"/>
      <c r="T50" s="404"/>
      <c r="U50" s="404"/>
      <c r="V50" s="405"/>
    </row>
    <row r="51" spans="2:22" ht="18" customHeight="1">
      <c r="B51" s="401"/>
      <c r="C51" s="403"/>
      <c r="D51" s="403"/>
      <c r="E51" s="403"/>
      <c r="F51" s="403"/>
      <c r="G51" s="403"/>
      <c r="H51" s="403"/>
      <c r="I51" s="403"/>
      <c r="J51" s="404"/>
      <c r="K51" s="404"/>
      <c r="L51" s="404"/>
      <c r="M51" s="404"/>
      <c r="N51" s="404"/>
      <c r="O51" s="404"/>
      <c r="P51" s="404"/>
      <c r="Q51" s="404"/>
      <c r="R51" s="404"/>
      <c r="S51" s="404"/>
      <c r="T51" s="404"/>
      <c r="U51" s="404"/>
      <c r="V51" s="405"/>
    </row>
    <row r="52" spans="2:22" ht="51.75" customHeight="1">
      <c r="B52" s="401"/>
      <c r="C52" s="403"/>
      <c r="D52" s="812" t="s">
        <v>383</v>
      </c>
      <c r="E52" s="812"/>
      <c r="F52" s="812"/>
      <c r="G52" s="812"/>
      <c r="H52" s="812"/>
      <c r="I52" s="812"/>
      <c r="J52" s="404"/>
      <c r="K52" s="22"/>
      <c r="L52" s="810" t="s">
        <v>384</v>
      </c>
      <c r="M52" s="810"/>
      <c r="N52" s="810"/>
      <c r="O52" s="809"/>
      <c r="P52" s="809"/>
      <c r="Q52" s="809"/>
      <c r="R52" s="809"/>
      <c r="S52" s="404"/>
      <c r="T52" s="404"/>
      <c r="U52" s="404"/>
      <c r="V52" s="405"/>
    </row>
    <row r="53" spans="2:22" ht="51.75" customHeight="1">
      <c r="B53" s="401"/>
      <c r="C53" s="403"/>
      <c r="D53" s="812" t="s">
        <v>385</v>
      </c>
      <c r="E53" s="812"/>
      <c r="F53" s="812"/>
      <c r="G53" s="812"/>
      <c r="H53" s="812"/>
      <c r="I53" s="812"/>
      <c r="J53" s="406"/>
      <c r="K53" s="22"/>
      <c r="L53" s="810" t="s">
        <v>384</v>
      </c>
      <c r="M53" s="810"/>
      <c r="N53" s="810"/>
      <c r="O53" s="809"/>
      <c r="P53" s="809"/>
      <c r="Q53" s="809"/>
      <c r="R53" s="809"/>
      <c r="S53" s="404"/>
      <c r="T53" s="404"/>
      <c r="U53" s="404"/>
      <c r="V53" s="405"/>
    </row>
    <row r="54" spans="2:22" ht="51.75" customHeight="1">
      <c r="B54" s="401"/>
      <c r="C54" s="403"/>
      <c r="D54" s="812" t="s">
        <v>386</v>
      </c>
      <c r="E54" s="812"/>
      <c r="F54" s="812"/>
      <c r="G54" s="812"/>
      <c r="H54" s="812"/>
      <c r="I54" s="812"/>
      <c r="J54" s="406"/>
      <c r="K54" s="22"/>
      <c r="L54" s="810" t="s">
        <v>384</v>
      </c>
      <c r="M54" s="810"/>
      <c r="N54" s="810"/>
      <c r="O54" s="809"/>
      <c r="P54" s="809"/>
      <c r="Q54" s="809"/>
      <c r="R54" s="809"/>
      <c r="S54" s="404"/>
      <c r="T54" s="404"/>
      <c r="U54" s="404"/>
      <c r="V54" s="405"/>
    </row>
    <row r="55" spans="2:22" ht="51.75" customHeight="1">
      <c r="B55" s="401"/>
      <c r="C55" s="403"/>
      <c r="D55" s="812" t="s">
        <v>387</v>
      </c>
      <c r="E55" s="812"/>
      <c r="F55" s="812"/>
      <c r="G55" s="812"/>
      <c r="H55" s="812"/>
      <c r="I55" s="812"/>
      <c r="J55" s="406"/>
      <c r="K55" s="22"/>
      <c r="L55" s="810" t="s">
        <v>384</v>
      </c>
      <c r="M55" s="810"/>
      <c r="N55" s="810"/>
      <c r="O55" s="809"/>
      <c r="P55" s="809"/>
      <c r="Q55" s="809"/>
      <c r="R55" s="809"/>
      <c r="S55" s="404"/>
      <c r="T55" s="404"/>
      <c r="U55" s="404"/>
      <c r="V55" s="405"/>
    </row>
    <row r="56" spans="2:22" ht="51.75" customHeight="1">
      <c r="B56" s="401"/>
      <c r="C56" s="403"/>
      <c r="D56" s="812" t="s">
        <v>388</v>
      </c>
      <c r="E56" s="812"/>
      <c r="F56" s="812"/>
      <c r="G56" s="812"/>
      <c r="H56" s="812"/>
      <c r="I56" s="812"/>
      <c r="J56" s="406"/>
      <c r="K56" s="23"/>
      <c r="L56" s="810" t="s">
        <v>384</v>
      </c>
      <c r="M56" s="810"/>
      <c r="N56" s="810"/>
      <c r="O56" s="809"/>
      <c r="P56" s="809"/>
      <c r="Q56" s="809"/>
      <c r="R56" s="809"/>
      <c r="S56" s="404"/>
      <c r="T56" s="404"/>
      <c r="U56" s="404"/>
      <c r="V56" s="405"/>
    </row>
    <row r="57" spans="2:22" ht="51.75" customHeight="1">
      <c r="B57" s="401"/>
      <c r="C57" s="403"/>
      <c r="D57" s="410"/>
      <c r="E57" s="410"/>
      <c r="F57" s="410"/>
      <c r="G57" s="410"/>
      <c r="H57" s="410"/>
      <c r="I57" s="412"/>
      <c r="J57" s="406"/>
      <c r="K57" s="403"/>
      <c r="L57" s="404"/>
      <c r="M57" s="406"/>
      <c r="N57" s="411" t="s">
        <v>389</v>
      </c>
      <c r="O57" s="809">
        <f>SUM(O52:R56)</f>
        <v>0</v>
      </c>
      <c r="P57" s="809"/>
      <c r="Q57" s="809"/>
      <c r="R57" s="809"/>
      <c r="S57" s="404"/>
      <c r="T57" s="404"/>
      <c r="U57" s="404"/>
      <c r="V57" s="405"/>
    </row>
    <row r="58" spans="2:22" ht="51.75" customHeight="1">
      <c r="B58" s="401"/>
      <c r="C58" s="403"/>
      <c r="D58" s="410"/>
      <c r="E58" s="410"/>
      <c r="F58" s="410"/>
      <c r="G58" s="410"/>
      <c r="H58" s="410"/>
      <c r="I58" s="410"/>
      <c r="J58" s="406"/>
      <c r="K58" s="403"/>
      <c r="L58" s="404"/>
      <c r="M58" s="406"/>
      <c r="N58" s="406"/>
      <c r="O58" s="414"/>
      <c r="P58" s="415"/>
      <c r="Q58" s="415"/>
      <c r="R58" s="415"/>
      <c r="S58" s="404"/>
      <c r="T58" s="404"/>
      <c r="U58" s="404"/>
      <c r="V58" s="405"/>
    </row>
    <row r="59" spans="2:22" ht="51.75" customHeight="1">
      <c r="B59" s="401"/>
      <c r="C59" s="403"/>
      <c r="D59" s="811" t="s">
        <v>390</v>
      </c>
      <c r="E59" s="811"/>
      <c r="F59" s="811"/>
      <c r="G59" s="811"/>
      <c r="H59" s="811"/>
      <c r="I59" s="811"/>
      <c r="J59" s="406"/>
      <c r="K59" s="22">
        <v>0.15</v>
      </c>
      <c r="L59" s="810" t="s">
        <v>384</v>
      </c>
      <c r="M59" s="810"/>
      <c r="N59" s="810"/>
      <c r="O59" s="809"/>
      <c r="P59" s="809"/>
      <c r="Q59" s="809"/>
      <c r="R59" s="809"/>
      <c r="S59" s="404"/>
      <c r="T59" s="404"/>
      <c r="U59" s="404"/>
      <c r="V59" s="405"/>
    </row>
    <row r="60" spans="2:22" ht="51.75" customHeight="1">
      <c r="B60" s="401"/>
      <c r="C60" s="403"/>
      <c r="D60" s="811" t="s">
        <v>391</v>
      </c>
      <c r="E60" s="811"/>
      <c r="F60" s="811"/>
      <c r="G60" s="811"/>
      <c r="H60" s="811"/>
      <c r="I60" s="811"/>
      <c r="J60" s="811"/>
      <c r="K60" s="811"/>
      <c r="L60" s="811"/>
      <c r="M60" s="811"/>
      <c r="N60" s="406"/>
      <c r="O60" s="809"/>
      <c r="P60" s="809"/>
      <c r="Q60" s="809"/>
      <c r="R60" s="809"/>
      <c r="S60" s="404"/>
      <c r="T60" s="404"/>
      <c r="U60" s="404"/>
      <c r="V60" s="405"/>
    </row>
    <row r="61" spans="2:22" ht="51.75" customHeight="1">
      <c r="B61" s="401"/>
      <c r="C61" s="403"/>
      <c r="D61" s="811" t="s">
        <v>392</v>
      </c>
      <c r="E61" s="811"/>
      <c r="F61" s="811"/>
      <c r="G61" s="811"/>
      <c r="H61" s="811"/>
      <c r="I61" s="811"/>
      <c r="J61" s="811"/>
      <c r="K61" s="811"/>
      <c r="L61" s="811"/>
      <c r="M61" s="811"/>
      <c r="N61" s="406"/>
      <c r="O61" s="809"/>
      <c r="P61" s="809"/>
      <c r="Q61" s="809"/>
      <c r="R61" s="809"/>
      <c r="S61" s="404"/>
      <c r="T61" s="404"/>
      <c r="U61" s="404"/>
      <c r="V61" s="405"/>
    </row>
    <row r="62" spans="2:22" ht="51.75" customHeight="1">
      <c r="B62" s="401"/>
      <c r="C62" s="403"/>
      <c r="D62" s="811" t="s">
        <v>393</v>
      </c>
      <c r="E62" s="811"/>
      <c r="F62" s="811"/>
      <c r="G62" s="811"/>
      <c r="H62" s="811"/>
      <c r="I62" s="811"/>
      <c r="J62" s="811"/>
      <c r="K62" s="811"/>
      <c r="L62" s="811"/>
      <c r="M62" s="811"/>
      <c r="N62" s="404"/>
      <c r="O62" s="809"/>
      <c r="P62" s="809"/>
      <c r="Q62" s="809"/>
      <c r="R62" s="809"/>
      <c r="S62" s="404"/>
      <c r="T62" s="404"/>
      <c r="U62" s="404"/>
      <c r="V62" s="405"/>
    </row>
    <row r="63" spans="2:22" ht="22.5" customHeight="1">
      <c r="B63" s="401"/>
      <c r="C63" s="403"/>
      <c r="D63" s="403"/>
      <c r="E63" s="403"/>
      <c r="F63" s="403"/>
      <c r="G63" s="403"/>
      <c r="H63" s="403"/>
      <c r="I63" s="403"/>
      <c r="J63" s="404"/>
      <c r="K63" s="404"/>
      <c r="L63" s="404"/>
      <c r="M63" s="404"/>
      <c r="N63" s="404"/>
      <c r="O63" s="404"/>
      <c r="P63" s="404"/>
      <c r="Q63" s="404"/>
      <c r="R63" s="404"/>
      <c r="S63" s="404"/>
      <c r="T63" s="404"/>
      <c r="U63" s="404"/>
      <c r="V63" s="405"/>
    </row>
    <row r="64" spans="2:22" ht="47.25" customHeight="1">
      <c r="B64" s="401"/>
      <c r="C64" s="403"/>
      <c r="D64" s="403"/>
      <c r="E64" s="403"/>
      <c r="F64" s="403"/>
      <c r="G64" s="403"/>
      <c r="H64" s="403"/>
      <c r="I64" s="403"/>
      <c r="J64" s="404"/>
      <c r="K64" s="404"/>
      <c r="L64" s="404"/>
      <c r="M64" s="404"/>
      <c r="N64" s="404"/>
      <c r="O64" s="404"/>
      <c r="P64" s="404"/>
      <c r="Q64" s="413"/>
      <c r="R64" s="413" t="s">
        <v>394</v>
      </c>
      <c r="S64" s="809">
        <f>SUM(O52:R56,O59:R62)</f>
        <v>0</v>
      </c>
      <c r="T64" s="809"/>
      <c r="U64" s="809"/>
      <c r="V64" s="405"/>
    </row>
    <row r="65" spans="2:22">
      <c r="B65" s="401"/>
      <c r="C65" s="404"/>
      <c r="D65" s="404"/>
      <c r="E65" s="404"/>
      <c r="F65" s="404"/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4"/>
      <c r="R65" s="404"/>
      <c r="S65" s="415"/>
      <c r="T65" s="415"/>
      <c r="U65" s="415"/>
      <c r="V65" s="405"/>
    </row>
    <row r="66" spans="2:22" ht="44.25" customHeight="1">
      <c r="B66" s="401"/>
      <c r="C66" s="404"/>
      <c r="D66" s="404"/>
      <c r="E66" s="404"/>
      <c r="F66" s="404"/>
      <c r="G66" s="404"/>
      <c r="H66" s="404"/>
      <c r="I66" s="404"/>
      <c r="J66" s="404"/>
      <c r="K66" s="404"/>
      <c r="L66" s="404"/>
      <c r="M66" s="404"/>
      <c r="N66" s="404"/>
      <c r="O66" s="404"/>
      <c r="P66" s="404"/>
      <c r="Q66" s="413"/>
      <c r="R66" s="413" t="s">
        <v>395</v>
      </c>
      <c r="S66" s="809">
        <f>S46-S64</f>
        <v>0</v>
      </c>
      <c r="T66" s="809"/>
      <c r="U66" s="809"/>
      <c r="V66" s="405"/>
    </row>
    <row r="67" spans="2:22">
      <c r="B67" s="401"/>
      <c r="C67" s="404"/>
      <c r="D67" s="404"/>
      <c r="E67" s="404"/>
      <c r="F67" s="404"/>
      <c r="G67" s="404"/>
      <c r="H67" s="404"/>
      <c r="I67" s="404"/>
      <c r="J67" s="404"/>
      <c r="K67" s="404"/>
      <c r="L67" s="404"/>
      <c r="M67" s="404"/>
      <c r="N67" s="404"/>
      <c r="O67" s="404"/>
      <c r="P67" s="404"/>
      <c r="Q67" s="404"/>
      <c r="R67" s="404"/>
      <c r="S67" s="404"/>
      <c r="T67" s="404"/>
      <c r="U67" s="404"/>
      <c r="V67" s="405"/>
    </row>
    <row r="68" spans="2:22">
      <c r="B68" s="401"/>
      <c r="C68" s="404"/>
      <c r="D68" s="404"/>
      <c r="E68" s="404"/>
      <c r="F68" s="404"/>
      <c r="G68" s="404"/>
      <c r="H68" s="404"/>
      <c r="I68" s="404"/>
      <c r="J68" s="404"/>
      <c r="K68" s="404"/>
      <c r="L68" s="404"/>
      <c r="M68" s="404"/>
      <c r="N68" s="404"/>
      <c r="O68" s="404"/>
      <c r="P68" s="404"/>
      <c r="Q68" s="404"/>
      <c r="R68" s="404"/>
      <c r="S68" s="404"/>
      <c r="T68" s="404"/>
      <c r="U68" s="404"/>
      <c r="V68" s="405"/>
    </row>
    <row r="69" spans="2:22" ht="37.5">
      <c r="B69" s="401"/>
      <c r="C69" s="404"/>
      <c r="D69" s="810" t="s">
        <v>396</v>
      </c>
      <c r="E69" s="810"/>
      <c r="F69" s="810"/>
      <c r="G69" s="810"/>
      <c r="H69" s="810"/>
      <c r="I69" s="810"/>
      <c r="J69" s="403"/>
      <c r="K69" s="403"/>
      <c r="L69" s="403"/>
      <c r="M69" s="810" t="s">
        <v>397</v>
      </c>
      <c r="N69" s="810"/>
      <c r="O69" s="810"/>
      <c r="P69" s="810"/>
      <c r="Q69" s="810"/>
      <c r="R69" s="810"/>
      <c r="S69" s="810"/>
      <c r="T69" s="404"/>
      <c r="U69" s="404"/>
      <c r="V69" s="405"/>
    </row>
    <row r="70" spans="2:22" ht="57.75" customHeight="1">
      <c r="B70" s="401"/>
      <c r="C70" s="404"/>
      <c r="D70" s="404"/>
      <c r="E70" s="404"/>
      <c r="F70" s="404"/>
      <c r="G70" s="404"/>
      <c r="H70" s="404"/>
      <c r="I70" s="404"/>
      <c r="J70" s="404"/>
      <c r="K70" s="404"/>
      <c r="L70" s="404"/>
      <c r="M70" s="404"/>
      <c r="N70" s="404"/>
      <c r="O70" s="404"/>
      <c r="P70" s="404"/>
      <c r="Q70" s="404"/>
      <c r="R70" s="404"/>
      <c r="S70" s="404"/>
      <c r="T70" s="404"/>
      <c r="U70" s="404"/>
      <c r="V70" s="405"/>
    </row>
    <row r="71" spans="2:22" ht="26.25" thickBot="1">
      <c r="B71" s="416"/>
      <c r="C71" s="417"/>
      <c r="D71" s="417"/>
      <c r="E71" s="417"/>
      <c r="F71" s="417"/>
      <c r="G71" s="417"/>
      <c r="H71" s="417"/>
      <c r="I71" s="417"/>
      <c r="J71" s="417"/>
      <c r="K71" s="417"/>
      <c r="L71" s="417"/>
      <c r="M71" s="417"/>
      <c r="N71" s="417"/>
      <c r="O71" s="417"/>
      <c r="P71" s="417"/>
      <c r="Q71" s="417"/>
      <c r="R71" s="417"/>
      <c r="S71" s="417"/>
      <c r="T71" s="417"/>
      <c r="U71" s="417"/>
      <c r="V71" s="418"/>
    </row>
    <row r="72" spans="2:22" ht="26.25" thickBot="1"/>
    <row r="73" spans="2:22">
      <c r="B73" s="419"/>
      <c r="C73" s="420"/>
      <c r="D73" s="420"/>
      <c r="E73" s="420"/>
      <c r="F73" s="420"/>
      <c r="G73" s="420"/>
      <c r="H73" s="420"/>
      <c r="I73" s="420"/>
      <c r="J73" s="420"/>
      <c r="K73" s="420"/>
      <c r="L73" s="420"/>
      <c r="M73" s="420"/>
      <c r="N73" s="420"/>
      <c r="O73" s="420"/>
      <c r="P73" s="420"/>
      <c r="Q73" s="420"/>
      <c r="R73" s="420"/>
      <c r="S73" s="420"/>
      <c r="T73" s="420"/>
      <c r="U73" s="420"/>
      <c r="V73" s="421"/>
    </row>
    <row r="74" spans="2:22" ht="81" customHeight="1">
      <c r="B74" s="422"/>
      <c r="C74" s="807" t="s">
        <v>398</v>
      </c>
      <c r="D74" s="807"/>
      <c r="E74" s="807"/>
      <c r="F74" s="807"/>
      <c r="G74" s="807"/>
      <c r="H74" s="807"/>
      <c r="I74" s="807"/>
      <c r="J74" s="807"/>
      <c r="K74" s="807"/>
      <c r="L74" s="807"/>
      <c r="M74" s="807"/>
      <c r="N74" s="807"/>
      <c r="O74" s="807"/>
      <c r="P74" s="807"/>
      <c r="Q74" s="807"/>
      <c r="R74" s="807"/>
      <c r="S74" s="807"/>
      <c r="T74" s="807"/>
      <c r="U74" s="807"/>
      <c r="V74" s="423"/>
    </row>
    <row r="75" spans="2:22">
      <c r="B75" s="422"/>
      <c r="C75" s="424"/>
      <c r="D75" s="424"/>
      <c r="E75" s="424"/>
      <c r="F75" s="424"/>
      <c r="G75" s="424"/>
      <c r="H75" s="424"/>
      <c r="I75" s="424"/>
      <c r="J75" s="424"/>
      <c r="K75" s="424"/>
      <c r="L75" s="424"/>
      <c r="M75" s="424"/>
      <c r="N75" s="424"/>
      <c r="O75" s="424"/>
      <c r="P75" s="424"/>
      <c r="Q75" s="424"/>
      <c r="R75" s="424"/>
      <c r="S75" s="424"/>
      <c r="T75" s="424"/>
      <c r="U75" s="424"/>
      <c r="V75" s="423"/>
    </row>
    <row r="76" spans="2:22" ht="37.5">
      <c r="B76" s="422"/>
      <c r="C76" s="424"/>
      <c r="D76" s="425" t="s">
        <v>399</v>
      </c>
      <c r="E76" s="425"/>
      <c r="F76" s="425"/>
      <c r="G76" s="425"/>
      <c r="H76" s="425"/>
      <c r="I76" s="425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423"/>
    </row>
    <row r="77" spans="2:22" ht="53.25" customHeight="1">
      <c r="B77" s="422"/>
      <c r="C77" s="424"/>
      <c r="D77" s="425"/>
      <c r="E77" s="805" t="s">
        <v>400</v>
      </c>
      <c r="F77" s="805"/>
      <c r="G77" s="805"/>
      <c r="H77" s="805"/>
      <c r="I77" s="805"/>
      <c r="J77" s="805"/>
      <c r="K77" s="805"/>
      <c r="L77" s="805"/>
      <c r="M77" s="805"/>
      <c r="N77" s="805"/>
      <c r="O77" s="806"/>
      <c r="P77" s="806"/>
      <c r="Q77" s="806"/>
      <c r="R77" s="806"/>
      <c r="S77" s="424"/>
      <c r="T77" s="424"/>
      <c r="U77" s="424"/>
      <c r="V77" s="423"/>
    </row>
    <row r="78" spans="2:22" ht="53.25" customHeight="1">
      <c r="B78" s="422"/>
      <c r="C78" s="424"/>
      <c r="D78" s="425"/>
      <c r="E78" s="805" t="s">
        <v>401</v>
      </c>
      <c r="F78" s="805"/>
      <c r="G78" s="805"/>
      <c r="H78" s="805"/>
      <c r="I78" s="805"/>
      <c r="J78" s="805"/>
      <c r="K78" s="805"/>
      <c r="L78" s="805"/>
      <c r="M78" s="805"/>
      <c r="N78" s="805"/>
      <c r="O78" s="806"/>
      <c r="P78" s="806"/>
      <c r="Q78" s="806"/>
      <c r="R78" s="806"/>
      <c r="S78" s="424"/>
      <c r="T78" s="424"/>
      <c r="U78" s="424"/>
      <c r="V78" s="423"/>
    </row>
    <row r="79" spans="2:22" ht="53.25" customHeight="1">
      <c r="B79" s="422"/>
      <c r="C79" s="424"/>
      <c r="D79" s="425"/>
      <c r="E79" s="425"/>
      <c r="F79" s="425"/>
      <c r="G79" s="425"/>
      <c r="H79" s="425"/>
      <c r="I79" s="426"/>
      <c r="J79" s="424"/>
      <c r="K79" s="424"/>
      <c r="L79" s="424"/>
      <c r="M79" s="424"/>
      <c r="N79" s="427" t="s">
        <v>402</v>
      </c>
      <c r="O79" s="806">
        <f>SUM(O77:R78)</f>
        <v>0</v>
      </c>
      <c r="P79" s="806"/>
      <c r="Q79" s="806"/>
      <c r="R79" s="806"/>
      <c r="S79" s="424"/>
      <c r="T79" s="424"/>
      <c r="U79" s="424"/>
      <c r="V79" s="423"/>
    </row>
    <row r="80" spans="2:22" ht="18" customHeight="1">
      <c r="B80" s="422"/>
      <c r="C80" s="424"/>
      <c r="D80" s="425"/>
      <c r="E80" s="425"/>
      <c r="F80" s="425"/>
      <c r="G80" s="425"/>
      <c r="H80" s="425"/>
      <c r="I80" s="425"/>
      <c r="J80" s="424"/>
      <c r="K80" s="424"/>
      <c r="L80" s="424"/>
      <c r="M80" s="424"/>
      <c r="N80" s="424"/>
      <c r="O80" s="428"/>
      <c r="P80" s="428"/>
      <c r="Q80" s="428"/>
      <c r="R80" s="428"/>
      <c r="S80" s="424"/>
      <c r="T80" s="424"/>
      <c r="U80" s="424"/>
      <c r="V80" s="423"/>
    </row>
    <row r="81" spans="2:22" ht="108.75" customHeight="1">
      <c r="B81" s="422"/>
      <c r="C81" s="424"/>
      <c r="D81" s="807" t="s">
        <v>403</v>
      </c>
      <c r="E81" s="807"/>
      <c r="F81" s="807"/>
      <c r="G81" s="807"/>
      <c r="H81" s="807"/>
      <c r="I81" s="807"/>
      <c r="J81" s="808" t="s">
        <v>404</v>
      </c>
      <c r="K81" s="808"/>
      <c r="L81" s="808"/>
      <c r="M81" s="808"/>
      <c r="N81" s="808"/>
      <c r="O81" s="806"/>
      <c r="P81" s="806"/>
      <c r="Q81" s="806"/>
      <c r="R81" s="806"/>
      <c r="S81" s="424"/>
      <c r="T81" s="424"/>
      <c r="U81" s="424"/>
      <c r="V81" s="423"/>
    </row>
    <row r="82" spans="2:22" ht="18.75" customHeight="1">
      <c r="B82" s="422"/>
      <c r="C82" s="424"/>
      <c r="D82" s="425"/>
      <c r="E82" s="425"/>
      <c r="F82" s="425"/>
      <c r="G82" s="425"/>
      <c r="H82" s="425"/>
      <c r="I82" s="425"/>
      <c r="J82" s="424"/>
      <c r="K82" s="424"/>
      <c r="L82" s="424"/>
      <c r="M82" s="424"/>
      <c r="N82" s="424"/>
      <c r="O82" s="428"/>
      <c r="P82" s="428"/>
      <c r="Q82" s="428"/>
      <c r="R82" s="428"/>
      <c r="S82" s="424"/>
      <c r="T82" s="424"/>
      <c r="U82" s="424"/>
      <c r="V82" s="423"/>
    </row>
    <row r="83" spans="2:22" ht="41.25" customHeight="1">
      <c r="B83" s="422"/>
      <c r="C83" s="424"/>
      <c r="D83" s="805" t="s">
        <v>405</v>
      </c>
      <c r="E83" s="805"/>
      <c r="F83" s="805"/>
      <c r="G83" s="805"/>
      <c r="H83" s="805"/>
      <c r="I83" s="805"/>
      <c r="J83" s="805"/>
      <c r="K83" s="805"/>
      <c r="L83" s="805"/>
      <c r="M83" s="805"/>
      <c r="N83" s="805"/>
      <c r="O83" s="806"/>
      <c r="P83" s="806"/>
      <c r="Q83" s="806"/>
      <c r="R83" s="806"/>
      <c r="S83" s="424"/>
      <c r="T83" s="424"/>
      <c r="U83" s="424"/>
      <c r="V83" s="423"/>
    </row>
    <row r="84" spans="2:22" ht="18.75" customHeight="1">
      <c r="B84" s="422"/>
      <c r="C84" s="424"/>
      <c r="D84" s="425"/>
      <c r="E84" s="425"/>
      <c r="F84" s="425"/>
      <c r="G84" s="425"/>
      <c r="H84" s="425"/>
      <c r="I84" s="425"/>
      <c r="J84" s="424"/>
      <c r="K84" s="424"/>
      <c r="L84" s="424"/>
      <c r="M84" s="424"/>
      <c r="N84" s="424"/>
      <c r="O84" s="428"/>
      <c r="P84" s="428"/>
      <c r="Q84" s="428"/>
      <c r="R84" s="428"/>
      <c r="S84" s="424"/>
      <c r="T84" s="424"/>
      <c r="U84" s="424"/>
      <c r="V84" s="423"/>
    </row>
    <row r="85" spans="2:22" ht="41.25" customHeight="1">
      <c r="B85" s="422"/>
      <c r="C85" s="424"/>
      <c r="D85" s="805" t="s">
        <v>406</v>
      </c>
      <c r="E85" s="805"/>
      <c r="F85" s="805"/>
      <c r="G85" s="805"/>
      <c r="H85" s="805"/>
      <c r="I85" s="805"/>
      <c r="J85" s="805"/>
      <c r="K85" s="805"/>
      <c r="L85" s="805"/>
      <c r="M85" s="805"/>
      <c r="N85" s="805"/>
      <c r="O85" s="806"/>
      <c r="P85" s="806"/>
      <c r="Q85" s="806"/>
      <c r="R85" s="806"/>
      <c r="S85" s="424"/>
      <c r="T85" s="424"/>
      <c r="U85" s="424"/>
      <c r="V85" s="423"/>
    </row>
    <row r="86" spans="2:22" ht="18.75" customHeight="1">
      <c r="B86" s="422"/>
      <c r="C86" s="424"/>
      <c r="D86" s="425"/>
      <c r="E86" s="425"/>
      <c r="F86" s="425"/>
      <c r="G86" s="425"/>
      <c r="H86" s="425"/>
      <c r="I86" s="425"/>
      <c r="J86" s="424"/>
      <c r="K86" s="424"/>
      <c r="L86" s="424"/>
      <c r="M86" s="424"/>
      <c r="N86" s="424"/>
      <c r="O86" s="428"/>
      <c r="P86" s="428"/>
      <c r="Q86" s="428"/>
      <c r="R86" s="428"/>
      <c r="S86" s="424"/>
      <c r="T86" s="424"/>
      <c r="U86" s="424"/>
      <c r="V86" s="423"/>
    </row>
    <row r="87" spans="2:22" ht="41.25" customHeight="1">
      <c r="B87" s="422"/>
      <c r="C87" s="424"/>
      <c r="D87" s="805" t="s">
        <v>407</v>
      </c>
      <c r="E87" s="805"/>
      <c r="F87" s="805"/>
      <c r="G87" s="805"/>
      <c r="H87" s="805"/>
      <c r="I87" s="805"/>
      <c r="J87" s="805"/>
      <c r="K87" s="805"/>
      <c r="L87" s="805"/>
      <c r="M87" s="805"/>
      <c r="N87" s="805"/>
      <c r="O87" s="806"/>
      <c r="P87" s="806"/>
      <c r="Q87" s="806"/>
      <c r="R87" s="806"/>
      <c r="S87" s="424"/>
      <c r="T87" s="424"/>
      <c r="U87" s="424"/>
      <c r="V87" s="423"/>
    </row>
    <row r="88" spans="2:22" ht="26.25" thickBot="1">
      <c r="B88" s="429"/>
      <c r="C88" s="430"/>
      <c r="D88" s="430"/>
      <c r="E88" s="430"/>
      <c r="F88" s="430"/>
      <c r="G88" s="430"/>
      <c r="H88" s="430"/>
      <c r="I88" s="430"/>
      <c r="J88" s="430"/>
      <c r="K88" s="430"/>
      <c r="L88" s="430"/>
      <c r="M88" s="430"/>
      <c r="N88" s="430"/>
      <c r="O88" s="430"/>
      <c r="P88" s="430"/>
      <c r="Q88" s="430"/>
      <c r="R88" s="430"/>
      <c r="S88" s="430"/>
      <c r="T88" s="430"/>
      <c r="U88" s="430"/>
      <c r="V88" s="431"/>
    </row>
    <row r="90" spans="2:22" ht="25.5" customHeight="1">
      <c r="B90" s="307"/>
      <c r="C90" s="307"/>
      <c r="D90" s="307"/>
      <c r="E90" s="307"/>
      <c r="F90" s="307"/>
      <c r="G90" s="307"/>
      <c r="H90" s="307"/>
      <c r="I90" s="307"/>
      <c r="J90" s="307"/>
      <c r="K90" s="307"/>
      <c r="L90" s="802"/>
      <c r="M90" s="802"/>
      <c r="N90" s="802"/>
      <c r="O90" s="802"/>
      <c r="P90" s="307"/>
      <c r="Q90" s="307"/>
      <c r="R90" s="803"/>
      <c r="S90" s="804"/>
      <c r="T90" s="804"/>
      <c r="U90" s="307"/>
      <c r="V90" s="307"/>
    </row>
    <row r="91" spans="2:22" ht="25.5" customHeight="1">
      <c r="L91" s="802"/>
      <c r="M91" s="802"/>
      <c r="N91" s="802"/>
      <c r="O91" s="802"/>
      <c r="R91" s="804"/>
      <c r="S91" s="804"/>
      <c r="T91" s="804"/>
    </row>
    <row r="92" spans="2:22" ht="25.5" customHeight="1">
      <c r="L92" s="802"/>
      <c r="M92" s="802"/>
      <c r="N92" s="802"/>
      <c r="O92" s="802"/>
      <c r="R92" s="804"/>
      <c r="S92" s="804"/>
      <c r="T92" s="804"/>
    </row>
    <row r="93" spans="2:22" ht="61.5">
      <c r="F93" s="432"/>
      <c r="G93" s="433"/>
      <c r="H93" s="434"/>
      <c r="J93" s="435"/>
      <c r="K93" s="435"/>
      <c r="N93" s="435"/>
      <c r="O93" s="367"/>
      <c r="P93" s="367"/>
    </row>
    <row r="94" spans="2:22" ht="45">
      <c r="G94" s="436"/>
      <c r="H94" s="437"/>
      <c r="I94" s="438"/>
      <c r="J94" s="439"/>
      <c r="K94" s="439"/>
      <c r="L94" s="439"/>
      <c r="M94" s="440"/>
      <c r="N94" s="440"/>
      <c r="P94" s="366"/>
    </row>
    <row r="96" spans="2:22">
      <c r="I96" s="14"/>
      <c r="J96" s="14"/>
      <c r="K96" s="14"/>
    </row>
    <row r="97" spans="9:11">
      <c r="I97" s="14"/>
      <c r="J97" s="441"/>
      <c r="K97" s="14"/>
    </row>
    <row r="98" spans="9:11">
      <c r="I98" s="442"/>
      <c r="J98" s="443"/>
      <c r="K98" s="442"/>
    </row>
    <row r="99" spans="9:11">
      <c r="I99" s="442"/>
      <c r="J99" s="442"/>
      <c r="K99" s="442"/>
    </row>
  </sheetData>
  <sheetProtection algorithmName="SHA-512" hashValue="XPyI/v5PynEkw6gUgfQsAIVPiEfvepNNFwcQ1nzIhEj3H/GMWZVSLlgNvlWz+9fEr37hcBj8z1HSfb27wbPGCQ==" saltValue="roN2hJO0hpbyLqbuodRccA==" spinCount="100000" sheet="1" formatCells="0" formatColumns="0" formatRows="0" insertColumns="0" insertRows="0" insertHyperlinks="0" deleteColumns="0" deleteRows="0" selectLockedCells="1" sort="0" autoFilter="0" pivotTables="0"/>
  <mergeCells count="105">
    <mergeCell ref="Z3:AH4"/>
    <mergeCell ref="C4:J4"/>
    <mergeCell ref="L4:U4"/>
    <mergeCell ref="C6:J6"/>
    <mergeCell ref="L6:O6"/>
    <mergeCell ref="Q6:U6"/>
    <mergeCell ref="W3:X3"/>
    <mergeCell ref="W4:X4"/>
    <mergeCell ref="W5:X5"/>
    <mergeCell ref="W6:X6"/>
    <mergeCell ref="D21:I21"/>
    <mergeCell ref="D22:G22"/>
    <mergeCell ref="I22:M22"/>
    <mergeCell ref="O22:R22"/>
    <mergeCell ref="D23:G23"/>
    <mergeCell ref="I23:M23"/>
    <mergeCell ref="O23:R23"/>
    <mergeCell ref="C8:E8"/>
    <mergeCell ref="G8:J8"/>
    <mergeCell ref="L8:Q8"/>
    <mergeCell ref="K12:P12"/>
    <mergeCell ref="D20:M20"/>
    <mergeCell ref="O20:R20"/>
    <mergeCell ref="D32:M32"/>
    <mergeCell ref="O32:R32"/>
    <mergeCell ref="D36:I36"/>
    <mergeCell ref="D37:G37"/>
    <mergeCell ref="I37:M37"/>
    <mergeCell ref="O37:R37"/>
    <mergeCell ref="D30:M30"/>
    <mergeCell ref="O30:R30"/>
    <mergeCell ref="D24:G24"/>
    <mergeCell ref="I24:M24"/>
    <mergeCell ref="O24:R24"/>
    <mergeCell ref="D25:G25"/>
    <mergeCell ref="I25:M25"/>
    <mergeCell ref="O25:R25"/>
    <mergeCell ref="D26:G26"/>
    <mergeCell ref="I26:M26"/>
    <mergeCell ref="O26:R26"/>
    <mergeCell ref="D28:M28"/>
    <mergeCell ref="O28:R28"/>
    <mergeCell ref="D44:G44"/>
    <mergeCell ref="I44:M44"/>
    <mergeCell ref="O44:R44"/>
    <mergeCell ref="D38:G38"/>
    <mergeCell ref="I38:M38"/>
    <mergeCell ref="O38:R38"/>
    <mergeCell ref="D39:K39"/>
    <mergeCell ref="D40:G40"/>
    <mergeCell ref="I40:M40"/>
    <mergeCell ref="O40:R40"/>
    <mergeCell ref="D41:K41"/>
    <mergeCell ref="D42:G42"/>
    <mergeCell ref="I42:M42"/>
    <mergeCell ref="O42:R42"/>
    <mergeCell ref="D43:I43"/>
    <mergeCell ref="D54:I54"/>
    <mergeCell ref="L54:N54"/>
    <mergeCell ref="O54:R54"/>
    <mergeCell ref="D55:I55"/>
    <mergeCell ref="L55:N55"/>
    <mergeCell ref="O55:R55"/>
    <mergeCell ref="S46:U46"/>
    <mergeCell ref="D52:I52"/>
    <mergeCell ref="L52:N52"/>
    <mergeCell ref="O52:R52"/>
    <mergeCell ref="D53:I53"/>
    <mergeCell ref="L53:N53"/>
    <mergeCell ref="O53:R53"/>
    <mergeCell ref="D61:M61"/>
    <mergeCell ref="O61:R61"/>
    <mergeCell ref="D62:M62"/>
    <mergeCell ref="O62:R62"/>
    <mergeCell ref="D56:I56"/>
    <mergeCell ref="L56:N56"/>
    <mergeCell ref="O56:R56"/>
    <mergeCell ref="O57:R57"/>
    <mergeCell ref="D59:I59"/>
    <mergeCell ref="L59:N59"/>
    <mergeCell ref="O59:R59"/>
    <mergeCell ref="B2:V2"/>
    <mergeCell ref="L90:O92"/>
    <mergeCell ref="R90:T92"/>
    <mergeCell ref="D83:N83"/>
    <mergeCell ref="O83:R83"/>
    <mergeCell ref="D85:N85"/>
    <mergeCell ref="O85:R85"/>
    <mergeCell ref="D87:N87"/>
    <mergeCell ref="O87:R87"/>
    <mergeCell ref="E78:N78"/>
    <mergeCell ref="O78:R78"/>
    <mergeCell ref="O79:R79"/>
    <mergeCell ref="D81:I81"/>
    <mergeCell ref="J81:N81"/>
    <mergeCell ref="O81:R81"/>
    <mergeCell ref="S64:U64"/>
    <mergeCell ref="S66:U66"/>
    <mergeCell ref="D69:I69"/>
    <mergeCell ref="M69:S69"/>
    <mergeCell ref="C74:U74"/>
    <mergeCell ref="E77:N77"/>
    <mergeCell ref="O77:R77"/>
    <mergeCell ref="D60:M60"/>
    <mergeCell ref="O60:R60"/>
  </mergeCells>
  <printOptions horizontalCentered="1"/>
  <pageMargins left="0.19685039370078741" right="0.19685039370078741" top="0.19685039370078741" bottom="0.19685039370078741" header="0" footer="0"/>
  <pageSetup paperSize="9" scale="22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CC0099"/>
    <outlinePr summaryRight="0"/>
  </sheetPr>
  <dimension ref="A1:AP201"/>
  <sheetViews>
    <sheetView zoomScale="70" zoomScaleNormal="70" workbookViewId="0">
      <selection activeCell="L7" sqref="L7"/>
    </sheetView>
  </sheetViews>
  <sheetFormatPr baseColWidth="10" defaultRowHeight="16.5"/>
  <cols>
    <col min="1" max="1" width="28.875" style="25" customWidth="1"/>
    <col min="2" max="2" width="18.875" style="25" customWidth="1"/>
    <col min="3" max="3" width="22.5" style="25" customWidth="1"/>
    <col min="4" max="4" width="15.5" style="25" customWidth="1"/>
    <col min="5" max="5" width="28.625" style="25" customWidth="1"/>
    <col min="6" max="12" width="15.125" style="25" customWidth="1"/>
    <col min="13" max="13" width="39.375" style="25" customWidth="1"/>
    <col min="14" max="14" width="19.875" style="25" customWidth="1"/>
    <col min="15" max="15" width="19.625" style="25" customWidth="1"/>
    <col min="16" max="16" width="15.375" style="25" customWidth="1"/>
    <col min="17" max="17" width="17.625" style="25" customWidth="1"/>
    <col min="18" max="18" width="20.125" style="25" customWidth="1"/>
    <col min="19" max="19" width="19.625" style="25" customWidth="1"/>
    <col min="20" max="20" width="15.375" style="25" customWidth="1"/>
    <col min="21" max="21" width="17.625" style="25" customWidth="1"/>
    <col min="22" max="22" width="16.75" style="25" bestFit="1" customWidth="1"/>
    <col min="23" max="23" width="19.625" style="25" customWidth="1"/>
    <col min="24" max="24" width="15.375" style="25" customWidth="1"/>
    <col min="25" max="25" width="17.625" style="25" customWidth="1"/>
    <col min="26" max="26" width="16.75" style="25" customWidth="1"/>
    <col min="27" max="27" width="19.625" style="25" bestFit="1" customWidth="1"/>
    <col min="28" max="28" width="15.375" style="25" bestFit="1" customWidth="1"/>
    <col min="29" max="29" width="17.625" style="25" customWidth="1"/>
    <col min="30" max="30" width="21.625" style="25" customWidth="1"/>
    <col min="31" max="31" width="24.625" style="25" bestFit="1" customWidth="1"/>
    <col min="32" max="32" width="20.25" style="25" bestFit="1" customWidth="1"/>
    <col min="33" max="33" width="22.5" style="25" bestFit="1" customWidth="1"/>
    <col min="34" max="16384" width="11" style="25"/>
  </cols>
  <sheetData>
    <row r="1" spans="1:42" ht="33">
      <c r="A1" s="24" t="s">
        <v>224</v>
      </c>
      <c r="B1" s="67" t="s">
        <v>897</v>
      </c>
      <c r="C1" s="67" t="s">
        <v>897</v>
      </c>
      <c r="D1" s="67" t="s">
        <v>897</v>
      </c>
      <c r="E1" s="67" t="s">
        <v>897</v>
      </c>
      <c r="F1" s="67" t="s">
        <v>897</v>
      </c>
      <c r="G1" s="67" t="s">
        <v>897</v>
      </c>
      <c r="H1" s="67" t="s">
        <v>897</v>
      </c>
      <c r="I1" s="67" t="s">
        <v>898</v>
      </c>
      <c r="J1" s="833" t="s">
        <v>898</v>
      </c>
      <c r="K1" s="833"/>
      <c r="L1" s="67" t="s">
        <v>221</v>
      </c>
      <c r="M1" s="67" t="s">
        <v>219</v>
      </c>
      <c r="N1" s="67" t="s">
        <v>220</v>
      </c>
      <c r="O1" s="67" t="s">
        <v>219</v>
      </c>
      <c r="P1" s="67" t="s">
        <v>219</v>
      </c>
      <c r="Q1" s="67" t="s">
        <v>219</v>
      </c>
      <c r="R1" s="833" t="s">
        <v>894</v>
      </c>
      <c r="S1" s="833"/>
      <c r="T1" s="67" t="s">
        <v>896</v>
      </c>
      <c r="U1" s="62" t="s">
        <v>900</v>
      </c>
      <c r="W1" s="832" t="s">
        <v>222</v>
      </c>
      <c r="X1" s="832"/>
      <c r="Y1" s="834" t="s">
        <v>866</v>
      </c>
      <c r="Z1" s="834"/>
      <c r="AA1" s="834"/>
      <c r="AB1" s="834"/>
      <c r="AC1" s="834"/>
      <c r="AD1" s="835" t="s">
        <v>876</v>
      </c>
      <c r="AE1" s="836"/>
      <c r="AF1" s="836"/>
      <c r="AG1" s="836"/>
      <c r="AH1" s="836"/>
      <c r="AI1" s="836"/>
      <c r="AJ1" s="836"/>
      <c r="AK1" s="836"/>
      <c r="AL1" s="827" t="s">
        <v>877</v>
      </c>
      <c r="AM1" s="828"/>
      <c r="AN1" s="828"/>
      <c r="AO1" s="828"/>
      <c r="AP1" s="828"/>
    </row>
    <row r="2" spans="1:42" ht="107.25" customHeight="1">
      <c r="A2" s="26" t="s">
        <v>881</v>
      </c>
      <c r="B2" s="27" t="s">
        <v>159</v>
      </c>
      <c r="C2" s="28" t="s">
        <v>30</v>
      </c>
      <c r="D2" s="28" t="s">
        <v>160</v>
      </c>
      <c r="E2" s="28" t="s">
        <v>226</v>
      </c>
      <c r="F2" s="28" t="s">
        <v>163</v>
      </c>
      <c r="G2" s="28" t="s">
        <v>173</v>
      </c>
      <c r="H2" s="28" t="s">
        <v>174</v>
      </c>
      <c r="I2" s="28" t="s">
        <v>895</v>
      </c>
      <c r="J2" s="31" t="s">
        <v>899</v>
      </c>
      <c r="K2" s="28" t="s">
        <v>162</v>
      </c>
      <c r="L2" s="28" t="s">
        <v>176</v>
      </c>
      <c r="M2" s="29" t="s">
        <v>216</v>
      </c>
      <c r="N2" s="29" t="s">
        <v>236</v>
      </c>
      <c r="O2" s="28" t="s">
        <v>878</v>
      </c>
      <c r="P2" s="29" t="s">
        <v>879</v>
      </c>
      <c r="Q2" s="29" t="s">
        <v>225</v>
      </c>
      <c r="R2" s="28" t="s">
        <v>892</v>
      </c>
      <c r="S2" s="29" t="s">
        <v>893</v>
      </c>
      <c r="T2" s="63" t="s">
        <v>901</v>
      </c>
      <c r="U2" s="29" t="s">
        <v>902</v>
      </c>
      <c r="V2" s="30" t="s">
        <v>54</v>
      </c>
      <c r="W2" s="31" t="s">
        <v>56</v>
      </c>
      <c r="X2" s="32" t="s">
        <v>82</v>
      </c>
      <c r="Y2" s="33" t="s">
        <v>865</v>
      </c>
      <c r="Z2" s="33" t="s">
        <v>862</v>
      </c>
      <c r="AA2" s="33" t="s">
        <v>863</v>
      </c>
      <c r="AB2" s="33" t="s">
        <v>864</v>
      </c>
      <c r="AC2" s="33" t="s">
        <v>867</v>
      </c>
      <c r="AD2" s="34" t="s">
        <v>868</v>
      </c>
      <c r="AE2" s="34" t="s">
        <v>869</v>
      </c>
      <c r="AF2" s="34" t="s">
        <v>870</v>
      </c>
      <c r="AG2" s="34" t="s">
        <v>871</v>
      </c>
      <c r="AH2" s="34" t="s">
        <v>873</v>
      </c>
      <c r="AI2" s="34" t="s">
        <v>872</v>
      </c>
      <c r="AJ2" s="34" t="s">
        <v>874</v>
      </c>
      <c r="AK2" s="34" t="s">
        <v>875</v>
      </c>
      <c r="AL2" s="829" t="s">
        <v>844</v>
      </c>
      <c r="AM2" s="830"/>
      <c r="AN2" s="830"/>
      <c r="AO2" s="831"/>
      <c r="AP2" s="35" t="s">
        <v>865</v>
      </c>
    </row>
    <row r="3" spans="1:42" ht="25.5">
      <c r="A3" s="36" t="s">
        <v>209</v>
      </c>
      <c r="B3" s="969">
        <v>16159963</v>
      </c>
      <c r="C3" s="970" t="s">
        <v>164</v>
      </c>
      <c r="D3" s="969">
        <v>1321648522</v>
      </c>
      <c r="E3" s="970" t="s">
        <v>229</v>
      </c>
      <c r="F3" s="971" t="str">
        <f t="shared" ref="F3:F13" ca="1" si="0">IF(AND(H3&gt;TODAY(),G3&lt;TODAY()),"VIGENTE","NO VIGENTE")</f>
        <v>NO VIGENTE</v>
      </c>
      <c r="G3" s="972">
        <v>43101</v>
      </c>
      <c r="H3" s="972">
        <v>43549</v>
      </c>
      <c r="I3" s="973">
        <v>114891.79</v>
      </c>
      <c r="J3" s="974">
        <f>(I3*0.522)/100</f>
        <v>599.73514380000006</v>
      </c>
      <c r="K3" s="973">
        <f t="shared" ref="K3:K13" si="1">I3*0.04</f>
        <v>4595.6715999999997</v>
      </c>
      <c r="L3" s="973">
        <f>I3*0.12</f>
        <v>13787.014799999999</v>
      </c>
      <c r="M3" s="975" t="s">
        <v>218</v>
      </c>
      <c r="N3" s="970"/>
      <c r="O3" s="976">
        <f>IF(B3=$W$3,SUM((Datos!F2*60)*SUELDOS!$AF$3,(Datos!G2*60)*SUELDOS!$AG$3,(Datos!J2*60)*SUELDOS!$AJ$3,(Datos!K2*60)*SUELDOS!$AK$3),IF(B3=SUELDOS!$W$4,SUM((Datos!F2*60)*SUELDOS!$AF$4,(Datos!G2*60)*SUELDOS!$AG$4,(Datos!J2*60)*SUELDOS!$AJ$4,(Datos!K2*60)*SUELDOS!$AK$4),IF(B3=SUELDOS!$W$5,SUM((Datos!F2*60)*SUELDOS!$AF$5,(Datos!G2*60)*SUELDOS!$AG$5,(Datos!J2*60)*SUELDOS!$AJ$5,(Datos!K2*60)*SUELDOS!$AK$5),0)))</f>
        <v>36667.59375</v>
      </c>
      <c r="P3" s="977">
        <f>IF(B3=$W$3,SUM((Datos!D2*60)*SUELDOS!$AD$3,(Datos!E2*60)*SUELDOS!$AE$3,(Datos!H2*60)*SUELDOS!$AH$3,(Datos!I2*60)*SUELDOS!$AI$3),IF(B3=SUELDOS!$W$4,SUM((Datos!D2*60)*SUELDOS!$AD$4,(Datos!E2*60)*SUELDOS!$AE$4,(Datos!H2*60)*SUELDOS!$AH$4,(Datos!I2*60)*SUELDOS!$AI$4),IF(B3=SUELDOS!$W$5,SUM((Datos!D2*60)*SUELDOS!$AD$5,(Datos!E2*60)*SUELDOS!$AE$5,(Datos!H2*60)*SUELDOS!$AH$5,(Datos!I2*60)*SUELDOS!$AI$5),0)))</f>
        <v>78224.2</v>
      </c>
      <c r="Q3" s="978">
        <v>480</v>
      </c>
      <c r="R3" s="973">
        <f t="shared" ref="R3:R13" si="2">I3*0.085</f>
        <v>9765.8021499999995</v>
      </c>
      <c r="S3" s="973">
        <f t="shared" ref="S3:S13" si="3">I3*0.12</f>
        <v>13787.014799999999</v>
      </c>
      <c r="T3" s="974">
        <f>SUM((I3*0.03),(I3*0.02),(I3*0.04))</f>
        <v>10340.2611</v>
      </c>
      <c r="U3" s="973">
        <f>SUM((I3*0.0833),(I3*0.01))</f>
        <v>10719.404006999999</v>
      </c>
      <c r="V3" s="975">
        <f>SUM(I3:M3,R3,O3,N3,S3,P3,T3,U3)</f>
        <v>293378.48735079996</v>
      </c>
      <c r="W3" s="979">
        <v>16159961</v>
      </c>
      <c r="X3" s="980">
        <v>782242</v>
      </c>
      <c r="Y3" s="981">
        <v>60</v>
      </c>
      <c r="Z3" s="982">
        <v>8</v>
      </c>
      <c r="AA3" s="982">
        <v>5</v>
      </c>
      <c r="AB3" s="982">
        <v>4</v>
      </c>
      <c r="AC3" s="983">
        <f>PRODUCT(Y3,Z3,AA3,AB3)</f>
        <v>9600</v>
      </c>
      <c r="AD3" s="984">
        <f>((X3/30)/8)/60</f>
        <v>54.322361111111114</v>
      </c>
      <c r="AE3" s="984">
        <f>(((X3/30)/8)/60)+((((X3/30)/8)/60)*0.35)</f>
        <v>73.335187500000004</v>
      </c>
      <c r="AF3" s="984">
        <f>(((X3/30)/8)/60)+((((X3/30)/8)/60)*0.25)</f>
        <v>67.902951388888894</v>
      </c>
      <c r="AG3" s="984">
        <f>(((X3/30)/8)/60)+((((X3/30)/8)/60)*0.75)</f>
        <v>95.064131944444455</v>
      </c>
      <c r="AH3" s="984">
        <f>(((X3/30)/8)/60)+((((X3/30)/8)/60)*0.75)</f>
        <v>95.064131944444455</v>
      </c>
      <c r="AI3" s="984">
        <f>(((X3/30)/8)/60)+((((X3/30)/8)/60)*0.75)</f>
        <v>95.064131944444455</v>
      </c>
      <c r="AJ3" s="984">
        <f>(((X3/30)/8)/60)+((((X3/30)/8)/60)*0.75)+((((X3/30)/8)/60)*0.25)</f>
        <v>108.64472222222223</v>
      </c>
      <c r="AK3" s="984">
        <f>(((X3/30)/8)/60)+((((X3/30)/8)/60)*0.75)+((((X3/30)/8)/60)*0.75)</f>
        <v>135.80590277777779</v>
      </c>
      <c r="AL3" s="985">
        <v>1</v>
      </c>
      <c r="AM3" s="986"/>
      <c r="AN3" s="986"/>
      <c r="AO3" s="987"/>
      <c r="AP3" s="988">
        <v>480</v>
      </c>
    </row>
    <row r="4" spans="1:42" ht="25.5" customHeight="1">
      <c r="A4" s="36" t="s">
        <v>209</v>
      </c>
      <c r="B4" s="969">
        <v>16159962</v>
      </c>
      <c r="C4" s="970" t="s">
        <v>170</v>
      </c>
      <c r="D4" s="969">
        <v>1323384207</v>
      </c>
      <c r="E4" s="970" t="s">
        <v>232</v>
      </c>
      <c r="F4" s="971" t="str">
        <f t="shared" ca="1" si="0"/>
        <v>NO VIGENTE</v>
      </c>
      <c r="G4" s="972">
        <v>43101</v>
      </c>
      <c r="H4" s="972">
        <v>43549</v>
      </c>
      <c r="I4" s="973">
        <v>105928.6</v>
      </c>
      <c r="J4" s="974">
        <f t="shared" ref="J4:J13" si="4">(I4*0.522)/100</f>
        <v>552.94729200000006</v>
      </c>
      <c r="K4" s="973">
        <f t="shared" si="1"/>
        <v>4237.1440000000002</v>
      </c>
      <c r="L4" s="973">
        <f>I4*0.1</f>
        <v>10592.86</v>
      </c>
      <c r="M4" s="975">
        <v>4777.5</v>
      </c>
      <c r="N4" s="970"/>
      <c r="O4" s="976">
        <f>IF(B4=$W$3,SUM((Datos!F3*60)*SUELDOS!$AF$3,(Datos!G3*60)*SUELDOS!$AG$3,(Datos!J3*60)*SUELDOS!$AJ$3,(Datos!K3*60)*SUELDOS!$AK$3),IF(B4=SUELDOS!$W$4,SUM((Datos!F3*60)*SUELDOS!$AF$4,(Datos!G3*60)*SUELDOS!$AG$4,(Datos!J3*60)*SUELDOS!$AJ$4,(Datos!K3*60)*SUELDOS!$AK$4),IF(B4=SUELDOS!$W$5,SUM((Datos!F3*60)*SUELDOS!$AF$5,(Datos!G3*60)*SUELDOS!$AG$5,(Datos!J3*60)*SUELDOS!$AJ$5,(Datos!K3*60)*SUELDOS!$AK$5),0)))</f>
        <v>8148.354166666667</v>
      </c>
      <c r="P4" s="977">
        <f>IF(B4=$W$3,SUM((Datos!D3*60)*SUELDOS!$AD$3,(Datos!E3*60)*SUELDOS!$AE$3,(Datos!H3*60)*SUELDOS!$AH$3,(Datos!I3*60)*SUELDOS!$AI$3),IF(B4=SUELDOS!$W$4,SUM((Datos!D3*60)*SUELDOS!$AD$4,(Datos!E3*60)*SUELDOS!$AE$4,(Datos!H3*60)*SUELDOS!$AH$4,(Datos!I3*60)*SUELDOS!$AI$4),IF(B4=SUELDOS!$W$5,SUM((Datos!D3*60)*SUELDOS!$AD$5,(Datos!E3*60)*SUELDOS!$AE$5,(Datos!H3*60)*SUELDOS!$AH$5,(Datos!I3*60)*SUELDOS!$AI$5),0)))</f>
        <v>97780.25</v>
      </c>
      <c r="Q4" s="978"/>
      <c r="R4" s="973">
        <f t="shared" si="2"/>
        <v>9003.9310000000005</v>
      </c>
      <c r="S4" s="973">
        <f t="shared" si="3"/>
        <v>12711.432000000001</v>
      </c>
      <c r="T4" s="974">
        <f t="shared" ref="T4:T13" si="5">SUM((I4*0.03),(I4*0.02),(I4*0.04))</f>
        <v>9533.5740000000005</v>
      </c>
      <c r="U4" s="973">
        <f t="shared" ref="U4:U13" si="6">SUM((I4*0.0833),(I4*0.01))</f>
        <v>9883.1383800000003</v>
      </c>
      <c r="V4" s="975">
        <f t="shared" ref="V4:V13" si="7">SUM(I4:M4,R4,O4,N4,S4,P4,T4,U4)</f>
        <v>273149.73083866667</v>
      </c>
      <c r="W4" s="979">
        <v>16159962</v>
      </c>
      <c r="X4" s="980">
        <f>X3*2</f>
        <v>1564484</v>
      </c>
      <c r="Y4" s="989"/>
      <c r="Z4" s="989"/>
      <c r="AA4" s="989"/>
      <c r="AB4" s="989"/>
      <c r="AC4" s="989"/>
      <c r="AD4" s="984">
        <f t="shared" ref="AD4:AD5" si="8">((X4/30)/8)/60</f>
        <v>108.64472222222223</v>
      </c>
      <c r="AE4" s="984">
        <f t="shared" ref="AE4:AE5" si="9">(((X4/30)/8)/60)+((((X4/30)/8)/60)*0.35)</f>
        <v>146.67037500000001</v>
      </c>
      <c r="AF4" s="984">
        <f t="shared" ref="AF4:AF5" si="10">(((X4/30)/8)/60)+((((X4/30)/8)/60)*0.25)</f>
        <v>135.80590277777779</v>
      </c>
      <c r="AG4" s="984">
        <f t="shared" ref="AG4:AG5" si="11">(((X4/30)/8)/60)+((((X4/30)/8)/60)*0.75)</f>
        <v>190.12826388888891</v>
      </c>
      <c r="AH4" s="984">
        <f t="shared" ref="AH4:AH5" si="12">(((X4/30)/8)/60)+((((X4/30)/8)/60)*0.75)</f>
        <v>190.12826388888891</v>
      </c>
      <c r="AI4" s="984">
        <f t="shared" ref="AI4:AI5" si="13">(((X4/30)/8)/60)+((((X4/30)/8)/60)*0.75)</f>
        <v>190.12826388888891</v>
      </c>
      <c r="AJ4" s="984">
        <f t="shared" ref="AJ4:AJ5" si="14">(((X4/30)/8)/60)+((((X4/30)/8)/60)*0.75)+((((X4/30)/8)/60)*0.25)</f>
        <v>217.28944444444446</v>
      </c>
      <c r="AK4" s="984">
        <f t="shared" ref="AK4:AK5" si="15">(((X4/30)/8)/60)+((((X4/30)/8)/60)*0.75)+((((X4/30)/8)/60)*0.75)</f>
        <v>271.61180555555558</v>
      </c>
      <c r="AL4" s="985">
        <v>2</v>
      </c>
      <c r="AM4" s="986"/>
      <c r="AN4" s="986"/>
      <c r="AO4" s="987"/>
      <c r="AP4" s="988">
        <v>960</v>
      </c>
    </row>
    <row r="5" spans="1:42" ht="25.5">
      <c r="A5" s="36" t="s">
        <v>209</v>
      </c>
      <c r="B5" s="969">
        <v>16159962</v>
      </c>
      <c r="C5" s="970" t="s">
        <v>171</v>
      </c>
      <c r="D5" s="969">
        <v>1237462775</v>
      </c>
      <c r="E5" s="970" t="s">
        <v>228</v>
      </c>
      <c r="F5" s="971" t="str">
        <f t="shared" ca="1" si="0"/>
        <v>NO VIGENTE</v>
      </c>
      <c r="G5" s="972">
        <v>43101</v>
      </c>
      <c r="H5" s="972">
        <v>43549</v>
      </c>
      <c r="I5" s="973">
        <v>60297.82</v>
      </c>
      <c r="J5" s="974">
        <f t="shared" si="4"/>
        <v>314.75462040000002</v>
      </c>
      <c r="K5" s="973">
        <f t="shared" si="1"/>
        <v>2411.9128000000001</v>
      </c>
      <c r="L5" s="973">
        <f>I5*0.1</f>
        <v>6029.7820000000002</v>
      </c>
      <c r="M5" s="975">
        <v>2695</v>
      </c>
      <c r="N5" s="970"/>
      <c r="O5" s="976">
        <f>IF(B5=$W$3,SUM((Datos!F4*60)*SUELDOS!$AF$3,(Datos!G4*60)*SUELDOS!$AG$3,(Datos!J4*60)*SUELDOS!$AJ$3,(Datos!K4*60)*SUELDOS!$AK$3),IF(B5=SUELDOS!$W$4,SUM((Datos!F4*60)*SUELDOS!$AF$4,(Datos!G4*60)*SUELDOS!$AG$4,(Datos!J4*60)*SUELDOS!$AJ$4,(Datos!K4*60)*SUELDOS!$AK$4),IF(B5=SUELDOS!$W$5,SUM((Datos!F4*60)*SUELDOS!$AF$5,(Datos!G4*60)*SUELDOS!$AG$5,(Datos!J4*60)*SUELDOS!$AJ$5,(Datos!K4*60)*SUELDOS!$AK$5),0)))</f>
        <v>8148.354166666667</v>
      </c>
      <c r="P5" s="977">
        <f>IF(B5=$W$3,SUM((Datos!D4*60)*SUELDOS!$AD$3,(Datos!E4*60)*SUELDOS!$AE$3,(Datos!H4*60)*SUELDOS!$AH$3,(Datos!I4*60)*SUELDOS!$AI$3),IF(B5=SUELDOS!$W$4,SUM((Datos!D4*60)*SUELDOS!$AD$4,(Datos!E4*60)*SUELDOS!$AE$4,(Datos!H4*60)*SUELDOS!$AH$4,(Datos!I4*60)*SUELDOS!$AI$4),IF(B5=SUELDOS!$W$5,SUM((Datos!D4*60)*SUELDOS!$AD$5,(Datos!E4*60)*SUELDOS!$AE$5,(Datos!H4*60)*SUELDOS!$AH$5,(Datos!I4*60)*SUELDOS!$AI$5),0)))</f>
        <v>52149.466666666667</v>
      </c>
      <c r="Q5" s="978"/>
      <c r="R5" s="973">
        <f t="shared" si="2"/>
        <v>5125.3146999999999</v>
      </c>
      <c r="S5" s="973">
        <f t="shared" si="3"/>
        <v>7235.7383999999993</v>
      </c>
      <c r="T5" s="974">
        <f t="shared" si="5"/>
        <v>5426.8037999999997</v>
      </c>
      <c r="U5" s="973">
        <f t="shared" si="6"/>
        <v>5625.7866059999997</v>
      </c>
      <c r="V5" s="975">
        <f t="shared" si="7"/>
        <v>155460.73375973335</v>
      </c>
      <c r="W5" s="979">
        <v>16159963</v>
      </c>
      <c r="X5" s="980">
        <f>X3*3</f>
        <v>2346726</v>
      </c>
      <c r="Y5" s="989"/>
      <c r="Z5" s="989"/>
      <c r="AA5" s="989"/>
      <c r="AB5" s="989"/>
      <c r="AC5" s="989"/>
      <c r="AD5" s="984">
        <f t="shared" si="8"/>
        <v>162.96708333333333</v>
      </c>
      <c r="AE5" s="984">
        <f t="shared" si="9"/>
        <v>220.0055625</v>
      </c>
      <c r="AF5" s="984">
        <f t="shared" si="10"/>
        <v>203.70885416666667</v>
      </c>
      <c r="AG5" s="984">
        <f t="shared" si="11"/>
        <v>285.19239583333331</v>
      </c>
      <c r="AH5" s="984">
        <f t="shared" si="12"/>
        <v>285.19239583333331</v>
      </c>
      <c r="AI5" s="984">
        <f t="shared" si="13"/>
        <v>285.19239583333331</v>
      </c>
      <c r="AJ5" s="984">
        <f t="shared" si="14"/>
        <v>325.93416666666667</v>
      </c>
      <c r="AK5" s="984">
        <f t="shared" si="15"/>
        <v>407.41770833333328</v>
      </c>
      <c r="AL5" s="985">
        <v>3</v>
      </c>
      <c r="AM5" s="986"/>
      <c r="AN5" s="986"/>
      <c r="AO5" s="987"/>
      <c r="AP5" s="988">
        <v>1440</v>
      </c>
    </row>
    <row r="6" spans="1:42" ht="25.5">
      <c r="A6" s="36" t="s">
        <v>209</v>
      </c>
      <c r="B6" s="969">
        <v>16159961</v>
      </c>
      <c r="C6" s="970" t="s">
        <v>172</v>
      </c>
      <c r="D6" s="969">
        <v>1285748000</v>
      </c>
      <c r="E6" s="970" t="s">
        <v>234</v>
      </c>
      <c r="F6" s="971" t="str">
        <f t="shared" ca="1" si="0"/>
        <v>NO VIGENTE</v>
      </c>
      <c r="G6" s="972">
        <v>43101</v>
      </c>
      <c r="H6" s="972">
        <v>43549</v>
      </c>
      <c r="I6" s="973">
        <v>30637.81</v>
      </c>
      <c r="J6" s="974">
        <f t="shared" si="4"/>
        <v>159.9293682</v>
      </c>
      <c r="K6" s="973">
        <f t="shared" si="1"/>
        <v>1225.5124000000001</v>
      </c>
      <c r="L6" s="973">
        <f>I6*0.1</f>
        <v>3063.7810000000004</v>
      </c>
      <c r="M6" s="975">
        <v>2695</v>
      </c>
      <c r="N6" s="970"/>
      <c r="O6" s="976">
        <f>IF(B6=$W$3,SUM((Datos!F5*60)*SUELDOS!$AF$3,(Datos!G5*60)*SUELDOS!$AG$3,(Datos!J5*60)*SUELDOS!$AJ$3,(Datos!K5*60)*SUELDOS!$AK$3),IF(B6=SUELDOS!$W$4,SUM((Datos!F5*60)*SUELDOS!$AF$4,(Datos!G5*60)*SUELDOS!$AG$4,(Datos!J5*60)*SUELDOS!$AJ$4,(Datos!K5*60)*SUELDOS!$AK$4),IF(B6=SUELDOS!$W$5,SUM((Datos!F5*60)*SUELDOS!$AF$5,(Datos!G5*60)*SUELDOS!$AG$5,(Datos!J5*60)*SUELDOS!$AJ$5,(Datos!K5*60)*SUELDOS!$AK$5),0)))</f>
        <v>0</v>
      </c>
      <c r="P6" s="977">
        <f>IF(B6=$W$3,SUM((Datos!D5*60)*SUELDOS!$AD$3,(Datos!E5*60)*SUELDOS!$AE$3,(Datos!H5*60)*SUELDOS!$AH$3,(Datos!I5*60)*SUELDOS!$AI$3),IF(B6=SUELDOS!$W$4,SUM((Datos!D5*60)*SUELDOS!$AD$4,(Datos!E5*60)*SUELDOS!$AE$4,(Datos!H5*60)*SUELDOS!$AH$4,(Datos!I5*60)*SUELDOS!$AI$4),IF(B6=SUELDOS!$W$5,SUM((Datos!D5*60)*SUELDOS!$AD$5,(Datos!E5*60)*SUELDOS!$AE$5,(Datos!H5*60)*SUELDOS!$AH$5,(Datos!I5*60)*SUELDOS!$AI$5),0)))</f>
        <v>30637.811666666668</v>
      </c>
      <c r="Q6" s="978"/>
      <c r="R6" s="973">
        <f t="shared" si="2"/>
        <v>2604.2138500000001</v>
      </c>
      <c r="S6" s="973">
        <f t="shared" si="3"/>
        <v>3676.5372000000002</v>
      </c>
      <c r="T6" s="974">
        <f t="shared" si="5"/>
        <v>2757.4029</v>
      </c>
      <c r="U6" s="973">
        <f t="shared" si="6"/>
        <v>2858.5076730000001</v>
      </c>
      <c r="V6" s="975">
        <f t="shared" si="7"/>
        <v>80316.506057866674</v>
      </c>
      <c r="W6" s="989"/>
      <c r="X6" s="989"/>
      <c r="Y6" s="989"/>
      <c r="Z6" s="989"/>
      <c r="AA6" s="989"/>
      <c r="AB6" s="989"/>
      <c r="AC6" s="989"/>
      <c r="AD6" s="989"/>
      <c r="AE6" s="989"/>
      <c r="AF6" s="989"/>
      <c r="AG6" s="989"/>
      <c r="AH6" s="989"/>
      <c r="AI6" s="989"/>
      <c r="AJ6" s="989"/>
      <c r="AK6" s="989"/>
      <c r="AL6" s="985">
        <v>4</v>
      </c>
      <c r="AM6" s="986"/>
      <c r="AN6" s="986"/>
      <c r="AO6" s="987"/>
      <c r="AP6" s="988">
        <v>1920</v>
      </c>
    </row>
    <row r="7" spans="1:42" ht="25.5">
      <c r="A7" s="36" t="s">
        <v>209</v>
      </c>
      <c r="B7" s="969">
        <v>16159963</v>
      </c>
      <c r="C7" s="970" t="s">
        <v>167</v>
      </c>
      <c r="D7" s="969">
        <v>1247550875</v>
      </c>
      <c r="E7" s="970" t="s">
        <v>231</v>
      </c>
      <c r="F7" s="971" t="str">
        <f t="shared" ca="1" si="0"/>
        <v>NO VIGENTE</v>
      </c>
      <c r="G7" s="972">
        <v>43101</v>
      </c>
      <c r="H7" s="972">
        <v>43549</v>
      </c>
      <c r="I7" s="973">
        <v>180893.46</v>
      </c>
      <c r="J7" s="974">
        <f t="shared" si="4"/>
        <v>944.26386119999995</v>
      </c>
      <c r="K7" s="973">
        <f t="shared" si="1"/>
        <v>7235.7384000000002</v>
      </c>
      <c r="L7" s="973">
        <v>0</v>
      </c>
      <c r="M7" s="975" t="s">
        <v>218</v>
      </c>
      <c r="N7" s="970"/>
      <c r="O7" s="976">
        <f>IF(B7=$W$3,SUM((Datos!F6*60)*SUELDOS!$AF$3,(Datos!G6*60)*SUELDOS!$AG$3,(Datos!J6*60)*SUELDOS!$AJ$3,(Datos!K6*60)*SUELDOS!$AK$3),IF(B7=SUELDOS!$W$4,SUM((Datos!F6*60)*SUELDOS!$AF$4,(Datos!G6*60)*SUELDOS!$AG$4,(Datos!J6*60)*SUELDOS!$AJ$4,(Datos!K6*60)*SUELDOS!$AK$4),IF(B7=SUELDOS!$W$5,SUM((Datos!F6*60)*SUELDOS!$AF$5,(Datos!G6*60)*SUELDOS!$AG$5,(Datos!J6*60)*SUELDOS!$AJ$5,(Datos!K6*60)*SUELDOS!$AK$5),0)))</f>
        <v>24445.0625</v>
      </c>
      <c r="P7" s="977">
        <f>IF(B7=$W$3,SUM((Datos!D6*60)*SUELDOS!$AD$3,(Datos!E6*60)*SUELDOS!$AE$3,(Datos!H6*60)*SUELDOS!$AH$3,(Datos!I6*60)*SUELDOS!$AI$3),IF(B7=SUELDOS!$W$4,SUM((Datos!D6*60)*SUELDOS!$AD$4,(Datos!E6*60)*SUELDOS!$AE$4,(Datos!H6*60)*SUELDOS!$AH$4,(Datos!I6*60)*SUELDOS!$AI$4),IF(B7=SUELDOS!$W$5,SUM((Datos!D6*60)*SUELDOS!$AD$5,(Datos!E6*60)*SUELDOS!$AE$5,(Datos!H6*60)*SUELDOS!$AH$5,(Datos!I6*60)*SUELDOS!$AI$5),0)))</f>
        <v>156448.4</v>
      </c>
      <c r="Q7" s="978"/>
      <c r="R7" s="973">
        <f t="shared" si="2"/>
        <v>15375.944100000001</v>
      </c>
      <c r="S7" s="973">
        <f t="shared" si="3"/>
        <v>21707.215199999999</v>
      </c>
      <c r="T7" s="974">
        <f t="shared" si="5"/>
        <v>16280.411399999999</v>
      </c>
      <c r="U7" s="973">
        <f t="shared" si="6"/>
        <v>16877.359817999997</v>
      </c>
      <c r="V7" s="975">
        <f t="shared" si="7"/>
        <v>440207.85527919995</v>
      </c>
      <c r="W7" s="989"/>
      <c r="X7" s="989"/>
      <c r="Y7" s="989"/>
      <c r="Z7" s="989"/>
      <c r="AA7" s="989"/>
      <c r="AB7" s="989"/>
      <c r="AC7" s="989"/>
      <c r="AD7" s="989"/>
      <c r="AE7" s="989"/>
      <c r="AF7" s="989"/>
      <c r="AG7" s="989"/>
      <c r="AH7" s="989"/>
      <c r="AI7" s="989"/>
      <c r="AJ7" s="989"/>
      <c r="AK7" s="989"/>
      <c r="AL7" s="985">
        <v>5</v>
      </c>
      <c r="AM7" s="986"/>
      <c r="AN7" s="986"/>
      <c r="AO7" s="987"/>
      <c r="AP7" s="988">
        <v>2400</v>
      </c>
    </row>
    <row r="8" spans="1:42" ht="25.5">
      <c r="A8" s="36" t="s">
        <v>209</v>
      </c>
      <c r="B8" s="969">
        <v>16159963</v>
      </c>
      <c r="C8" s="970" t="s">
        <v>40</v>
      </c>
      <c r="D8" s="969">
        <v>1311966071</v>
      </c>
      <c r="E8" s="970" t="s">
        <v>228</v>
      </c>
      <c r="F8" s="971" t="str">
        <f t="shared" ca="1" si="0"/>
        <v>NO VIGENTE</v>
      </c>
      <c r="G8" s="972">
        <v>43101</v>
      </c>
      <c r="H8" s="972">
        <v>43549</v>
      </c>
      <c r="I8" s="973">
        <v>90446.73</v>
      </c>
      <c r="J8" s="974">
        <f t="shared" si="4"/>
        <v>472.13193059999998</v>
      </c>
      <c r="K8" s="973">
        <f t="shared" si="1"/>
        <v>3617.8692000000001</v>
      </c>
      <c r="L8" s="973">
        <v>0</v>
      </c>
      <c r="M8" s="975" t="s">
        <v>218</v>
      </c>
      <c r="N8" s="970"/>
      <c r="O8" s="976">
        <f>IF(B8=$W$3,SUM((Datos!F7*60)*SUELDOS!$AF$3,(Datos!G7*60)*SUELDOS!$AG$3,(Datos!J7*60)*SUELDOS!$AJ$3,(Datos!K7*60)*SUELDOS!$AK$3),IF(B8=SUELDOS!$W$4,SUM((Datos!F7*60)*SUELDOS!$AF$4,(Datos!G7*60)*SUELDOS!$AG$4,(Datos!J7*60)*SUELDOS!$AJ$4,(Datos!K7*60)*SUELDOS!$AK$4),IF(B8=SUELDOS!$W$5,SUM((Datos!F7*60)*SUELDOS!$AF$5,(Datos!G7*60)*SUELDOS!$AG$5,(Datos!J7*60)*SUELDOS!$AJ$5,(Datos!K7*60)*SUELDOS!$AK$5),0)))</f>
        <v>12222.53125</v>
      </c>
      <c r="P8" s="977">
        <f>IF(B8=$W$3,SUM((Datos!D7*60)*SUELDOS!$AD$3,(Datos!E7*60)*SUELDOS!$AE$3,(Datos!H7*60)*SUELDOS!$AH$3,(Datos!I7*60)*SUELDOS!$AI$3),IF(B8=SUELDOS!$W$4,SUM((Datos!D7*60)*SUELDOS!$AD$4,(Datos!E7*60)*SUELDOS!$AE$4,(Datos!H7*60)*SUELDOS!$AH$4,(Datos!I7*60)*SUELDOS!$AI$4),IF(B8=SUELDOS!$W$5,SUM((Datos!D7*60)*SUELDOS!$AD$5,(Datos!E7*60)*SUELDOS!$AE$5,(Datos!H7*60)*SUELDOS!$AH$5,(Datos!I7*60)*SUELDOS!$AI$5),0)))</f>
        <v>78224.2</v>
      </c>
      <c r="Q8" s="978"/>
      <c r="R8" s="973">
        <f t="shared" si="2"/>
        <v>7687.9720500000003</v>
      </c>
      <c r="S8" s="973">
        <f t="shared" si="3"/>
        <v>10853.607599999999</v>
      </c>
      <c r="T8" s="974">
        <f t="shared" si="5"/>
        <v>8140.2056999999995</v>
      </c>
      <c r="U8" s="973">
        <f t="shared" si="6"/>
        <v>8438.6799089999986</v>
      </c>
      <c r="V8" s="975">
        <f t="shared" si="7"/>
        <v>220103.92763959998</v>
      </c>
      <c r="W8" s="989"/>
      <c r="X8" s="989"/>
      <c r="Y8" s="989"/>
      <c r="Z8" s="989"/>
      <c r="AA8" s="989"/>
      <c r="AB8" s="989"/>
      <c r="AC8" s="989"/>
      <c r="AD8" s="989"/>
      <c r="AE8" s="989"/>
      <c r="AF8" s="989"/>
      <c r="AG8" s="989"/>
      <c r="AH8" s="989"/>
      <c r="AI8" s="989"/>
      <c r="AJ8" s="989"/>
      <c r="AK8" s="989"/>
      <c r="AL8" s="985">
        <v>6</v>
      </c>
      <c r="AM8" s="986"/>
      <c r="AN8" s="986"/>
      <c r="AO8" s="987"/>
      <c r="AP8" s="988">
        <v>2880</v>
      </c>
    </row>
    <row r="9" spans="1:42" ht="25.5">
      <c r="A9" s="36" t="s">
        <v>209</v>
      </c>
      <c r="B9" s="969">
        <v>16159963</v>
      </c>
      <c r="C9" s="970" t="s">
        <v>165</v>
      </c>
      <c r="D9" s="969">
        <v>1317424267</v>
      </c>
      <c r="E9" s="970" t="s">
        <v>230</v>
      </c>
      <c r="F9" s="971" t="str">
        <f t="shared" ca="1" si="0"/>
        <v>NO VIGENTE</v>
      </c>
      <c r="G9" s="972">
        <v>43101</v>
      </c>
      <c r="H9" s="972">
        <v>43549</v>
      </c>
      <c r="I9" s="973">
        <v>156448.4</v>
      </c>
      <c r="J9" s="974">
        <f t="shared" si="4"/>
        <v>816.66064799999992</v>
      </c>
      <c r="K9" s="973">
        <f t="shared" si="1"/>
        <v>6257.9359999999997</v>
      </c>
      <c r="L9" s="973">
        <v>0</v>
      </c>
      <c r="M9" s="975" t="s">
        <v>218</v>
      </c>
      <c r="N9" s="970"/>
      <c r="O9" s="976">
        <f>IF(B9=$W$3,SUM((Datos!F8*60)*SUELDOS!$AF$3,(Datos!G8*60)*SUELDOS!$AG$3,(Datos!J8*60)*SUELDOS!$AJ$3,(Datos!K8*60)*SUELDOS!$AK$3),IF(B9=SUELDOS!$W$4,SUM((Datos!F8*60)*SUELDOS!$AF$4,(Datos!G8*60)*SUELDOS!$AG$4,(Datos!J8*60)*SUELDOS!$AJ$4,(Datos!K8*60)*SUELDOS!$AK$4),IF(B9=SUELDOS!$W$5,SUM((Datos!F8*60)*SUELDOS!$AF$5,(Datos!G8*60)*SUELDOS!$AG$5,(Datos!J8*60)*SUELDOS!$AJ$5,(Datos!K8*60)*SUELDOS!$AK$5),0)))</f>
        <v>19556.05</v>
      </c>
      <c r="P9" s="977">
        <f>IF(B9=$W$3,SUM((Datos!D8*60)*SUELDOS!$AD$3,(Datos!E8*60)*SUELDOS!$AE$3,(Datos!H8*60)*SUELDOS!$AH$3,(Datos!I8*60)*SUELDOS!$AI$3),IF(B9=SUELDOS!$W$4,SUM((Datos!D8*60)*SUELDOS!$AD$4,(Datos!E8*60)*SUELDOS!$AE$4,(Datos!H8*60)*SUELDOS!$AH$4,(Datos!I8*60)*SUELDOS!$AI$4),IF(B9=SUELDOS!$W$5,SUM((Datos!D8*60)*SUELDOS!$AD$5,(Datos!E8*60)*SUELDOS!$AE$5,(Datos!H8*60)*SUELDOS!$AH$5,(Datos!I8*60)*SUELDOS!$AI$5),0)))</f>
        <v>136892.34999999998</v>
      </c>
      <c r="Q9" s="978"/>
      <c r="R9" s="973">
        <f t="shared" si="2"/>
        <v>13298.114</v>
      </c>
      <c r="S9" s="973">
        <f t="shared" si="3"/>
        <v>18773.807999999997</v>
      </c>
      <c r="T9" s="974">
        <f t="shared" si="5"/>
        <v>14080.356</v>
      </c>
      <c r="U9" s="973">
        <f t="shared" si="6"/>
        <v>14596.63572</v>
      </c>
      <c r="V9" s="975">
        <f t="shared" si="7"/>
        <v>380720.31036799995</v>
      </c>
      <c r="W9" s="989"/>
      <c r="X9" s="989"/>
      <c r="Y9" s="989"/>
      <c r="Z9" s="989"/>
      <c r="AA9" s="989"/>
      <c r="AB9" s="989"/>
      <c r="AC9" s="989"/>
      <c r="AD9" s="989"/>
      <c r="AE9" s="989"/>
      <c r="AF9" s="989"/>
      <c r="AG9" s="989"/>
      <c r="AH9" s="989"/>
      <c r="AI9" s="989"/>
      <c r="AJ9" s="989"/>
      <c r="AK9" s="989"/>
      <c r="AL9" s="985">
        <v>7</v>
      </c>
      <c r="AM9" s="986"/>
      <c r="AN9" s="986"/>
      <c r="AO9" s="987"/>
      <c r="AP9" s="988">
        <v>3360</v>
      </c>
    </row>
    <row r="10" spans="1:42" ht="25.5">
      <c r="A10" s="36" t="s">
        <v>209</v>
      </c>
      <c r="B10" s="969">
        <v>16159963</v>
      </c>
      <c r="C10" s="970" t="s">
        <v>166</v>
      </c>
      <c r="D10" s="969">
        <v>1315211554</v>
      </c>
      <c r="E10" s="970" t="s">
        <v>229</v>
      </c>
      <c r="F10" s="971" t="str">
        <f t="shared" ca="1" si="0"/>
        <v>NO VIGENTE</v>
      </c>
      <c r="G10" s="972">
        <v>43101</v>
      </c>
      <c r="H10" s="972">
        <v>43549</v>
      </c>
      <c r="I10" s="973">
        <v>95335.74</v>
      </c>
      <c r="J10" s="974">
        <f t="shared" si="4"/>
        <v>497.6525628</v>
      </c>
      <c r="K10" s="973">
        <f t="shared" si="1"/>
        <v>3813.4296000000004</v>
      </c>
      <c r="L10" s="973">
        <v>0</v>
      </c>
      <c r="M10" s="975" t="s">
        <v>218</v>
      </c>
      <c r="N10" s="970"/>
      <c r="O10" s="976">
        <f>IF(B10=$W$3,SUM((Datos!F9*60)*SUELDOS!$AF$3,(Datos!G9*60)*SUELDOS!$AG$3,(Datos!J9*60)*SUELDOS!$AJ$3,(Datos!K9*60)*SUELDOS!$AK$3),IF(B10=SUELDOS!$W$4,SUM((Datos!F9*60)*SUELDOS!$AF$4,(Datos!G9*60)*SUELDOS!$AG$4,(Datos!J9*60)*SUELDOS!$AJ$4,(Datos!K9*60)*SUELDOS!$AK$4),IF(B10=SUELDOS!$W$5,SUM((Datos!F9*60)*SUELDOS!$AF$5,(Datos!G9*60)*SUELDOS!$AG$5,(Datos!J9*60)*SUELDOS!$AJ$5,(Datos!K9*60)*SUELDOS!$AK$5),0)))</f>
        <v>17111.543749999997</v>
      </c>
      <c r="P10" s="977">
        <f>IF(B10=$W$3,SUM((Datos!D9*60)*SUELDOS!$AD$3,(Datos!E9*60)*SUELDOS!$AE$3,(Datos!H9*60)*SUELDOS!$AH$3,(Datos!I9*60)*SUELDOS!$AI$3),IF(B10=SUELDOS!$W$4,SUM((Datos!D9*60)*SUELDOS!$AD$4,(Datos!E9*60)*SUELDOS!$AE$4,(Datos!H9*60)*SUELDOS!$AH$4,(Datos!I9*60)*SUELDOS!$AI$4),IF(B10=SUELDOS!$W$5,SUM((Datos!D9*60)*SUELDOS!$AD$5,(Datos!E9*60)*SUELDOS!$AE$5,(Datos!H9*60)*SUELDOS!$AH$5,(Datos!I9*60)*SUELDOS!$AI$5),0)))</f>
        <v>78224.2</v>
      </c>
      <c r="Q10" s="978"/>
      <c r="R10" s="973">
        <f t="shared" si="2"/>
        <v>8103.5379000000012</v>
      </c>
      <c r="S10" s="973">
        <f t="shared" si="3"/>
        <v>11440.2888</v>
      </c>
      <c r="T10" s="974">
        <f t="shared" si="5"/>
        <v>8580.2165999999997</v>
      </c>
      <c r="U10" s="973">
        <f t="shared" si="6"/>
        <v>8894.8245420000003</v>
      </c>
      <c r="V10" s="975">
        <f t="shared" si="7"/>
        <v>232001.43375479997</v>
      </c>
      <c r="W10" s="989"/>
      <c r="X10" s="989"/>
      <c r="Y10" s="989"/>
      <c r="Z10" s="989"/>
      <c r="AA10" s="989"/>
      <c r="AB10" s="989"/>
      <c r="AC10" s="989"/>
      <c r="AD10" s="989"/>
      <c r="AE10" s="989"/>
      <c r="AF10" s="989"/>
      <c r="AG10" s="989"/>
      <c r="AH10" s="989"/>
      <c r="AI10" s="989"/>
      <c r="AJ10" s="989"/>
      <c r="AK10" s="989"/>
      <c r="AL10" s="985">
        <v>8</v>
      </c>
      <c r="AM10" s="986"/>
      <c r="AN10" s="986"/>
      <c r="AO10" s="987"/>
      <c r="AP10" s="988">
        <v>3840</v>
      </c>
    </row>
    <row r="11" spans="1:42" ht="25.5">
      <c r="A11" s="36" t="s">
        <v>209</v>
      </c>
      <c r="B11" s="969">
        <v>16159962</v>
      </c>
      <c r="C11" s="970" t="s">
        <v>168</v>
      </c>
      <c r="D11" s="969">
        <v>1241318672</v>
      </c>
      <c r="E11" s="970" t="s">
        <v>232</v>
      </c>
      <c r="F11" s="971" t="str">
        <f t="shared" ca="1" si="0"/>
        <v>NO VIGENTE</v>
      </c>
      <c r="G11" s="972">
        <v>43101</v>
      </c>
      <c r="H11" s="972">
        <v>43549</v>
      </c>
      <c r="I11" s="973">
        <v>65838.7</v>
      </c>
      <c r="J11" s="974">
        <f t="shared" si="4"/>
        <v>343.67801399999996</v>
      </c>
      <c r="K11" s="973">
        <f t="shared" si="1"/>
        <v>2633.5479999999998</v>
      </c>
      <c r="L11" s="973">
        <v>0</v>
      </c>
      <c r="M11" s="975">
        <v>2572.5</v>
      </c>
      <c r="N11" s="970"/>
      <c r="O11" s="976">
        <f>IF(B11=$W$3,SUM((Datos!F10*60)*SUELDOS!$AF$3,(Datos!G10*60)*SUELDOS!$AG$3,(Datos!J10*60)*SUELDOS!$AJ$3,(Datos!K10*60)*SUELDOS!$AK$3),IF(B11=SUELDOS!$W$4,SUM((Datos!F10*60)*SUELDOS!$AF$4,(Datos!G10*60)*SUELDOS!$AG$4,(Datos!J10*60)*SUELDOS!$AJ$4,(Datos!K10*60)*SUELDOS!$AK$4),IF(B11=SUELDOS!$W$5,SUM((Datos!F10*60)*SUELDOS!$AF$5,(Datos!G10*60)*SUELDOS!$AG$5,(Datos!J10*60)*SUELDOS!$AJ$5,(Datos!K10*60)*SUELDOS!$AK$5),0)))</f>
        <v>11407.695833333335</v>
      </c>
      <c r="P11" s="977">
        <f>IF(B11=$W$3,SUM((Datos!D10*60)*SUELDOS!$AD$3,(Datos!E10*60)*SUELDOS!$AE$3,(Datos!H10*60)*SUELDOS!$AH$3,(Datos!I10*60)*SUELDOS!$AI$3),IF(B11=SUELDOS!$W$4,SUM((Datos!D10*60)*SUELDOS!$AD$4,(Datos!E10*60)*SUELDOS!$AE$4,(Datos!H10*60)*SUELDOS!$AH$4,(Datos!I10*60)*SUELDOS!$AI$4),IF(B11=SUELDOS!$W$5,SUM((Datos!D10*60)*SUELDOS!$AD$5,(Datos!E10*60)*SUELDOS!$AE$5,(Datos!H10*60)*SUELDOS!$AH$5,(Datos!I10*60)*SUELDOS!$AI$5),0)))</f>
        <v>54431.005833333329</v>
      </c>
      <c r="Q11" s="978"/>
      <c r="R11" s="973">
        <f t="shared" si="2"/>
        <v>5596.2894999999999</v>
      </c>
      <c r="S11" s="973">
        <f t="shared" si="3"/>
        <v>7900.6439999999993</v>
      </c>
      <c r="T11" s="974">
        <f t="shared" si="5"/>
        <v>5925.4829999999993</v>
      </c>
      <c r="U11" s="973">
        <f t="shared" si="6"/>
        <v>6142.7507099999993</v>
      </c>
      <c r="V11" s="975">
        <f t="shared" si="7"/>
        <v>162792.29489066667</v>
      </c>
      <c r="W11" s="989"/>
      <c r="X11" s="989"/>
      <c r="Y11" s="989"/>
      <c r="Z11" s="989"/>
      <c r="AA11" s="989"/>
      <c r="AB11" s="989"/>
      <c r="AC11" s="989"/>
      <c r="AD11" s="989"/>
      <c r="AE11" s="989"/>
      <c r="AF11" s="989"/>
      <c r="AG11" s="989"/>
      <c r="AH11" s="989"/>
      <c r="AI11" s="989"/>
      <c r="AJ11" s="989"/>
      <c r="AK11" s="989"/>
      <c r="AL11" s="985">
        <v>9</v>
      </c>
      <c r="AM11" s="986"/>
      <c r="AN11" s="986"/>
      <c r="AO11" s="987"/>
      <c r="AP11" s="988">
        <v>4320</v>
      </c>
    </row>
    <row r="12" spans="1:42" ht="25.5">
      <c r="A12" s="36" t="s">
        <v>209</v>
      </c>
      <c r="B12" s="969">
        <v>16159962</v>
      </c>
      <c r="C12" s="970" t="s">
        <v>169</v>
      </c>
      <c r="D12" s="969">
        <v>1324063080</v>
      </c>
      <c r="E12" s="970" t="s">
        <v>233</v>
      </c>
      <c r="F12" s="971" t="str">
        <f t="shared" ca="1" si="0"/>
        <v>NO VIGENTE</v>
      </c>
      <c r="G12" s="972">
        <v>43101</v>
      </c>
      <c r="H12" s="972">
        <v>43549</v>
      </c>
      <c r="I12" s="973">
        <v>68120.240000000005</v>
      </c>
      <c r="J12" s="974">
        <f t="shared" si="4"/>
        <v>355.58765280000006</v>
      </c>
      <c r="K12" s="973">
        <f t="shared" si="1"/>
        <v>2724.8096</v>
      </c>
      <c r="L12" s="973">
        <v>0</v>
      </c>
      <c r="M12" s="975">
        <v>2572.5</v>
      </c>
      <c r="N12" s="970"/>
      <c r="O12" s="976">
        <f>IF(B12=$W$3,SUM((Datos!F11*60)*SUELDOS!$AF$3,(Datos!G11*60)*SUELDOS!$AG$3,(Datos!J11*60)*SUELDOS!$AJ$3,(Datos!K11*60)*SUELDOS!$AK$3),IF(B12=SUELDOS!$W$4,SUM((Datos!F11*60)*SUELDOS!$AF$4,(Datos!G11*60)*SUELDOS!$AG$4,(Datos!J11*60)*SUELDOS!$AJ$4,(Datos!K11*60)*SUELDOS!$AK$4),IF(B12=SUELDOS!$W$5,SUM((Datos!F11*60)*SUELDOS!$AF$5,(Datos!G11*60)*SUELDOS!$AG$5,(Datos!J11*60)*SUELDOS!$AJ$5,(Datos!K11*60)*SUELDOS!$AK$5),0)))</f>
        <v>11407.695833333335</v>
      </c>
      <c r="P12" s="977">
        <f>IF(B12=$W$3,SUM((Datos!D11*60)*SUELDOS!$AD$3,(Datos!E11*60)*SUELDOS!$AE$3,(Datos!H11*60)*SUELDOS!$AH$3,(Datos!I11*60)*SUELDOS!$AI$3),IF(B12=SUELDOS!$W$4,SUM((Datos!D11*60)*SUELDOS!$AD$4,(Datos!E11*60)*SUELDOS!$AE$4,(Datos!H11*60)*SUELDOS!$AH$4,(Datos!I11*60)*SUELDOS!$AI$4),IF(B12=SUELDOS!$W$5,SUM((Datos!D11*60)*SUELDOS!$AD$5,(Datos!E11*60)*SUELDOS!$AE$5,(Datos!H11*60)*SUELDOS!$AH$5,(Datos!I11*60)*SUELDOS!$AI$5),0)))</f>
        <v>56712.544999999998</v>
      </c>
      <c r="Q12" s="978"/>
      <c r="R12" s="973">
        <f t="shared" si="2"/>
        <v>5790.2204000000011</v>
      </c>
      <c r="S12" s="973">
        <f t="shared" si="3"/>
        <v>8174.4288000000006</v>
      </c>
      <c r="T12" s="974">
        <f t="shared" si="5"/>
        <v>6130.8216000000002</v>
      </c>
      <c r="U12" s="973">
        <f t="shared" si="6"/>
        <v>6355.6183920000003</v>
      </c>
      <c r="V12" s="975">
        <f t="shared" si="7"/>
        <v>168344.46727813332</v>
      </c>
      <c r="W12" s="989"/>
      <c r="X12" s="989"/>
      <c r="Y12" s="989"/>
      <c r="Z12" s="989"/>
      <c r="AA12" s="989"/>
      <c r="AB12" s="989"/>
      <c r="AC12" s="989"/>
      <c r="AD12" s="989"/>
      <c r="AE12" s="989"/>
      <c r="AF12" s="989"/>
      <c r="AG12" s="989"/>
      <c r="AH12" s="989"/>
      <c r="AI12" s="989"/>
      <c r="AJ12" s="989"/>
      <c r="AK12" s="989"/>
      <c r="AL12" s="985">
        <v>10</v>
      </c>
      <c r="AM12" s="986"/>
      <c r="AN12" s="986"/>
      <c r="AO12" s="987"/>
      <c r="AP12" s="988">
        <v>4800</v>
      </c>
    </row>
    <row r="13" spans="1:42" ht="25.5">
      <c r="A13" s="36" t="s">
        <v>209</v>
      </c>
      <c r="B13" s="969">
        <v>16159961</v>
      </c>
      <c r="C13" s="970" t="s">
        <v>175</v>
      </c>
      <c r="D13" s="969">
        <v>1259425899</v>
      </c>
      <c r="E13" s="970" t="s">
        <v>234</v>
      </c>
      <c r="F13" s="971" t="str">
        <f t="shared" ca="1" si="0"/>
        <v>NO VIGENTE</v>
      </c>
      <c r="G13" s="972">
        <v>43101</v>
      </c>
      <c r="H13" s="972">
        <v>43549</v>
      </c>
      <c r="I13" s="973">
        <v>30637.81</v>
      </c>
      <c r="J13" s="974">
        <f t="shared" si="4"/>
        <v>159.9293682</v>
      </c>
      <c r="K13" s="973">
        <f t="shared" si="1"/>
        <v>1225.5124000000001</v>
      </c>
      <c r="L13" s="973">
        <v>0</v>
      </c>
      <c r="M13" s="975">
        <v>2695</v>
      </c>
      <c r="N13" s="970"/>
      <c r="O13" s="976">
        <f>IF(B13=$W$3,SUM((Datos!F12*60)*SUELDOS!$AF$3,(Datos!G12*60)*SUELDOS!$AG$3,(Datos!J12*60)*SUELDOS!$AJ$3,(Datos!K12*60)*SUELDOS!$AK$3),IF(B13=SUELDOS!$W$4,SUM((Datos!F12*60)*SUELDOS!$AF$4,(Datos!G12*60)*SUELDOS!$AG$4,(Datos!J12*60)*SUELDOS!$AJ$4,(Datos!K12*60)*SUELDOS!$AK$4),IF(B13=SUELDOS!$W$5,SUM((Datos!F12*60)*SUELDOS!$AF$5,(Datos!G12*60)*SUELDOS!$AG$5,(Datos!J12*60)*SUELDOS!$AJ$5,(Datos!K12*60)*SUELDOS!$AK$5),0)))</f>
        <v>0</v>
      </c>
      <c r="P13" s="977">
        <f>IF(B13=$W$3,SUM((Datos!D12*60)*SUELDOS!$AD$3,(Datos!E12*60)*SUELDOS!$AE$3,(Datos!H12*60)*SUELDOS!$AH$3,(Datos!I12*60)*SUELDOS!$AI$3),IF(B13=SUELDOS!$W$4,SUM((Datos!D12*60)*SUELDOS!$AD$4,(Datos!E12*60)*SUELDOS!$AE$4,(Datos!H12*60)*SUELDOS!$AH$4,(Datos!I12*60)*SUELDOS!$AI$4),IF(B13=SUELDOS!$W$5,SUM((Datos!D12*60)*SUELDOS!$AD$5,(Datos!E12*60)*SUELDOS!$AE$5,(Datos!H12*60)*SUELDOS!$AH$5,(Datos!I12*60)*SUELDOS!$AI$5),0)))</f>
        <v>30637.811666666668</v>
      </c>
      <c r="Q13" s="978"/>
      <c r="R13" s="973">
        <f t="shared" si="2"/>
        <v>2604.2138500000001</v>
      </c>
      <c r="S13" s="973">
        <f t="shared" si="3"/>
        <v>3676.5372000000002</v>
      </c>
      <c r="T13" s="974">
        <f t="shared" si="5"/>
        <v>2757.4029</v>
      </c>
      <c r="U13" s="973">
        <f t="shared" si="6"/>
        <v>2858.5076730000001</v>
      </c>
      <c r="V13" s="975">
        <f t="shared" si="7"/>
        <v>77252.725057866672</v>
      </c>
      <c r="W13" s="989"/>
      <c r="X13" s="989"/>
      <c r="Y13" s="989"/>
      <c r="Z13" s="989"/>
      <c r="AA13" s="989"/>
      <c r="AB13" s="989"/>
      <c r="AC13" s="989"/>
      <c r="AD13" s="989"/>
      <c r="AE13" s="989"/>
      <c r="AF13" s="989"/>
      <c r="AG13" s="989"/>
      <c r="AH13" s="989"/>
      <c r="AI13" s="989"/>
      <c r="AJ13" s="989"/>
      <c r="AK13" s="989"/>
      <c r="AL13" s="985">
        <v>11</v>
      </c>
      <c r="AM13" s="986"/>
      <c r="AN13" s="986"/>
      <c r="AO13" s="987"/>
      <c r="AP13" s="988">
        <v>5280</v>
      </c>
    </row>
    <row r="14" spans="1:42">
      <c r="A14" s="44"/>
      <c r="B14" s="990"/>
      <c r="C14" s="990"/>
      <c r="D14" s="990"/>
      <c r="E14" s="990"/>
      <c r="F14" s="990"/>
      <c r="G14" s="990"/>
      <c r="H14" s="990"/>
      <c r="I14" s="991"/>
      <c r="J14" s="991"/>
      <c r="K14" s="991"/>
      <c r="L14" s="991"/>
      <c r="M14" s="991"/>
      <c r="N14" s="991"/>
      <c r="O14" s="991"/>
      <c r="P14" s="990"/>
      <c r="Q14" s="990"/>
      <c r="R14" s="990"/>
      <c r="S14" s="990"/>
      <c r="T14" s="991"/>
      <c r="U14" s="992"/>
      <c r="V14" s="992"/>
      <c r="W14" s="989"/>
      <c r="X14" s="989"/>
      <c r="Y14" s="989"/>
      <c r="Z14" s="989"/>
      <c r="AA14" s="989"/>
      <c r="AB14" s="989"/>
      <c r="AC14" s="989"/>
      <c r="AD14" s="989"/>
      <c r="AE14" s="989"/>
      <c r="AF14" s="989"/>
      <c r="AG14" s="989"/>
      <c r="AH14" s="989"/>
      <c r="AI14" s="989"/>
      <c r="AJ14" s="989"/>
      <c r="AK14" s="989"/>
      <c r="AL14" s="985">
        <v>12</v>
      </c>
      <c r="AM14" s="986"/>
      <c r="AN14" s="986"/>
      <c r="AO14" s="987"/>
      <c r="AP14" s="988">
        <v>5760</v>
      </c>
    </row>
    <row r="15" spans="1:42" ht="45" hidden="1" customHeight="1">
      <c r="A15" s="36"/>
      <c r="B15" s="27" t="s">
        <v>159</v>
      </c>
      <c r="C15" s="28" t="s">
        <v>30</v>
      </c>
      <c r="D15" s="28" t="s">
        <v>160</v>
      </c>
      <c r="E15" s="28" t="s">
        <v>226</v>
      </c>
      <c r="F15" s="28" t="s">
        <v>163</v>
      </c>
      <c r="G15" s="28" t="s">
        <v>173</v>
      </c>
      <c r="H15" s="28" t="s">
        <v>174</v>
      </c>
      <c r="I15" s="28" t="s">
        <v>34</v>
      </c>
      <c r="J15" s="28" t="s">
        <v>161</v>
      </c>
      <c r="K15" s="28" t="s">
        <v>162</v>
      </c>
      <c r="L15" s="28" t="s">
        <v>176</v>
      </c>
      <c r="M15" s="29" t="s">
        <v>216</v>
      </c>
      <c r="N15" s="29" t="s">
        <v>236</v>
      </c>
      <c r="O15" s="28" t="s">
        <v>235</v>
      </c>
      <c r="P15" s="29" t="s">
        <v>217</v>
      </c>
      <c r="Q15" s="29" t="s">
        <v>225</v>
      </c>
      <c r="R15" s="28" t="s">
        <v>162</v>
      </c>
      <c r="S15" s="28" t="s">
        <v>176</v>
      </c>
      <c r="T15" s="30" t="s">
        <v>54</v>
      </c>
    </row>
    <row r="16" spans="1:42" ht="25.5" hidden="1">
      <c r="A16" s="36" t="s">
        <v>86</v>
      </c>
      <c r="B16" s="37">
        <v>16159963</v>
      </c>
      <c r="C16" s="38" t="s">
        <v>164</v>
      </c>
      <c r="D16" s="37">
        <v>1321648522</v>
      </c>
      <c r="E16" s="38" t="s">
        <v>229</v>
      </c>
      <c r="F16" s="39" t="str">
        <f t="shared" ref="F16:F26" ca="1" si="16">IF(AND(H16&gt;TODAY(),G16&lt;TODAY()),"VIGENTE","NO VIGENTE")</f>
        <v>NO VIGENTE</v>
      </c>
      <c r="G16" s="40">
        <v>43393</v>
      </c>
      <c r="H16" s="40">
        <v>43549</v>
      </c>
      <c r="I16" s="41">
        <v>2346726</v>
      </c>
      <c r="J16" s="41">
        <f t="shared" ref="J16:J26" si="17">I16*0.08</f>
        <v>187738.08000000002</v>
      </c>
      <c r="K16" s="41">
        <f t="shared" ref="K16:K26" si="18">I16*0.04</f>
        <v>93869.040000000008</v>
      </c>
      <c r="L16" s="41">
        <f>I16*0.12</f>
        <v>281607.12</v>
      </c>
      <c r="M16" s="42" t="s">
        <v>218</v>
      </c>
      <c r="N16" s="38"/>
      <c r="O16" s="38"/>
      <c r="P16" s="45">
        <v>30</v>
      </c>
      <c r="Q16" s="38">
        <f t="shared" ref="Q16:Q26" si="19">30-P16</f>
        <v>0</v>
      </c>
      <c r="R16" s="41">
        <f t="shared" ref="R16:R26" si="20">I16*0.085</f>
        <v>199471.71000000002</v>
      </c>
      <c r="S16" s="41">
        <f t="shared" ref="S16:S26" si="21">I16*0.12</f>
        <v>281607.12</v>
      </c>
      <c r="T16" s="42">
        <f t="shared" ref="T16:T26" si="22">SUM(I16:M16,R16,O16,N16,S16)</f>
        <v>3391019.0700000003</v>
      </c>
    </row>
    <row r="17" spans="1:20" ht="25.5" hidden="1">
      <c r="A17" s="36" t="s">
        <v>86</v>
      </c>
      <c r="B17" s="37">
        <v>16159962</v>
      </c>
      <c r="C17" s="38" t="s">
        <v>170</v>
      </c>
      <c r="D17" s="37">
        <v>1323384207</v>
      </c>
      <c r="E17" s="38" t="s">
        <v>232</v>
      </c>
      <c r="F17" s="39" t="str">
        <f t="shared" ca="1" si="16"/>
        <v>NO VIGENTE</v>
      </c>
      <c r="G17" s="40">
        <v>43441</v>
      </c>
      <c r="H17" s="40">
        <v>43552</v>
      </c>
      <c r="I17" s="41">
        <v>782242</v>
      </c>
      <c r="J17" s="41">
        <f t="shared" si="17"/>
        <v>62579.360000000001</v>
      </c>
      <c r="K17" s="41">
        <f t="shared" si="18"/>
        <v>31289.68</v>
      </c>
      <c r="L17" s="41">
        <f>I17*0.1</f>
        <v>78224.2</v>
      </c>
      <c r="M17" s="42">
        <v>44105.549999999996</v>
      </c>
      <c r="N17" s="38"/>
      <c r="O17" s="38"/>
      <c r="P17" s="45">
        <v>15</v>
      </c>
      <c r="Q17" s="38">
        <f t="shared" si="19"/>
        <v>15</v>
      </c>
      <c r="R17" s="41">
        <f t="shared" si="20"/>
        <v>66490.570000000007</v>
      </c>
      <c r="S17" s="41">
        <f t="shared" si="21"/>
        <v>93869.04</v>
      </c>
      <c r="T17" s="42">
        <f t="shared" si="22"/>
        <v>1158800.4000000001</v>
      </c>
    </row>
    <row r="18" spans="1:20" ht="25.5" hidden="1">
      <c r="A18" s="36" t="s">
        <v>86</v>
      </c>
      <c r="B18" s="37">
        <v>16159962</v>
      </c>
      <c r="C18" s="38" t="s">
        <v>171</v>
      </c>
      <c r="D18" s="37">
        <v>1237462775</v>
      </c>
      <c r="E18" s="38" t="s">
        <v>228</v>
      </c>
      <c r="F18" s="39" t="str">
        <f t="shared" ca="1" si="16"/>
        <v>NO VIGENTE</v>
      </c>
      <c r="G18" s="40">
        <v>43274</v>
      </c>
      <c r="H18" s="40">
        <v>43462</v>
      </c>
      <c r="I18" s="41">
        <v>1512334.5333333334</v>
      </c>
      <c r="J18" s="41">
        <f t="shared" si="17"/>
        <v>120986.76266666668</v>
      </c>
      <c r="K18" s="41">
        <f t="shared" si="18"/>
        <v>60493.381333333338</v>
      </c>
      <c r="L18" s="41">
        <f>I18*0.1</f>
        <v>151233.45333333334</v>
      </c>
      <c r="M18" s="42">
        <v>85270.73</v>
      </c>
      <c r="N18" s="38"/>
      <c r="O18" s="38"/>
      <c r="P18" s="45">
        <v>29</v>
      </c>
      <c r="Q18" s="38">
        <f t="shared" si="19"/>
        <v>1</v>
      </c>
      <c r="R18" s="41">
        <f t="shared" si="20"/>
        <v>128548.43533333336</v>
      </c>
      <c r="S18" s="41">
        <f t="shared" si="21"/>
        <v>181480.144</v>
      </c>
      <c r="T18" s="42">
        <f t="shared" si="22"/>
        <v>2240347.4400000004</v>
      </c>
    </row>
    <row r="19" spans="1:20" ht="34.5" hidden="1" customHeight="1">
      <c r="A19" s="36" t="s">
        <v>86</v>
      </c>
      <c r="B19" s="37">
        <v>16159961</v>
      </c>
      <c r="C19" s="38" t="s">
        <v>172</v>
      </c>
      <c r="D19" s="37">
        <v>1285748000</v>
      </c>
      <c r="E19" s="38" t="s">
        <v>234</v>
      </c>
      <c r="F19" s="39" t="str">
        <f t="shared" ca="1" si="16"/>
        <v>NO VIGENTE</v>
      </c>
      <c r="G19" s="40">
        <v>43283</v>
      </c>
      <c r="H19" s="40">
        <v>43540</v>
      </c>
      <c r="I19" s="41">
        <v>704017.8</v>
      </c>
      <c r="J19" s="41">
        <f t="shared" si="17"/>
        <v>56321.424000000006</v>
      </c>
      <c r="K19" s="41">
        <f t="shared" si="18"/>
        <v>28160.712000000003</v>
      </c>
      <c r="L19" s="41">
        <f>I19*0.1</f>
        <v>70401.780000000013</v>
      </c>
      <c r="M19" s="42">
        <v>79389.989999999991</v>
      </c>
      <c r="N19" s="38"/>
      <c r="O19" s="38"/>
      <c r="P19" s="45">
        <v>27</v>
      </c>
      <c r="Q19" s="38">
        <f t="shared" si="19"/>
        <v>3</v>
      </c>
      <c r="R19" s="41">
        <f t="shared" si="20"/>
        <v>59841.513000000006</v>
      </c>
      <c r="S19" s="41">
        <f t="shared" si="21"/>
        <v>84482.135999999999</v>
      </c>
      <c r="T19" s="42">
        <f t="shared" si="22"/>
        <v>1082615.3550000002</v>
      </c>
    </row>
    <row r="20" spans="1:20" ht="25.5" hidden="1">
      <c r="A20" s="36" t="s">
        <v>86</v>
      </c>
      <c r="B20" s="37">
        <v>16159963</v>
      </c>
      <c r="C20" s="38" t="s">
        <v>167</v>
      </c>
      <c r="D20" s="37">
        <v>1247550875</v>
      </c>
      <c r="E20" s="38" t="s">
        <v>231</v>
      </c>
      <c r="F20" s="39" t="str">
        <f t="shared" ca="1" si="16"/>
        <v>VIGENTE</v>
      </c>
      <c r="G20" s="40">
        <v>43136</v>
      </c>
      <c r="H20" s="40" t="s">
        <v>237</v>
      </c>
      <c r="I20" s="41">
        <v>2033829.2</v>
      </c>
      <c r="J20" s="41">
        <f t="shared" si="17"/>
        <v>162706.33600000001</v>
      </c>
      <c r="K20" s="41">
        <f t="shared" si="18"/>
        <v>81353.168000000005</v>
      </c>
      <c r="L20" s="41">
        <v>0</v>
      </c>
      <c r="M20" s="42" t="s">
        <v>218</v>
      </c>
      <c r="N20" s="38"/>
      <c r="O20" s="38"/>
      <c r="P20" s="45">
        <v>26</v>
      </c>
      <c r="Q20" s="38">
        <f t="shared" si="19"/>
        <v>4</v>
      </c>
      <c r="R20" s="41">
        <f t="shared" si="20"/>
        <v>172875.48200000002</v>
      </c>
      <c r="S20" s="41">
        <f t="shared" si="21"/>
        <v>244059.50399999999</v>
      </c>
      <c r="T20" s="42">
        <f t="shared" si="22"/>
        <v>2694823.69</v>
      </c>
    </row>
    <row r="21" spans="1:20" ht="25.5" hidden="1">
      <c r="A21" s="36" t="s">
        <v>86</v>
      </c>
      <c r="B21" s="46">
        <v>16159963</v>
      </c>
      <c r="C21" s="47" t="s">
        <v>40</v>
      </c>
      <c r="D21" s="46">
        <v>1311966071</v>
      </c>
      <c r="E21" s="47" t="s">
        <v>228</v>
      </c>
      <c r="F21" s="48" t="str">
        <f t="shared" ca="1" si="16"/>
        <v>NO VIGENTE</v>
      </c>
      <c r="G21" s="49">
        <v>43252</v>
      </c>
      <c r="H21" s="49">
        <v>0</v>
      </c>
      <c r="I21" s="50">
        <v>0</v>
      </c>
      <c r="J21" s="50">
        <f t="shared" si="17"/>
        <v>0</v>
      </c>
      <c r="K21" s="50">
        <f t="shared" si="18"/>
        <v>0</v>
      </c>
      <c r="L21" s="50">
        <v>0</v>
      </c>
      <c r="M21" s="51">
        <v>0</v>
      </c>
      <c r="N21" s="47"/>
      <c r="O21" s="47"/>
      <c r="P21" s="52">
        <v>30</v>
      </c>
      <c r="Q21" s="47">
        <f t="shared" si="19"/>
        <v>0</v>
      </c>
      <c r="R21" s="50">
        <f t="shared" si="20"/>
        <v>0</v>
      </c>
      <c r="S21" s="50">
        <f t="shared" si="21"/>
        <v>0</v>
      </c>
      <c r="T21" s="51">
        <f t="shared" si="22"/>
        <v>0</v>
      </c>
    </row>
    <row r="22" spans="1:20" ht="25.5" hidden="1">
      <c r="A22" s="36" t="s">
        <v>86</v>
      </c>
      <c r="B22" s="46">
        <v>16159963</v>
      </c>
      <c r="C22" s="47" t="s">
        <v>165</v>
      </c>
      <c r="D22" s="46">
        <v>1317424267</v>
      </c>
      <c r="E22" s="47" t="s">
        <v>230</v>
      </c>
      <c r="F22" s="48" t="str">
        <f t="shared" ca="1" si="16"/>
        <v>NO VIGENTE</v>
      </c>
      <c r="G22" s="49">
        <v>43453</v>
      </c>
      <c r="H22" s="49">
        <v>0</v>
      </c>
      <c r="I22" s="50">
        <v>0</v>
      </c>
      <c r="J22" s="50">
        <f t="shared" si="17"/>
        <v>0</v>
      </c>
      <c r="K22" s="50">
        <f t="shared" si="18"/>
        <v>0</v>
      </c>
      <c r="L22" s="50">
        <v>0</v>
      </c>
      <c r="M22" s="51">
        <v>0</v>
      </c>
      <c r="N22" s="47"/>
      <c r="O22" s="47"/>
      <c r="P22" s="52">
        <v>15</v>
      </c>
      <c r="Q22" s="47">
        <f t="shared" si="19"/>
        <v>15</v>
      </c>
      <c r="R22" s="50">
        <f t="shared" si="20"/>
        <v>0</v>
      </c>
      <c r="S22" s="50">
        <f t="shared" si="21"/>
        <v>0</v>
      </c>
      <c r="T22" s="51">
        <f t="shared" si="22"/>
        <v>0</v>
      </c>
    </row>
    <row r="23" spans="1:20" ht="25.5" hidden="1">
      <c r="A23" s="36" t="s">
        <v>86</v>
      </c>
      <c r="B23" s="46">
        <v>16159963</v>
      </c>
      <c r="C23" s="47" t="s">
        <v>166</v>
      </c>
      <c r="D23" s="46">
        <v>1315211554</v>
      </c>
      <c r="E23" s="47" t="s">
        <v>229</v>
      </c>
      <c r="F23" s="48" t="str">
        <f t="shared" ca="1" si="16"/>
        <v>NO VIGENTE</v>
      </c>
      <c r="G23" s="49">
        <v>43147</v>
      </c>
      <c r="H23" s="49">
        <v>0</v>
      </c>
      <c r="I23" s="50">
        <v>0</v>
      </c>
      <c r="J23" s="50">
        <f t="shared" si="17"/>
        <v>0</v>
      </c>
      <c r="K23" s="50">
        <f t="shared" si="18"/>
        <v>0</v>
      </c>
      <c r="L23" s="50">
        <v>0</v>
      </c>
      <c r="M23" s="51">
        <v>0</v>
      </c>
      <c r="N23" s="47"/>
      <c r="O23" s="47"/>
      <c r="P23" s="52">
        <v>25</v>
      </c>
      <c r="Q23" s="47">
        <f t="shared" si="19"/>
        <v>5</v>
      </c>
      <c r="R23" s="50">
        <f t="shared" si="20"/>
        <v>0</v>
      </c>
      <c r="S23" s="50">
        <f t="shared" si="21"/>
        <v>0</v>
      </c>
      <c r="T23" s="51">
        <f t="shared" si="22"/>
        <v>0</v>
      </c>
    </row>
    <row r="24" spans="1:20" ht="25.5" hidden="1">
      <c r="A24" s="36" t="s">
        <v>86</v>
      </c>
      <c r="B24" s="46">
        <v>16159962</v>
      </c>
      <c r="C24" s="47" t="s">
        <v>168</v>
      </c>
      <c r="D24" s="46">
        <v>1241318672</v>
      </c>
      <c r="E24" s="47" t="s">
        <v>232</v>
      </c>
      <c r="F24" s="48" t="str">
        <f t="shared" ca="1" si="16"/>
        <v>NO VIGENTE</v>
      </c>
      <c r="G24" s="49">
        <v>43169</v>
      </c>
      <c r="H24" s="49">
        <v>0</v>
      </c>
      <c r="I24" s="50">
        <v>0</v>
      </c>
      <c r="J24" s="50">
        <f t="shared" si="17"/>
        <v>0</v>
      </c>
      <c r="K24" s="50">
        <f t="shared" si="18"/>
        <v>0</v>
      </c>
      <c r="L24" s="50">
        <v>0</v>
      </c>
      <c r="M24" s="51">
        <v>0</v>
      </c>
      <c r="N24" s="47"/>
      <c r="O24" s="47"/>
      <c r="P24" s="52">
        <v>27</v>
      </c>
      <c r="Q24" s="47">
        <f t="shared" si="19"/>
        <v>3</v>
      </c>
      <c r="R24" s="50">
        <f t="shared" si="20"/>
        <v>0</v>
      </c>
      <c r="S24" s="50">
        <f t="shared" si="21"/>
        <v>0</v>
      </c>
      <c r="T24" s="51">
        <f t="shared" si="22"/>
        <v>0</v>
      </c>
    </row>
    <row r="25" spans="1:20" ht="25.5" hidden="1">
      <c r="A25" s="36" t="s">
        <v>86</v>
      </c>
      <c r="B25" s="46">
        <v>16159962</v>
      </c>
      <c r="C25" s="47" t="s">
        <v>169</v>
      </c>
      <c r="D25" s="46">
        <v>1324063080</v>
      </c>
      <c r="E25" s="47" t="s">
        <v>233</v>
      </c>
      <c r="F25" s="48" t="str">
        <f t="shared" ca="1" si="16"/>
        <v>NO VIGENTE</v>
      </c>
      <c r="G25" s="49">
        <v>43202</v>
      </c>
      <c r="H25" s="49">
        <v>0</v>
      </c>
      <c r="I25" s="50">
        <v>0</v>
      </c>
      <c r="J25" s="50">
        <f t="shared" si="17"/>
        <v>0</v>
      </c>
      <c r="K25" s="50">
        <f t="shared" si="18"/>
        <v>0</v>
      </c>
      <c r="L25" s="50">
        <v>0</v>
      </c>
      <c r="M25" s="51">
        <v>0</v>
      </c>
      <c r="N25" s="47"/>
      <c r="O25" s="47"/>
      <c r="P25" s="52">
        <v>18</v>
      </c>
      <c r="Q25" s="47">
        <f t="shared" si="19"/>
        <v>12</v>
      </c>
      <c r="R25" s="50">
        <f t="shared" si="20"/>
        <v>0</v>
      </c>
      <c r="S25" s="50">
        <f t="shared" si="21"/>
        <v>0</v>
      </c>
      <c r="T25" s="51">
        <f t="shared" si="22"/>
        <v>0</v>
      </c>
    </row>
    <row r="26" spans="1:20" ht="25.5" hidden="1">
      <c r="A26" s="36" t="s">
        <v>86</v>
      </c>
      <c r="B26" s="46">
        <v>16159961</v>
      </c>
      <c r="C26" s="47" t="s">
        <v>175</v>
      </c>
      <c r="D26" s="46">
        <v>1259425899</v>
      </c>
      <c r="E26" s="47" t="s">
        <v>234</v>
      </c>
      <c r="F26" s="48" t="str">
        <f t="shared" ca="1" si="16"/>
        <v>NO VIGENTE</v>
      </c>
      <c r="G26" s="49">
        <v>43302</v>
      </c>
      <c r="H26" s="49">
        <v>0</v>
      </c>
      <c r="I26" s="50">
        <v>0</v>
      </c>
      <c r="J26" s="50">
        <f t="shared" si="17"/>
        <v>0</v>
      </c>
      <c r="K26" s="50">
        <f t="shared" si="18"/>
        <v>0</v>
      </c>
      <c r="L26" s="50">
        <v>0</v>
      </c>
      <c r="M26" s="51">
        <v>0</v>
      </c>
      <c r="N26" s="47"/>
      <c r="O26" s="47"/>
      <c r="P26" s="52">
        <v>29</v>
      </c>
      <c r="Q26" s="47">
        <f t="shared" si="19"/>
        <v>1</v>
      </c>
      <c r="R26" s="50">
        <f t="shared" si="20"/>
        <v>0</v>
      </c>
      <c r="S26" s="50">
        <f t="shared" si="21"/>
        <v>0</v>
      </c>
      <c r="T26" s="51">
        <f t="shared" si="22"/>
        <v>0</v>
      </c>
    </row>
    <row r="27" spans="1:20" ht="17.25" hidden="1" thickBot="1"/>
    <row r="28" spans="1:20" ht="48" hidden="1" customHeight="1">
      <c r="A28" s="36"/>
      <c r="B28" s="53" t="s">
        <v>159</v>
      </c>
      <c r="C28" s="54" t="s">
        <v>30</v>
      </c>
      <c r="D28" s="54" t="s">
        <v>160</v>
      </c>
      <c r="E28" s="54" t="s">
        <v>226</v>
      </c>
      <c r="F28" s="54" t="s">
        <v>163</v>
      </c>
      <c r="G28" s="54" t="s">
        <v>173</v>
      </c>
      <c r="H28" s="54" t="s">
        <v>174</v>
      </c>
      <c r="I28" s="54" t="s">
        <v>34</v>
      </c>
      <c r="J28" s="54" t="s">
        <v>161</v>
      </c>
      <c r="K28" s="54" t="s">
        <v>162</v>
      </c>
      <c r="L28" s="54" t="s">
        <v>176</v>
      </c>
      <c r="M28" s="55" t="s">
        <v>216</v>
      </c>
      <c r="N28" s="55" t="s">
        <v>236</v>
      </c>
      <c r="O28" s="54" t="s">
        <v>235</v>
      </c>
      <c r="P28" s="55" t="s">
        <v>217</v>
      </c>
      <c r="Q28" s="55" t="s">
        <v>225</v>
      </c>
      <c r="R28" s="54" t="s">
        <v>162</v>
      </c>
      <c r="S28" s="54" t="s">
        <v>176</v>
      </c>
      <c r="T28" s="56" t="s">
        <v>54</v>
      </c>
    </row>
    <row r="29" spans="1:20" ht="16.5" hidden="1" customHeight="1">
      <c r="A29" s="36" t="s">
        <v>87</v>
      </c>
      <c r="B29" s="37">
        <v>16159963</v>
      </c>
      <c r="C29" s="38" t="s">
        <v>164</v>
      </c>
      <c r="D29" s="37">
        <v>1321648522</v>
      </c>
      <c r="E29" s="38" t="s">
        <v>229</v>
      </c>
      <c r="F29" s="39" t="str">
        <f t="shared" ref="F29:F39" ca="1" si="23">IF(AND(H29&gt;TODAY(),G29&lt;TODAY()),"VIGENTE","NO VIGENTE")</f>
        <v>NO VIGENTE</v>
      </c>
      <c r="G29" s="40">
        <v>43393</v>
      </c>
      <c r="H29" s="40">
        <v>43549</v>
      </c>
      <c r="I29" s="41">
        <v>2346726</v>
      </c>
      <c r="J29" s="41">
        <f t="shared" ref="J29:J39" si="24">I29*0.08</f>
        <v>187738.08000000002</v>
      </c>
      <c r="K29" s="41">
        <f t="shared" ref="K29:K39" si="25">I29*0.04</f>
        <v>93869.040000000008</v>
      </c>
      <c r="L29" s="41">
        <f>I29*0.12</f>
        <v>281607.12</v>
      </c>
      <c r="M29" s="42" t="s">
        <v>218</v>
      </c>
      <c r="N29" s="38"/>
      <c r="O29" s="38"/>
      <c r="P29" s="45">
        <v>30</v>
      </c>
      <c r="Q29" s="38">
        <f t="shared" ref="Q29:Q39" si="26">30-P29</f>
        <v>0</v>
      </c>
      <c r="R29" s="41">
        <f t="shared" ref="R29:R39" si="27">I29*0.085</f>
        <v>199471.71000000002</v>
      </c>
      <c r="S29" s="41">
        <f t="shared" ref="S29:S39" si="28">I29*0.12</f>
        <v>281607.12</v>
      </c>
      <c r="T29" s="42">
        <f t="shared" ref="T29:T39" si="29">SUM(I29:M29,R29,O29,N29,S29)</f>
        <v>3391019.0700000003</v>
      </c>
    </row>
    <row r="30" spans="1:20" ht="16.5" hidden="1" customHeight="1">
      <c r="A30" s="36" t="s">
        <v>87</v>
      </c>
      <c r="B30" s="37">
        <v>16159962</v>
      </c>
      <c r="C30" s="38" t="s">
        <v>170</v>
      </c>
      <c r="D30" s="37">
        <v>1323384207</v>
      </c>
      <c r="E30" s="38" t="s">
        <v>232</v>
      </c>
      <c r="F30" s="39" t="str">
        <f t="shared" ca="1" si="23"/>
        <v>NO VIGENTE</v>
      </c>
      <c r="G30" s="40">
        <v>43441</v>
      </c>
      <c r="H30" s="40">
        <v>43552</v>
      </c>
      <c r="I30" s="41">
        <v>782242</v>
      </c>
      <c r="J30" s="41">
        <f t="shared" si="24"/>
        <v>62579.360000000001</v>
      </c>
      <c r="K30" s="41">
        <f t="shared" si="25"/>
        <v>31289.68</v>
      </c>
      <c r="L30" s="41">
        <f>I30*0.1</f>
        <v>78224.2</v>
      </c>
      <c r="M30" s="42">
        <v>44105.549999999996</v>
      </c>
      <c r="N30" s="38"/>
      <c r="O30" s="38"/>
      <c r="P30" s="45">
        <v>15</v>
      </c>
      <c r="Q30" s="38">
        <f t="shared" si="26"/>
        <v>15</v>
      </c>
      <c r="R30" s="41">
        <f t="shared" si="27"/>
        <v>66490.570000000007</v>
      </c>
      <c r="S30" s="41">
        <f t="shared" si="28"/>
        <v>93869.04</v>
      </c>
      <c r="T30" s="42">
        <f t="shared" si="29"/>
        <v>1158800.4000000001</v>
      </c>
    </row>
    <row r="31" spans="1:20" ht="16.5" hidden="1" customHeight="1">
      <c r="A31" s="36" t="s">
        <v>87</v>
      </c>
      <c r="B31" s="37">
        <v>16159962</v>
      </c>
      <c r="C31" s="38" t="s">
        <v>171</v>
      </c>
      <c r="D31" s="37">
        <v>1237462775</v>
      </c>
      <c r="E31" s="38" t="s">
        <v>228</v>
      </c>
      <c r="F31" s="39" t="str">
        <f t="shared" ca="1" si="23"/>
        <v>NO VIGENTE</v>
      </c>
      <c r="G31" s="40">
        <v>43274</v>
      </c>
      <c r="H31" s="40">
        <v>43462</v>
      </c>
      <c r="I31" s="41">
        <v>1512334.5333333334</v>
      </c>
      <c r="J31" s="41">
        <f t="shared" si="24"/>
        <v>120986.76266666668</v>
      </c>
      <c r="K31" s="41">
        <f t="shared" si="25"/>
        <v>60493.381333333338</v>
      </c>
      <c r="L31" s="41">
        <f>I31*0.1</f>
        <v>151233.45333333334</v>
      </c>
      <c r="M31" s="42">
        <v>85270.73</v>
      </c>
      <c r="N31" s="38"/>
      <c r="O31" s="38"/>
      <c r="P31" s="45">
        <v>29</v>
      </c>
      <c r="Q31" s="38">
        <f t="shared" si="26"/>
        <v>1</v>
      </c>
      <c r="R31" s="41">
        <f t="shared" si="27"/>
        <v>128548.43533333336</v>
      </c>
      <c r="S31" s="41">
        <f t="shared" si="28"/>
        <v>181480.144</v>
      </c>
      <c r="T31" s="42">
        <f t="shared" si="29"/>
        <v>2240347.4400000004</v>
      </c>
    </row>
    <row r="32" spans="1:20" ht="16.5" hidden="1" customHeight="1">
      <c r="A32" s="36" t="s">
        <v>87</v>
      </c>
      <c r="B32" s="37">
        <v>16159961</v>
      </c>
      <c r="C32" s="38" t="s">
        <v>172</v>
      </c>
      <c r="D32" s="37">
        <v>1285748000</v>
      </c>
      <c r="E32" s="38" t="s">
        <v>234</v>
      </c>
      <c r="F32" s="39" t="str">
        <f t="shared" ca="1" si="23"/>
        <v>NO VIGENTE</v>
      </c>
      <c r="G32" s="40">
        <v>43283</v>
      </c>
      <c r="H32" s="40">
        <v>43540</v>
      </c>
      <c r="I32" s="41">
        <v>704017.8</v>
      </c>
      <c r="J32" s="41">
        <f t="shared" si="24"/>
        <v>56321.424000000006</v>
      </c>
      <c r="K32" s="41">
        <f t="shared" si="25"/>
        <v>28160.712000000003</v>
      </c>
      <c r="L32" s="41">
        <f>I32*0.1</f>
        <v>70401.780000000013</v>
      </c>
      <c r="M32" s="42">
        <v>79389.989999999991</v>
      </c>
      <c r="N32" s="38"/>
      <c r="O32" s="38"/>
      <c r="P32" s="45">
        <v>27</v>
      </c>
      <c r="Q32" s="38">
        <f t="shared" si="26"/>
        <v>3</v>
      </c>
      <c r="R32" s="41">
        <f t="shared" si="27"/>
        <v>59841.513000000006</v>
      </c>
      <c r="S32" s="41">
        <f t="shared" si="28"/>
        <v>84482.135999999999</v>
      </c>
      <c r="T32" s="42">
        <f t="shared" si="29"/>
        <v>1082615.3550000002</v>
      </c>
    </row>
    <row r="33" spans="1:20" ht="16.5" hidden="1" customHeight="1">
      <c r="A33" s="36" t="s">
        <v>87</v>
      </c>
      <c r="B33" s="37">
        <v>16159963</v>
      </c>
      <c r="C33" s="38" t="s">
        <v>167</v>
      </c>
      <c r="D33" s="37">
        <v>1247550875</v>
      </c>
      <c r="E33" s="38" t="s">
        <v>231</v>
      </c>
      <c r="F33" s="39" t="str">
        <f t="shared" ca="1" si="23"/>
        <v>VIGENTE</v>
      </c>
      <c r="G33" s="40">
        <v>43136</v>
      </c>
      <c r="H33" s="40" t="s">
        <v>237</v>
      </c>
      <c r="I33" s="41">
        <v>2033829.2</v>
      </c>
      <c r="J33" s="41">
        <f t="shared" si="24"/>
        <v>162706.33600000001</v>
      </c>
      <c r="K33" s="41">
        <f t="shared" si="25"/>
        <v>81353.168000000005</v>
      </c>
      <c r="L33" s="41">
        <v>0</v>
      </c>
      <c r="M33" s="42" t="s">
        <v>218</v>
      </c>
      <c r="N33" s="38"/>
      <c r="O33" s="38"/>
      <c r="P33" s="45">
        <v>26</v>
      </c>
      <c r="Q33" s="38">
        <f t="shared" si="26"/>
        <v>4</v>
      </c>
      <c r="R33" s="41">
        <f t="shared" si="27"/>
        <v>172875.48200000002</v>
      </c>
      <c r="S33" s="41">
        <f t="shared" si="28"/>
        <v>244059.50399999999</v>
      </c>
      <c r="T33" s="42">
        <f t="shared" si="29"/>
        <v>2694823.69</v>
      </c>
    </row>
    <row r="34" spans="1:20" ht="16.5" hidden="1" customHeight="1">
      <c r="A34" s="36" t="s">
        <v>87</v>
      </c>
      <c r="B34" s="46">
        <v>16159963</v>
      </c>
      <c r="C34" s="47" t="s">
        <v>40</v>
      </c>
      <c r="D34" s="46">
        <v>1311966071</v>
      </c>
      <c r="E34" s="47" t="s">
        <v>228</v>
      </c>
      <c r="F34" s="48" t="str">
        <f t="shared" ca="1" si="23"/>
        <v>NO VIGENTE</v>
      </c>
      <c r="G34" s="49">
        <v>43252</v>
      </c>
      <c r="H34" s="49">
        <v>0</v>
      </c>
      <c r="I34" s="50">
        <v>0</v>
      </c>
      <c r="J34" s="50">
        <f t="shared" si="24"/>
        <v>0</v>
      </c>
      <c r="K34" s="50">
        <f t="shared" si="25"/>
        <v>0</v>
      </c>
      <c r="L34" s="50">
        <v>0</v>
      </c>
      <c r="M34" s="51">
        <v>0</v>
      </c>
      <c r="N34" s="47"/>
      <c r="O34" s="47"/>
      <c r="P34" s="52">
        <v>30</v>
      </c>
      <c r="Q34" s="47">
        <f t="shared" si="26"/>
        <v>0</v>
      </c>
      <c r="R34" s="50">
        <f t="shared" si="27"/>
        <v>0</v>
      </c>
      <c r="S34" s="50">
        <f t="shared" si="28"/>
        <v>0</v>
      </c>
      <c r="T34" s="51">
        <f t="shared" si="29"/>
        <v>0</v>
      </c>
    </row>
    <row r="35" spans="1:20" ht="16.5" hidden="1" customHeight="1">
      <c r="A35" s="36" t="s">
        <v>87</v>
      </c>
      <c r="B35" s="46">
        <v>16159963</v>
      </c>
      <c r="C35" s="47" t="s">
        <v>165</v>
      </c>
      <c r="D35" s="46">
        <v>1317424267</v>
      </c>
      <c r="E35" s="47" t="s">
        <v>230</v>
      </c>
      <c r="F35" s="48" t="str">
        <f t="shared" ca="1" si="23"/>
        <v>NO VIGENTE</v>
      </c>
      <c r="G35" s="49">
        <v>43453</v>
      </c>
      <c r="H35" s="49">
        <v>0</v>
      </c>
      <c r="I35" s="50">
        <v>0</v>
      </c>
      <c r="J35" s="50">
        <f t="shared" si="24"/>
        <v>0</v>
      </c>
      <c r="K35" s="50">
        <f t="shared" si="25"/>
        <v>0</v>
      </c>
      <c r="L35" s="50">
        <v>0</v>
      </c>
      <c r="M35" s="51">
        <v>0</v>
      </c>
      <c r="N35" s="47"/>
      <c r="O35" s="47"/>
      <c r="P35" s="52">
        <v>15</v>
      </c>
      <c r="Q35" s="47">
        <f t="shared" si="26"/>
        <v>15</v>
      </c>
      <c r="R35" s="50">
        <f t="shared" si="27"/>
        <v>0</v>
      </c>
      <c r="S35" s="50">
        <f t="shared" si="28"/>
        <v>0</v>
      </c>
      <c r="T35" s="51">
        <f t="shared" si="29"/>
        <v>0</v>
      </c>
    </row>
    <row r="36" spans="1:20" ht="16.5" hidden="1" customHeight="1">
      <c r="A36" s="36" t="s">
        <v>87</v>
      </c>
      <c r="B36" s="46">
        <v>16159963</v>
      </c>
      <c r="C36" s="47" t="s">
        <v>166</v>
      </c>
      <c r="D36" s="46">
        <v>1315211554</v>
      </c>
      <c r="E36" s="47" t="s">
        <v>229</v>
      </c>
      <c r="F36" s="48" t="str">
        <f t="shared" ca="1" si="23"/>
        <v>NO VIGENTE</v>
      </c>
      <c r="G36" s="49">
        <v>43147</v>
      </c>
      <c r="H36" s="49">
        <v>0</v>
      </c>
      <c r="I36" s="50">
        <v>0</v>
      </c>
      <c r="J36" s="50">
        <f t="shared" si="24"/>
        <v>0</v>
      </c>
      <c r="K36" s="50">
        <f t="shared" si="25"/>
        <v>0</v>
      </c>
      <c r="L36" s="50">
        <v>0</v>
      </c>
      <c r="M36" s="51">
        <v>0</v>
      </c>
      <c r="N36" s="47"/>
      <c r="O36" s="47"/>
      <c r="P36" s="52">
        <v>25</v>
      </c>
      <c r="Q36" s="47">
        <f t="shared" si="26"/>
        <v>5</v>
      </c>
      <c r="R36" s="50">
        <f t="shared" si="27"/>
        <v>0</v>
      </c>
      <c r="S36" s="50">
        <f t="shared" si="28"/>
        <v>0</v>
      </c>
      <c r="T36" s="51">
        <f t="shared" si="29"/>
        <v>0</v>
      </c>
    </row>
    <row r="37" spans="1:20" ht="16.5" hidden="1" customHeight="1">
      <c r="A37" s="36" t="s">
        <v>87</v>
      </c>
      <c r="B37" s="46">
        <v>16159962</v>
      </c>
      <c r="C37" s="47" t="s">
        <v>168</v>
      </c>
      <c r="D37" s="46">
        <v>1241318672</v>
      </c>
      <c r="E37" s="47" t="s">
        <v>232</v>
      </c>
      <c r="F37" s="48" t="str">
        <f t="shared" ca="1" si="23"/>
        <v>NO VIGENTE</v>
      </c>
      <c r="G37" s="49">
        <v>43169</v>
      </c>
      <c r="H37" s="49">
        <v>0</v>
      </c>
      <c r="I37" s="50">
        <v>0</v>
      </c>
      <c r="J37" s="50">
        <f t="shared" si="24"/>
        <v>0</v>
      </c>
      <c r="K37" s="50">
        <f t="shared" si="25"/>
        <v>0</v>
      </c>
      <c r="L37" s="50">
        <v>0</v>
      </c>
      <c r="M37" s="51">
        <v>0</v>
      </c>
      <c r="N37" s="47"/>
      <c r="O37" s="47"/>
      <c r="P37" s="52">
        <v>27</v>
      </c>
      <c r="Q37" s="47">
        <f t="shared" si="26"/>
        <v>3</v>
      </c>
      <c r="R37" s="50">
        <f t="shared" si="27"/>
        <v>0</v>
      </c>
      <c r="S37" s="50">
        <f t="shared" si="28"/>
        <v>0</v>
      </c>
      <c r="T37" s="51">
        <f t="shared" si="29"/>
        <v>0</v>
      </c>
    </row>
    <row r="38" spans="1:20" ht="16.5" hidden="1" customHeight="1">
      <c r="A38" s="36" t="s">
        <v>87</v>
      </c>
      <c r="B38" s="46">
        <v>16159962</v>
      </c>
      <c r="C38" s="47" t="s">
        <v>169</v>
      </c>
      <c r="D38" s="46">
        <v>1324063080</v>
      </c>
      <c r="E38" s="47" t="s">
        <v>233</v>
      </c>
      <c r="F38" s="48" t="str">
        <f t="shared" ca="1" si="23"/>
        <v>NO VIGENTE</v>
      </c>
      <c r="G38" s="49">
        <v>43202</v>
      </c>
      <c r="H38" s="49">
        <v>0</v>
      </c>
      <c r="I38" s="50">
        <v>0</v>
      </c>
      <c r="J38" s="50">
        <f t="shared" si="24"/>
        <v>0</v>
      </c>
      <c r="K38" s="50">
        <f t="shared" si="25"/>
        <v>0</v>
      </c>
      <c r="L38" s="50">
        <v>0</v>
      </c>
      <c r="M38" s="51">
        <v>0</v>
      </c>
      <c r="N38" s="47"/>
      <c r="O38" s="47"/>
      <c r="P38" s="52">
        <v>18</v>
      </c>
      <c r="Q38" s="47">
        <f t="shared" si="26"/>
        <v>12</v>
      </c>
      <c r="R38" s="50">
        <f t="shared" si="27"/>
        <v>0</v>
      </c>
      <c r="S38" s="50">
        <f t="shared" si="28"/>
        <v>0</v>
      </c>
      <c r="T38" s="51">
        <f t="shared" si="29"/>
        <v>0</v>
      </c>
    </row>
    <row r="39" spans="1:20" ht="14.25" hidden="1" customHeight="1">
      <c r="A39" s="36" t="s">
        <v>87</v>
      </c>
      <c r="B39" s="46">
        <v>16159961</v>
      </c>
      <c r="C39" s="47" t="s">
        <v>175</v>
      </c>
      <c r="D39" s="46">
        <v>1259425899</v>
      </c>
      <c r="E39" s="47" t="s">
        <v>234</v>
      </c>
      <c r="F39" s="48" t="str">
        <f t="shared" ca="1" si="23"/>
        <v>NO VIGENTE</v>
      </c>
      <c r="G39" s="49">
        <v>43302</v>
      </c>
      <c r="H39" s="49">
        <v>0</v>
      </c>
      <c r="I39" s="50">
        <v>0</v>
      </c>
      <c r="J39" s="50">
        <f t="shared" si="24"/>
        <v>0</v>
      </c>
      <c r="K39" s="50">
        <f t="shared" si="25"/>
        <v>0</v>
      </c>
      <c r="L39" s="50">
        <v>0</v>
      </c>
      <c r="M39" s="51">
        <v>0</v>
      </c>
      <c r="N39" s="47"/>
      <c r="O39" s="47"/>
      <c r="P39" s="52">
        <v>29</v>
      </c>
      <c r="Q39" s="47">
        <f t="shared" si="26"/>
        <v>1</v>
      </c>
      <c r="R39" s="50">
        <f t="shared" si="27"/>
        <v>0</v>
      </c>
      <c r="S39" s="50">
        <f t="shared" si="28"/>
        <v>0</v>
      </c>
      <c r="T39" s="51">
        <f t="shared" si="29"/>
        <v>0</v>
      </c>
    </row>
    <row r="40" spans="1:20" ht="17.25" hidden="1" thickBot="1"/>
    <row r="41" spans="1:20" ht="58.5" hidden="1" customHeight="1">
      <c r="A41" s="36"/>
      <c r="B41" s="53" t="s">
        <v>159</v>
      </c>
      <c r="C41" s="54" t="s">
        <v>30</v>
      </c>
      <c r="D41" s="54" t="s">
        <v>160</v>
      </c>
      <c r="E41" s="54" t="s">
        <v>226</v>
      </c>
      <c r="F41" s="54" t="s">
        <v>163</v>
      </c>
      <c r="G41" s="54" t="s">
        <v>173</v>
      </c>
      <c r="H41" s="54" t="s">
        <v>174</v>
      </c>
      <c r="I41" s="54" t="s">
        <v>34</v>
      </c>
      <c r="J41" s="54" t="s">
        <v>161</v>
      </c>
      <c r="K41" s="54" t="s">
        <v>162</v>
      </c>
      <c r="L41" s="54" t="s">
        <v>176</v>
      </c>
      <c r="M41" s="55" t="s">
        <v>216</v>
      </c>
      <c r="N41" s="55" t="s">
        <v>236</v>
      </c>
      <c r="O41" s="54" t="s">
        <v>235</v>
      </c>
      <c r="P41" s="55" t="s">
        <v>217</v>
      </c>
      <c r="Q41" s="55" t="s">
        <v>225</v>
      </c>
      <c r="R41" s="54" t="s">
        <v>162</v>
      </c>
      <c r="S41" s="54" t="s">
        <v>176</v>
      </c>
      <c r="T41" s="56" t="s">
        <v>54</v>
      </c>
    </row>
    <row r="42" spans="1:20" ht="16.5" hidden="1" customHeight="1">
      <c r="A42" s="36" t="s">
        <v>153</v>
      </c>
      <c r="B42" s="37">
        <v>16159963</v>
      </c>
      <c r="C42" s="38" t="s">
        <v>164</v>
      </c>
      <c r="D42" s="37">
        <v>1321648522</v>
      </c>
      <c r="E42" s="38" t="s">
        <v>229</v>
      </c>
      <c r="F42" s="39" t="str">
        <f t="shared" ref="F42:F52" ca="1" si="30">IF(AND(H42&gt;TODAY(),G42&lt;TODAY()),"VIGENTE","NO VIGENTE")</f>
        <v>NO VIGENTE</v>
      </c>
      <c r="G42" s="40">
        <v>43393</v>
      </c>
      <c r="H42" s="40">
        <v>43549</v>
      </c>
      <c r="I42" s="41">
        <v>2346726</v>
      </c>
      <c r="J42" s="41">
        <f t="shared" ref="J42:J52" si="31">I42*0.08</f>
        <v>187738.08000000002</v>
      </c>
      <c r="K42" s="41">
        <f t="shared" ref="K42:K52" si="32">I42*0.04</f>
        <v>93869.040000000008</v>
      </c>
      <c r="L42" s="41">
        <f>I42*0.12</f>
        <v>281607.12</v>
      </c>
      <c r="M42" s="42" t="s">
        <v>218</v>
      </c>
      <c r="N42" s="38"/>
      <c r="O42" s="38"/>
      <c r="P42" s="45">
        <v>30</v>
      </c>
      <c r="Q42" s="38">
        <f t="shared" ref="Q42:Q52" si="33">30-P42</f>
        <v>0</v>
      </c>
      <c r="R42" s="41">
        <f t="shared" ref="R42:R52" si="34">I42*0.085</f>
        <v>199471.71000000002</v>
      </c>
      <c r="S42" s="41">
        <f t="shared" ref="S42:S52" si="35">I42*0.12</f>
        <v>281607.12</v>
      </c>
      <c r="T42" s="42">
        <f t="shared" ref="T42:T52" si="36">SUM(I42:M42,R42,O42,N42,S42)</f>
        <v>3391019.0700000003</v>
      </c>
    </row>
    <row r="43" spans="1:20" ht="16.5" hidden="1" customHeight="1">
      <c r="A43" s="36" t="s">
        <v>153</v>
      </c>
      <c r="B43" s="37">
        <v>16159962</v>
      </c>
      <c r="C43" s="38" t="s">
        <v>170</v>
      </c>
      <c r="D43" s="37">
        <v>1323384207</v>
      </c>
      <c r="E43" s="38" t="s">
        <v>232</v>
      </c>
      <c r="F43" s="39" t="str">
        <f t="shared" ca="1" si="30"/>
        <v>NO VIGENTE</v>
      </c>
      <c r="G43" s="40">
        <v>43441</v>
      </c>
      <c r="H43" s="40">
        <v>43552</v>
      </c>
      <c r="I43" s="41">
        <v>782242</v>
      </c>
      <c r="J43" s="41">
        <f t="shared" si="31"/>
        <v>62579.360000000001</v>
      </c>
      <c r="K43" s="41">
        <f t="shared" si="32"/>
        <v>31289.68</v>
      </c>
      <c r="L43" s="41">
        <f>I43*0.1</f>
        <v>78224.2</v>
      </c>
      <c r="M43" s="42">
        <v>44105.549999999996</v>
      </c>
      <c r="N43" s="38"/>
      <c r="O43" s="38"/>
      <c r="P43" s="45">
        <v>15</v>
      </c>
      <c r="Q43" s="38">
        <f t="shared" si="33"/>
        <v>15</v>
      </c>
      <c r="R43" s="41">
        <f t="shared" si="34"/>
        <v>66490.570000000007</v>
      </c>
      <c r="S43" s="41">
        <f t="shared" si="35"/>
        <v>93869.04</v>
      </c>
      <c r="T43" s="42">
        <f t="shared" si="36"/>
        <v>1158800.4000000001</v>
      </c>
    </row>
    <row r="44" spans="1:20" ht="16.5" hidden="1" customHeight="1">
      <c r="A44" s="36" t="s">
        <v>153</v>
      </c>
      <c r="B44" s="37">
        <v>16159962</v>
      </c>
      <c r="C44" s="38" t="s">
        <v>171</v>
      </c>
      <c r="D44" s="37">
        <v>1237462775</v>
      </c>
      <c r="E44" s="38" t="s">
        <v>228</v>
      </c>
      <c r="F44" s="39" t="str">
        <f t="shared" ca="1" si="30"/>
        <v>NO VIGENTE</v>
      </c>
      <c r="G44" s="40">
        <v>43274</v>
      </c>
      <c r="H44" s="40">
        <v>43462</v>
      </c>
      <c r="I44" s="41">
        <v>1512334.5333333334</v>
      </c>
      <c r="J44" s="41">
        <f t="shared" si="31"/>
        <v>120986.76266666668</v>
      </c>
      <c r="K44" s="41">
        <f t="shared" si="32"/>
        <v>60493.381333333338</v>
      </c>
      <c r="L44" s="41">
        <f>I44*0.1</f>
        <v>151233.45333333334</v>
      </c>
      <c r="M44" s="42">
        <v>85270.73</v>
      </c>
      <c r="N44" s="38"/>
      <c r="O44" s="38"/>
      <c r="P44" s="45">
        <v>29</v>
      </c>
      <c r="Q44" s="38">
        <f t="shared" si="33"/>
        <v>1</v>
      </c>
      <c r="R44" s="41">
        <f t="shared" si="34"/>
        <v>128548.43533333336</v>
      </c>
      <c r="S44" s="41">
        <f t="shared" si="35"/>
        <v>181480.144</v>
      </c>
      <c r="T44" s="42">
        <f t="shared" si="36"/>
        <v>2240347.4400000004</v>
      </c>
    </row>
    <row r="45" spans="1:20" ht="16.5" hidden="1" customHeight="1">
      <c r="A45" s="36" t="s">
        <v>153</v>
      </c>
      <c r="B45" s="37">
        <v>16159961</v>
      </c>
      <c r="C45" s="38" t="s">
        <v>172</v>
      </c>
      <c r="D45" s="37">
        <v>1285748000</v>
      </c>
      <c r="E45" s="38" t="s">
        <v>234</v>
      </c>
      <c r="F45" s="39" t="str">
        <f t="shared" ca="1" si="30"/>
        <v>NO VIGENTE</v>
      </c>
      <c r="G45" s="40">
        <v>43283</v>
      </c>
      <c r="H45" s="40">
        <v>43540</v>
      </c>
      <c r="I45" s="41">
        <v>704017.8</v>
      </c>
      <c r="J45" s="41">
        <f t="shared" si="31"/>
        <v>56321.424000000006</v>
      </c>
      <c r="K45" s="41">
        <f t="shared" si="32"/>
        <v>28160.712000000003</v>
      </c>
      <c r="L45" s="41">
        <f>I45*0.1</f>
        <v>70401.780000000013</v>
      </c>
      <c r="M45" s="42">
        <v>79389.989999999991</v>
      </c>
      <c r="N45" s="38"/>
      <c r="O45" s="38"/>
      <c r="P45" s="45">
        <v>27</v>
      </c>
      <c r="Q45" s="38">
        <f t="shared" si="33"/>
        <v>3</v>
      </c>
      <c r="R45" s="41">
        <f t="shared" si="34"/>
        <v>59841.513000000006</v>
      </c>
      <c r="S45" s="41">
        <f t="shared" si="35"/>
        <v>84482.135999999999</v>
      </c>
      <c r="T45" s="42">
        <f t="shared" si="36"/>
        <v>1082615.3550000002</v>
      </c>
    </row>
    <row r="46" spans="1:20" ht="16.5" hidden="1" customHeight="1">
      <c r="A46" s="36" t="s">
        <v>153</v>
      </c>
      <c r="B46" s="37">
        <v>16159963</v>
      </c>
      <c r="C46" s="38" t="s">
        <v>167</v>
      </c>
      <c r="D46" s="37">
        <v>1247550875</v>
      </c>
      <c r="E46" s="38" t="s">
        <v>231</v>
      </c>
      <c r="F46" s="39" t="str">
        <f t="shared" ca="1" si="30"/>
        <v>VIGENTE</v>
      </c>
      <c r="G46" s="40">
        <v>43136</v>
      </c>
      <c r="H46" s="40" t="s">
        <v>237</v>
      </c>
      <c r="I46" s="41">
        <v>2033829.2</v>
      </c>
      <c r="J46" s="41">
        <f t="shared" si="31"/>
        <v>162706.33600000001</v>
      </c>
      <c r="K46" s="41">
        <f t="shared" si="32"/>
        <v>81353.168000000005</v>
      </c>
      <c r="L46" s="41">
        <v>0</v>
      </c>
      <c r="M46" s="42" t="s">
        <v>218</v>
      </c>
      <c r="N46" s="38"/>
      <c r="O46" s="38"/>
      <c r="P46" s="45">
        <v>26</v>
      </c>
      <c r="Q46" s="38">
        <f t="shared" si="33"/>
        <v>4</v>
      </c>
      <c r="R46" s="41">
        <f t="shared" si="34"/>
        <v>172875.48200000002</v>
      </c>
      <c r="S46" s="41">
        <f t="shared" si="35"/>
        <v>244059.50399999999</v>
      </c>
      <c r="T46" s="42">
        <f t="shared" si="36"/>
        <v>2694823.69</v>
      </c>
    </row>
    <row r="47" spans="1:20" ht="16.5" hidden="1" customHeight="1">
      <c r="A47" s="36" t="s">
        <v>153</v>
      </c>
      <c r="B47" s="46">
        <v>16159963</v>
      </c>
      <c r="C47" s="47" t="s">
        <v>40</v>
      </c>
      <c r="D47" s="46">
        <v>1311966071</v>
      </c>
      <c r="E47" s="47" t="s">
        <v>228</v>
      </c>
      <c r="F47" s="48" t="str">
        <f t="shared" ca="1" si="30"/>
        <v>NO VIGENTE</v>
      </c>
      <c r="G47" s="49">
        <v>43252</v>
      </c>
      <c r="H47" s="49">
        <v>0</v>
      </c>
      <c r="I47" s="50">
        <v>0</v>
      </c>
      <c r="J47" s="50">
        <f t="shared" si="31"/>
        <v>0</v>
      </c>
      <c r="K47" s="50">
        <f t="shared" si="32"/>
        <v>0</v>
      </c>
      <c r="L47" s="50">
        <v>0</v>
      </c>
      <c r="M47" s="51">
        <v>0</v>
      </c>
      <c r="N47" s="47"/>
      <c r="O47" s="47"/>
      <c r="P47" s="52">
        <v>30</v>
      </c>
      <c r="Q47" s="47">
        <f t="shared" si="33"/>
        <v>0</v>
      </c>
      <c r="R47" s="50">
        <f t="shared" si="34"/>
        <v>0</v>
      </c>
      <c r="S47" s="50">
        <f t="shared" si="35"/>
        <v>0</v>
      </c>
      <c r="T47" s="51">
        <f t="shared" si="36"/>
        <v>0</v>
      </c>
    </row>
    <row r="48" spans="1:20" ht="16.5" hidden="1" customHeight="1">
      <c r="A48" s="36" t="s">
        <v>153</v>
      </c>
      <c r="B48" s="46">
        <v>16159963</v>
      </c>
      <c r="C48" s="47" t="s">
        <v>165</v>
      </c>
      <c r="D48" s="46">
        <v>1317424267</v>
      </c>
      <c r="E48" s="47" t="s">
        <v>230</v>
      </c>
      <c r="F48" s="48" t="str">
        <f t="shared" ca="1" si="30"/>
        <v>NO VIGENTE</v>
      </c>
      <c r="G48" s="49">
        <v>43453</v>
      </c>
      <c r="H48" s="49">
        <v>0</v>
      </c>
      <c r="I48" s="50">
        <v>0</v>
      </c>
      <c r="J48" s="50">
        <f t="shared" si="31"/>
        <v>0</v>
      </c>
      <c r="K48" s="50">
        <f t="shared" si="32"/>
        <v>0</v>
      </c>
      <c r="L48" s="50">
        <v>0</v>
      </c>
      <c r="M48" s="51">
        <v>0</v>
      </c>
      <c r="N48" s="47"/>
      <c r="O48" s="47"/>
      <c r="P48" s="52">
        <v>15</v>
      </c>
      <c r="Q48" s="47">
        <f t="shared" si="33"/>
        <v>15</v>
      </c>
      <c r="R48" s="50">
        <f t="shared" si="34"/>
        <v>0</v>
      </c>
      <c r="S48" s="50">
        <f t="shared" si="35"/>
        <v>0</v>
      </c>
      <c r="T48" s="51">
        <f t="shared" si="36"/>
        <v>0</v>
      </c>
    </row>
    <row r="49" spans="1:20" ht="16.5" hidden="1" customHeight="1">
      <c r="A49" s="36" t="s">
        <v>153</v>
      </c>
      <c r="B49" s="46">
        <v>16159963</v>
      </c>
      <c r="C49" s="47" t="s">
        <v>166</v>
      </c>
      <c r="D49" s="46">
        <v>1315211554</v>
      </c>
      <c r="E49" s="47" t="s">
        <v>229</v>
      </c>
      <c r="F49" s="48" t="str">
        <f t="shared" ca="1" si="30"/>
        <v>NO VIGENTE</v>
      </c>
      <c r="G49" s="49">
        <v>43147</v>
      </c>
      <c r="H49" s="49">
        <v>0</v>
      </c>
      <c r="I49" s="50">
        <v>0</v>
      </c>
      <c r="J49" s="50">
        <f t="shared" si="31"/>
        <v>0</v>
      </c>
      <c r="K49" s="50">
        <f t="shared" si="32"/>
        <v>0</v>
      </c>
      <c r="L49" s="50">
        <v>0</v>
      </c>
      <c r="M49" s="51">
        <v>0</v>
      </c>
      <c r="N49" s="47"/>
      <c r="O49" s="47"/>
      <c r="P49" s="52">
        <v>25</v>
      </c>
      <c r="Q49" s="47">
        <f t="shared" si="33"/>
        <v>5</v>
      </c>
      <c r="R49" s="50">
        <f t="shared" si="34"/>
        <v>0</v>
      </c>
      <c r="S49" s="50">
        <f t="shared" si="35"/>
        <v>0</v>
      </c>
      <c r="T49" s="51">
        <f t="shared" si="36"/>
        <v>0</v>
      </c>
    </row>
    <row r="50" spans="1:20" ht="16.5" hidden="1" customHeight="1">
      <c r="A50" s="36" t="s">
        <v>153</v>
      </c>
      <c r="B50" s="46">
        <v>16159962</v>
      </c>
      <c r="C50" s="47" t="s">
        <v>168</v>
      </c>
      <c r="D50" s="46">
        <v>1241318672</v>
      </c>
      <c r="E50" s="47" t="s">
        <v>232</v>
      </c>
      <c r="F50" s="48" t="str">
        <f t="shared" ca="1" si="30"/>
        <v>NO VIGENTE</v>
      </c>
      <c r="G50" s="49">
        <v>43169</v>
      </c>
      <c r="H50" s="49">
        <v>0</v>
      </c>
      <c r="I50" s="50">
        <v>0</v>
      </c>
      <c r="J50" s="50">
        <f t="shared" si="31"/>
        <v>0</v>
      </c>
      <c r="K50" s="50">
        <f t="shared" si="32"/>
        <v>0</v>
      </c>
      <c r="L50" s="50">
        <v>0</v>
      </c>
      <c r="M50" s="51">
        <v>0</v>
      </c>
      <c r="N50" s="47"/>
      <c r="O50" s="47"/>
      <c r="P50" s="52">
        <v>27</v>
      </c>
      <c r="Q50" s="47">
        <f t="shared" si="33"/>
        <v>3</v>
      </c>
      <c r="R50" s="50">
        <f t="shared" si="34"/>
        <v>0</v>
      </c>
      <c r="S50" s="50">
        <f t="shared" si="35"/>
        <v>0</v>
      </c>
      <c r="T50" s="51">
        <f t="shared" si="36"/>
        <v>0</v>
      </c>
    </row>
    <row r="51" spans="1:20" ht="16.5" hidden="1" customHeight="1">
      <c r="A51" s="36" t="s">
        <v>153</v>
      </c>
      <c r="B51" s="46">
        <v>16159962</v>
      </c>
      <c r="C51" s="47" t="s">
        <v>169</v>
      </c>
      <c r="D51" s="46">
        <v>1324063080</v>
      </c>
      <c r="E51" s="47" t="s">
        <v>233</v>
      </c>
      <c r="F51" s="48" t="str">
        <f t="shared" ca="1" si="30"/>
        <v>NO VIGENTE</v>
      </c>
      <c r="G51" s="49">
        <v>43202</v>
      </c>
      <c r="H51" s="49">
        <v>0</v>
      </c>
      <c r="I51" s="50">
        <v>0</v>
      </c>
      <c r="J51" s="50">
        <f t="shared" si="31"/>
        <v>0</v>
      </c>
      <c r="K51" s="50">
        <f t="shared" si="32"/>
        <v>0</v>
      </c>
      <c r="L51" s="50">
        <v>0</v>
      </c>
      <c r="M51" s="51">
        <v>0</v>
      </c>
      <c r="N51" s="47"/>
      <c r="O51" s="47"/>
      <c r="P51" s="52">
        <v>18</v>
      </c>
      <c r="Q51" s="47">
        <f t="shared" si="33"/>
        <v>12</v>
      </c>
      <c r="R51" s="50">
        <f t="shared" si="34"/>
        <v>0</v>
      </c>
      <c r="S51" s="50">
        <f t="shared" si="35"/>
        <v>0</v>
      </c>
      <c r="T51" s="51">
        <f t="shared" si="36"/>
        <v>0</v>
      </c>
    </row>
    <row r="52" spans="1:20" ht="16.5" hidden="1" customHeight="1">
      <c r="A52" s="36" t="s">
        <v>153</v>
      </c>
      <c r="B52" s="46">
        <v>16159961</v>
      </c>
      <c r="C52" s="47" t="s">
        <v>175</v>
      </c>
      <c r="D52" s="46">
        <v>1259425899</v>
      </c>
      <c r="E52" s="47" t="s">
        <v>234</v>
      </c>
      <c r="F52" s="48" t="str">
        <f t="shared" ca="1" si="30"/>
        <v>NO VIGENTE</v>
      </c>
      <c r="G52" s="49">
        <v>43302</v>
      </c>
      <c r="H52" s="49">
        <v>0</v>
      </c>
      <c r="I52" s="50">
        <v>0</v>
      </c>
      <c r="J52" s="50">
        <f t="shared" si="31"/>
        <v>0</v>
      </c>
      <c r="K52" s="50">
        <f t="shared" si="32"/>
        <v>0</v>
      </c>
      <c r="L52" s="50">
        <v>0</v>
      </c>
      <c r="M52" s="51">
        <v>0</v>
      </c>
      <c r="N52" s="47"/>
      <c r="O52" s="47"/>
      <c r="P52" s="52">
        <v>29</v>
      </c>
      <c r="Q52" s="47">
        <f t="shared" si="33"/>
        <v>1</v>
      </c>
      <c r="R52" s="50">
        <f t="shared" si="34"/>
        <v>0</v>
      </c>
      <c r="S52" s="50">
        <f t="shared" si="35"/>
        <v>0</v>
      </c>
      <c r="T52" s="51">
        <f t="shared" si="36"/>
        <v>0</v>
      </c>
    </row>
    <row r="53" spans="1:20" ht="17.25" hidden="1" thickBot="1"/>
    <row r="54" spans="1:20" ht="49.5" hidden="1">
      <c r="A54" s="36"/>
      <c r="B54" s="53" t="s">
        <v>159</v>
      </c>
      <c r="C54" s="54" t="s">
        <v>30</v>
      </c>
      <c r="D54" s="54" t="s">
        <v>160</v>
      </c>
      <c r="E54" s="54" t="s">
        <v>226</v>
      </c>
      <c r="F54" s="54" t="s">
        <v>163</v>
      </c>
      <c r="G54" s="54" t="s">
        <v>173</v>
      </c>
      <c r="H54" s="54" t="s">
        <v>174</v>
      </c>
      <c r="I54" s="54" t="s">
        <v>34</v>
      </c>
      <c r="J54" s="54" t="s">
        <v>161</v>
      </c>
      <c r="K54" s="54" t="s">
        <v>162</v>
      </c>
      <c r="L54" s="54" t="s">
        <v>176</v>
      </c>
      <c r="M54" s="55" t="s">
        <v>216</v>
      </c>
      <c r="N54" s="55" t="s">
        <v>236</v>
      </c>
      <c r="O54" s="54" t="s">
        <v>235</v>
      </c>
      <c r="P54" s="55" t="s">
        <v>217</v>
      </c>
      <c r="Q54" s="55" t="s">
        <v>225</v>
      </c>
      <c r="R54" s="54" t="s">
        <v>162</v>
      </c>
      <c r="S54" s="54" t="s">
        <v>176</v>
      </c>
      <c r="T54" s="56" t="s">
        <v>54</v>
      </c>
    </row>
    <row r="55" spans="1:20" ht="25.5" hidden="1">
      <c r="A55" s="36" t="s">
        <v>154</v>
      </c>
      <c r="B55" s="37">
        <v>16159963</v>
      </c>
      <c r="C55" s="38" t="s">
        <v>164</v>
      </c>
      <c r="D55" s="37">
        <v>1321648522</v>
      </c>
      <c r="E55" s="38" t="s">
        <v>229</v>
      </c>
      <c r="F55" s="39" t="str">
        <f t="shared" ref="F55:F65" ca="1" si="37">IF(AND(H55&gt;TODAY(),G55&lt;TODAY()),"VIGENTE","NO VIGENTE")</f>
        <v>NO VIGENTE</v>
      </c>
      <c r="G55" s="40">
        <v>43393</v>
      </c>
      <c r="H55" s="40">
        <v>43549</v>
      </c>
      <c r="I55" s="41">
        <v>2346726</v>
      </c>
      <c r="J55" s="41">
        <f t="shared" ref="J55:J65" si="38">I55*0.08</f>
        <v>187738.08000000002</v>
      </c>
      <c r="K55" s="41">
        <f t="shared" ref="K55:K65" si="39">I55*0.04</f>
        <v>93869.040000000008</v>
      </c>
      <c r="L55" s="41">
        <f>I55*0.12</f>
        <v>281607.12</v>
      </c>
      <c r="M55" s="42" t="s">
        <v>218</v>
      </c>
      <c r="N55" s="38"/>
      <c r="O55" s="38"/>
      <c r="P55" s="45">
        <v>30</v>
      </c>
      <c r="Q55" s="38">
        <f t="shared" ref="Q55:Q65" si="40">30-P55</f>
        <v>0</v>
      </c>
      <c r="R55" s="41">
        <f t="shared" ref="R55:R65" si="41">I55*0.085</f>
        <v>199471.71000000002</v>
      </c>
      <c r="S55" s="41">
        <f t="shared" ref="S55:S65" si="42">I55*0.12</f>
        <v>281607.12</v>
      </c>
      <c r="T55" s="42">
        <f t="shared" ref="T55:T65" si="43">SUM(I55:M55,R55,O55,N55,S55)</f>
        <v>3391019.0700000003</v>
      </c>
    </row>
    <row r="56" spans="1:20" ht="25.5" hidden="1">
      <c r="A56" s="36" t="s">
        <v>154</v>
      </c>
      <c r="B56" s="37">
        <v>16159962</v>
      </c>
      <c r="C56" s="38" t="s">
        <v>170</v>
      </c>
      <c r="D56" s="37">
        <v>1323384207</v>
      </c>
      <c r="E56" s="38" t="s">
        <v>232</v>
      </c>
      <c r="F56" s="39" t="str">
        <f t="shared" ca="1" si="37"/>
        <v>NO VIGENTE</v>
      </c>
      <c r="G56" s="40">
        <v>43441</v>
      </c>
      <c r="H56" s="40">
        <v>43552</v>
      </c>
      <c r="I56" s="41">
        <v>782242</v>
      </c>
      <c r="J56" s="41">
        <f t="shared" si="38"/>
        <v>62579.360000000001</v>
      </c>
      <c r="K56" s="41">
        <f t="shared" si="39"/>
        <v>31289.68</v>
      </c>
      <c r="L56" s="41">
        <f>I56*0.1</f>
        <v>78224.2</v>
      </c>
      <c r="M56" s="42">
        <v>44105.549999999996</v>
      </c>
      <c r="N56" s="38"/>
      <c r="O56" s="38"/>
      <c r="P56" s="45">
        <v>15</v>
      </c>
      <c r="Q56" s="38">
        <f t="shared" si="40"/>
        <v>15</v>
      </c>
      <c r="R56" s="41">
        <f t="shared" si="41"/>
        <v>66490.570000000007</v>
      </c>
      <c r="S56" s="41">
        <f t="shared" si="42"/>
        <v>93869.04</v>
      </c>
      <c r="T56" s="42">
        <f t="shared" si="43"/>
        <v>1158800.4000000001</v>
      </c>
    </row>
    <row r="57" spans="1:20" ht="25.5" hidden="1">
      <c r="A57" s="36" t="s">
        <v>154</v>
      </c>
      <c r="B57" s="37">
        <v>16159962</v>
      </c>
      <c r="C57" s="38" t="s">
        <v>171</v>
      </c>
      <c r="D57" s="37">
        <v>1237462775</v>
      </c>
      <c r="E57" s="38" t="s">
        <v>228</v>
      </c>
      <c r="F57" s="39" t="str">
        <f t="shared" ca="1" si="37"/>
        <v>NO VIGENTE</v>
      </c>
      <c r="G57" s="40">
        <v>43274</v>
      </c>
      <c r="H57" s="40">
        <v>43462</v>
      </c>
      <c r="I57" s="41">
        <v>1512334.5333333334</v>
      </c>
      <c r="J57" s="41">
        <f t="shared" si="38"/>
        <v>120986.76266666668</v>
      </c>
      <c r="K57" s="41">
        <f t="shared" si="39"/>
        <v>60493.381333333338</v>
      </c>
      <c r="L57" s="41">
        <f>I57*0.1</f>
        <v>151233.45333333334</v>
      </c>
      <c r="M57" s="42">
        <v>85270.73</v>
      </c>
      <c r="N57" s="38"/>
      <c r="O57" s="38"/>
      <c r="P57" s="45">
        <v>29</v>
      </c>
      <c r="Q57" s="38">
        <f t="shared" si="40"/>
        <v>1</v>
      </c>
      <c r="R57" s="41">
        <f t="shared" si="41"/>
        <v>128548.43533333336</v>
      </c>
      <c r="S57" s="41">
        <f t="shared" si="42"/>
        <v>181480.144</v>
      </c>
      <c r="T57" s="42">
        <f t="shared" si="43"/>
        <v>2240347.4400000004</v>
      </c>
    </row>
    <row r="58" spans="1:20" ht="25.5" hidden="1">
      <c r="A58" s="36" t="s">
        <v>154</v>
      </c>
      <c r="B58" s="37">
        <v>16159961</v>
      </c>
      <c r="C58" s="38" t="s">
        <v>172</v>
      </c>
      <c r="D58" s="37">
        <v>1285748000</v>
      </c>
      <c r="E58" s="38" t="s">
        <v>234</v>
      </c>
      <c r="F58" s="39" t="str">
        <f t="shared" ca="1" si="37"/>
        <v>NO VIGENTE</v>
      </c>
      <c r="G58" s="40">
        <v>43283</v>
      </c>
      <c r="H58" s="40">
        <v>43540</v>
      </c>
      <c r="I58" s="41">
        <v>704017.8</v>
      </c>
      <c r="J58" s="41">
        <f t="shared" si="38"/>
        <v>56321.424000000006</v>
      </c>
      <c r="K58" s="41">
        <f t="shared" si="39"/>
        <v>28160.712000000003</v>
      </c>
      <c r="L58" s="41">
        <f>I58*0.1</f>
        <v>70401.780000000013</v>
      </c>
      <c r="M58" s="42">
        <v>79389.989999999991</v>
      </c>
      <c r="N58" s="38"/>
      <c r="O58" s="38"/>
      <c r="P58" s="45">
        <v>27</v>
      </c>
      <c r="Q58" s="38">
        <f t="shared" si="40"/>
        <v>3</v>
      </c>
      <c r="R58" s="41">
        <f t="shared" si="41"/>
        <v>59841.513000000006</v>
      </c>
      <c r="S58" s="41">
        <f t="shared" si="42"/>
        <v>84482.135999999999</v>
      </c>
      <c r="T58" s="42">
        <f t="shared" si="43"/>
        <v>1082615.3550000002</v>
      </c>
    </row>
    <row r="59" spans="1:20" ht="25.5" hidden="1">
      <c r="A59" s="36" t="s">
        <v>154</v>
      </c>
      <c r="B59" s="37">
        <v>16159963</v>
      </c>
      <c r="C59" s="38" t="s">
        <v>167</v>
      </c>
      <c r="D59" s="37">
        <v>1247550875</v>
      </c>
      <c r="E59" s="38" t="s">
        <v>231</v>
      </c>
      <c r="F59" s="39" t="str">
        <f t="shared" ca="1" si="37"/>
        <v>VIGENTE</v>
      </c>
      <c r="G59" s="40">
        <v>43136</v>
      </c>
      <c r="H59" s="40" t="s">
        <v>237</v>
      </c>
      <c r="I59" s="41">
        <v>2033829.2</v>
      </c>
      <c r="J59" s="41">
        <f t="shared" si="38"/>
        <v>162706.33600000001</v>
      </c>
      <c r="K59" s="41">
        <f t="shared" si="39"/>
        <v>81353.168000000005</v>
      </c>
      <c r="L59" s="41">
        <v>0</v>
      </c>
      <c r="M59" s="42" t="s">
        <v>218</v>
      </c>
      <c r="N59" s="38"/>
      <c r="O59" s="38"/>
      <c r="P59" s="45">
        <v>26</v>
      </c>
      <c r="Q59" s="38">
        <f t="shared" si="40"/>
        <v>4</v>
      </c>
      <c r="R59" s="41">
        <f t="shared" si="41"/>
        <v>172875.48200000002</v>
      </c>
      <c r="S59" s="41">
        <f t="shared" si="42"/>
        <v>244059.50399999999</v>
      </c>
      <c r="T59" s="42">
        <f t="shared" si="43"/>
        <v>2694823.69</v>
      </c>
    </row>
    <row r="60" spans="1:20" ht="25.5" hidden="1">
      <c r="A60" s="36" t="s">
        <v>154</v>
      </c>
      <c r="B60" s="46">
        <v>16159963</v>
      </c>
      <c r="C60" s="47" t="s">
        <v>40</v>
      </c>
      <c r="D60" s="46">
        <v>1311966071</v>
      </c>
      <c r="E60" s="47" t="s">
        <v>228</v>
      </c>
      <c r="F60" s="48" t="str">
        <f t="shared" ca="1" si="37"/>
        <v>NO VIGENTE</v>
      </c>
      <c r="G60" s="49">
        <v>43252</v>
      </c>
      <c r="H60" s="49">
        <v>0</v>
      </c>
      <c r="I60" s="50">
        <v>0</v>
      </c>
      <c r="J60" s="50">
        <f t="shared" si="38"/>
        <v>0</v>
      </c>
      <c r="K60" s="50">
        <f t="shared" si="39"/>
        <v>0</v>
      </c>
      <c r="L60" s="50">
        <v>0</v>
      </c>
      <c r="M60" s="51">
        <v>0</v>
      </c>
      <c r="N60" s="47"/>
      <c r="O60" s="47"/>
      <c r="P60" s="52">
        <v>30</v>
      </c>
      <c r="Q60" s="47">
        <f t="shared" si="40"/>
        <v>0</v>
      </c>
      <c r="R60" s="50">
        <f t="shared" si="41"/>
        <v>0</v>
      </c>
      <c r="S60" s="50">
        <f t="shared" si="42"/>
        <v>0</v>
      </c>
      <c r="T60" s="51">
        <f t="shared" si="43"/>
        <v>0</v>
      </c>
    </row>
    <row r="61" spans="1:20" ht="25.5" hidden="1">
      <c r="A61" s="36" t="s">
        <v>154</v>
      </c>
      <c r="B61" s="46">
        <v>16159963</v>
      </c>
      <c r="C61" s="47" t="s">
        <v>165</v>
      </c>
      <c r="D61" s="46">
        <v>1317424267</v>
      </c>
      <c r="E61" s="47" t="s">
        <v>230</v>
      </c>
      <c r="F61" s="48" t="str">
        <f t="shared" ca="1" si="37"/>
        <v>NO VIGENTE</v>
      </c>
      <c r="G61" s="49">
        <v>43453</v>
      </c>
      <c r="H61" s="49">
        <v>0</v>
      </c>
      <c r="I61" s="50">
        <v>0</v>
      </c>
      <c r="J61" s="50">
        <f t="shared" si="38"/>
        <v>0</v>
      </c>
      <c r="K61" s="50">
        <f t="shared" si="39"/>
        <v>0</v>
      </c>
      <c r="L61" s="50">
        <v>0</v>
      </c>
      <c r="M61" s="51">
        <v>0</v>
      </c>
      <c r="N61" s="47"/>
      <c r="O61" s="47"/>
      <c r="P61" s="52">
        <v>15</v>
      </c>
      <c r="Q61" s="47">
        <f t="shared" si="40"/>
        <v>15</v>
      </c>
      <c r="R61" s="50">
        <f t="shared" si="41"/>
        <v>0</v>
      </c>
      <c r="S61" s="50">
        <f t="shared" si="42"/>
        <v>0</v>
      </c>
      <c r="T61" s="51">
        <f t="shared" si="43"/>
        <v>0</v>
      </c>
    </row>
    <row r="62" spans="1:20" ht="25.5" hidden="1">
      <c r="A62" s="36" t="s">
        <v>154</v>
      </c>
      <c r="B62" s="46">
        <v>16159963</v>
      </c>
      <c r="C62" s="47" t="s">
        <v>166</v>
      </c>
      <c r="D62" s="46">
        <v>1315211554</v>
      </c>
      <c r="E62" s="47" t="s">
        <v>229</v>
      </c>
      <c r="F62" s="48" t="str">
        <f t="shared" ca="1" si="37"/>
        <v>NO VIGENTE</v>
      </c>
      <c r="G62" s="49">
        <v>43147</v>
      </c>
      <c r="H62" s="49">
        <v>0</v>
      </c>
      <c r="I62" s="50">
        <v>0</v>
      </c>
      <c r="J62" s="50">
        <f t="shared" si="38"/>
        <v>0</v>
      </c>
      <c r="K62" s="50">
        <f t="shared" si="39"/>
        <v>0</v>
      </c>
      <c r="L62" s="50">
        <v>0</v>
      </c>
      <c r="M62" s="51">
        <v>0</v>
      </c>
      <c r="N62" s="47"/>
      <c r="O62" s="47"/>
      <c r="P62" s="52">
        <v>25</v>
      </c>
      <c r="Q62" s="47">
        <f t="shared" si="40"/>
        <v>5</v>
      </c>
      <c r="R62" s="50">
        <f t="shared" si="41"/>
        <v>0</v>
      </c>
      <c r="S62" s="50">
        <f t="shared" si="42"/>
        <v>0</v>
      </c>
      <c r="T62" s="51">
        <f t="shared" si="43"/>
        <v>0</v>
      </c>
    </row>
    <row r="63" spans="1:20" ht="25.5" hidden="1">
      <c r="A63" s="36" t="s">
        <v>154</v>
      </c>
      <c r="B63" s="46">
        <v>16159962</v>
      </c>
      <c r="C63" s="47" t="s">
        <v>168</v>
      </c>
      <c r="D63" s="46">
        <v>1241318672</v>
      </c>
      <c r="E63" s="47" t="s">
        <v>232</v>
      </c>
      <c r="F63" s="48" t="str">
        <f t="shared" ca="1" si="37"/>
        <v>NO VIGENTE</v>
      </c>
      <c r="G63" s="49">
        <v>43169</v>
      </c>
      <c r="H63" s="49">
        <v>0</v>
      </c>
      <c r="I63" s="50">
        <v>0</v>
      </c>
      <c r="J63" s="50">
        <f t="shared" si="38"/>
        <v>0</v>
      </c>
      <c r="K63" s="50">
        <f t="shared" si="39"/>
        <v>0</v>
      </c>
      <c r="L63" s="50">
        <v>0</v>
      </c>
      <c r="M63" s="51">
        <v>0</v>
      </c>
      <c r="N63" s="47"/>
      <c r="O63" s="47"/>
      <c r="P63" s="52">
        <v>27</v>
      </c>
      <c r="Q63" s="47">
        <f t="shared" si="40"/>
        <v>3</v>
      </c>
      <c r="R63" s="50">
        <f t="shared" si="41"/>
        <v>0</v>
      </c>
      <c r="S63" s="50">
        <f t="shared" si="42"/>
        <v>0</v>
      </c>
      <c r="T63" s="51">
        <f t="shared" si="43"/>
        <v>0</v>
      </c>
    </row>
    <row r="64" spans="1:20" ht="25.5" hidden="1">
      <c r="A64" s="36" t="s">
        <v>154</v>
      </c>
      <c r="B64" s="46">
        <v>16159962</v>
      </c>
      <c r="C64" s="47" t="s">
        <v>169</v>
      </c>
      <c r="D64" s="46">
        <v>1324063080</v>
      </c>
      <c r="E64" s="47" t="s">
        <v>233</v>
      </c>
      <c r="F64" s="48" t="str">
        <f t="shared" ca="1" si="37"/>
        <v>NO VIGENTE</v>
      </c>
      <c r="G64" s="49">
        <v>43202</v>
      </c>
      <c r="H64" s="49">
        <v>0</v>
      </c>
      <c r="I64" s="50">
        <v>0</v>
      </c>
      <c r="J64" s="50">
        <f t="shared" si="38"/>
        <v>0</v>
      </c>
      <c r="K64" s="50">
        <f t="shared" si="39"/>
        <v>0</v>
      </c>
      <c r="L64" s="50">
        <v>0</v>
      </c>
      <c r="M64" s="51">
        <v>0</v>
      </c>
      <c r="N64" s="47"/>
      <c r="O64" s="47"/>
      <c r="P64" s="52">
        <v>18</v>
      </c>
      <c r="Q64" s="47">
        <f t="shared" si="40"/>
        <v>12</v>
      </c>
      <c r="R64" s="50">
        <f t="shared" si="41"/>
        <v>0</v>
      </c>
      <c r="S64" s="50">
        <f t="shared" si="42"/>
        <v>0</v>
      </c>
      <c r="T64" s="51">
        <f t="shared" si="43"/>
        <v>0</v>
      </c>
    </row>
    <row r="65" spans="1:20" ht="25.5" hidden="1">
      <c r="A65" s="36" t="s">
        <v>154</v>
      </c>
      <c r="B65" s="46">
        <v>16159961</v>
      </c>
      <c r="C65" s="47" t="s">
        <v>175</v>
      </c>
      <c r="D65" s="46">
        <v>1259425899</v>
      </c>
      <c r="E65" s="47" t="s">
        <v>234</v>
      </c>
      <c r="F65" s="48" t="str">
        <f t="shared" ca="1" si="37"/>
        <v>NO VIGENTE</v>
      </c>
      <c r="G65" s="49">
        <v>43302</v>
      </c>
      <c r="H65" s="49">
        <v>0</v>
      </c>
      <c r="I65" s="50">
        <v>0</v>
      </c>
      <c r="J65" s="50">
        <f t="shared" si="38"/>
        <v>0</v>
      </c>
      <c r="K65" s="50">
        <f t="shared" si="39"/>
        <v>0</v>
      </c>
      <c r="L65" s="50">
        <v>0</v>
      </c>
      <c r="M65" s="51">
        <v>0</v>
      </c>
      <c r="N65" s="47"/>
      <c r="O65" s="47"/>
      <c r="P65" s="52">
        <v>29</v>
      </c>
      <c r="Q65" s="47">
        <f t="shared" si="40"/>
        <v>1</v>
      </c>
      <c r="R65" s="50">
        <f t="shared" si="41"/>
        <v>0</v>
      </c>
      <c r="S65" s="50">
        <f t="shared" si="42"/>
        <v>0</v>
      </c>
      <c r="T65" s="51">
        <f t="shared" si="43"/>
        <v>0</v>
      </c>
    </row>
    <row r="66" spans="1:20" ht="17.25" hidden="1" thickBot="1"/>
    <row r="67" spans="1:20" ht="49.5" hidden="1">
      <c r="A67" s="36"/>
      <c r="B67" s="53" t="s">
        <v>159</v>
      </c>
      <c r="C67" s="54" t="s">
        <v>30</v>
      </c>
      <c r="D67" s="54" t="s">
        <v>160</v>
      </c>
      <c r="E67" s="54" t="s">
        <v>226</v>
      </c>
      <c r="F67" s="54" t="s">
        <v>163</v>
      </c>
      <c r="G67" s="54" t="s">
        <v>173</v>
      </c>
      <c r="H67" s="54" t="s">
        <v>174</v>
      </c>
      <c r="I67" s="54" t="s">
        <v>34</v>
      </c>
      <c r="J67" s="54" t="s">
        <v>161</v>
      </c>
      <c r="K67" s="54" t="s">
        <v>162</v>
      </c>
      <c r="L67" s="54" t="s">
        <v>176</v>
      </c>
      <c r="M67" s="55" t="s">
        <v>216</v>
      </c>
      <c r="N67" s="55" t="s">
        <v>236</v>
      </c>
      <c r="O67" s="54" t="s">
        <v>235</v>
      </c>
      <c r="P67" s="55" t="s">
        <v>217</v>
      </c>
      <c r="Q67" s="55" t="s">
        <v>225</v>
      </c>
      <c r="R67" s="54" t="s">
        <v>162</v>
      </c>
      <c r="S67" s="54" t="s">
        <v>176</v>
      </c>
      <c r="T67" s="56" t="s">
        <v>54</v>
      </c>
    </row>
    <row r="68" spans="1:20" ht="25.5" hidden="1">
      <c r="A68" s="36" t="s">
        <v>89</v>
      </c>
      <c r="B68" s="37">
        <v>16159963</v>
      </c>
      <c r="C68" s="38" t="s">
        <v>164</v>
      </c>
      <c r="D68" s="37">
        <v>1321648522</v>
      </c>
      <c r="E68" s="38" t="s">
        <v>229</v>
      </c>
      <c r="F68" s="39" t="str">
        <f t="shared" ref="F68:F78" ca="1" si="44">IF(AND(H68&gt;TODAY(),G68&lt;TODAY()),"VIGENTE","NO VIGENTE")</f>
        <v>NO VIGENTE</v>
      </c>
      <c r="G68" s="40">
        <v>43393</v>
      </c>
      <c r="H68" s="40">
        <v>43549</v>
      </c>
      <c r="I68" s="41">
        <v>2346726</v>
      </c>
      <c r="J68" s="41">
        <f t="shared" ref="J68:J78" si="45">I68*0.08</f>
        <v>187738.08000000002</v>
      </c>
      <c r="K68" s="41">
        <f t="shared" ref="K68:K78" si="46">I68*0.04</f>
        <v>93869.040000000008</v>
      </c>
      <c r="L68" s="41">
        <f>I68*0.12</f>
        <v>281607.12</v>
      </c>
      <c r="M68" s="42" t="s">
        <v>218</v>
      </c>
      <c r="N68" s="38"/>
      <c r="O68" s="38"/>
      <c r="P68" s="45">
        <v>30</v>
      </c>
      <c r="Q68" s="38">
        <f t="shared" ref="Q68:Q78" si="47">30-P68</f>
        <v>0</v>
      </c>
      <c r="R68" s="41">
        <f t="shared" ref="R68:R78" si="48">I68*0.085</f>
        <v>199471.71000000002</v>
      </c>
      <c r="S68" s="41">
        <f t="shared" ref="S68:S78" si="49">I68*0.12</f>
        <v>281607.12</v>
      </c>
      <c r="T68" s="42">
        <f t="shared" ref="T68:T78" si="50">SUM(I68:M68,R68,O68,N68,S68)</f>
        <v>3391019.0700000003</v>
      </c>
    </row>
    <row r="69" spans="1:20" ht="25.5" hidden="1">
      <c r="A69" s="36" t="s">
        <v>89</v>
      </c>
      <c r="B69" s="37">
        <v>16159962</v>
      </c>
      <c r="C69" s="38" t="s">
        <v>170</v>
      </c>
      <c r="D69" s="37">
        <v>1323384207</v>
      </c>
      <c r="E69" s="38" t="s">
        <v>232</v>
      </c>
      <c r="F69" s="39" t="str">
        <f t="shared" ca="1" si="44"/>
        <v>NO VIGENTE</v>
      </c>
      <c r="G69" s="40">
        <v>43441</v>
      </c>
      <c r="H69" s="40">
        <v>43552</v>
      </c>
      <c r="I69" s="41">
        <v>782242</v>
      </c>
      <c r="J69" s="41">
        <f t="shared" si="45"/>
        <v>62579.360000000001</v>
      </c>
      <c r="K69" s="41">
        <f t="shared" si="46"/>
        <v>31289.68</v>
      </c>
      <c r="L69" s="41">
        <f>I69*0.1</f>
        <v>78224.2</v>
      </c>
      <c r="M69" s="42">
        <v>44105.549999999996</v>
      </c>
      <c r="N69" s="38"/>
      <c r="O69" s="38"/>
      <c r="P69" s="45">
        <v>15</v>
      </c>
      <c r="Q69" s="38">
        <f t="shared" si="47"/>
        <v>15</v>
      </c>
      <c r="R69" s="41">
        <f t="shared" si="48"/>
        <v>66490.570000000007</v>
      </c>
      <c r="S69" s="41">
        <f t="shared" si="49"/>
        <v>93869.04</v>
      </c>
      <c r="T69" s="42">
        <f t="shared" si="50"/>
        <v>1158800.4000000001</v>
      </c>
    </row>
    <row r="70" spans="1:20" ht="25.5" hidden="1">
      <c r="A70" s="36" t="s">
        <v>89</v>
      </c>
      <c r="B70" s="37">
        <v>16159962</v>
      </c>
      <c r="C70" s="38" t="s">
        <v>171</v>
      </c>
      <c r="D70" s="37">
        <v>1237462775</v>
      </c>
      <c r="E70" s="38" t="s">
        <v>228</v>
      </c>
      <c r="F70" s="39" t="str">
        <f t="shared" ca="1" si="44"/>
        <v>NO VIGENTE</v>
      </c>
      <c r="G70" s="40">
        <v>43274</v>
      </c>
      <c r="H70" s="40">
        <v>43462</v>
      </c>
      <c r="I70" s="41">
        <v>1512334.5333333334</v>
      </c>
      <c r="J70" s="41">
        <f t="shared" si="45"/>
        <v>120986.76266666668</v>
      </c>
      <c r="K70" s="41">
        <f t="shared" si="46"/>
        <v>60493.381333333338</v>
      </c>
      <c r="L70" s="41">
        <f>I70*0.1</f>
        <v>151233.45333333334</v>
      </c>
      <c r="M70" s="42">
        <v>85270.73</v>
      </c>
      <c r="N70" s="38"/>
      <c r="O70" s="38"/>
      <c r="P70" s="45">
        <v>29</v>
      </c>
      <c r="Q70" s="38">
        <f t="shared" si="47"/>
        <v>1</v>
      </c>
      <c r="R70" s="41">
        <f t="shared" si="48"/>
        <v>128548.43533333336</v>
      </c>
      <c r="S70" s="41">
        <f t="shared" si="49"/>
        <v>181480.144</v>
      </c>
      <c r="T70" s="42">
        <f t="shared" si="50"/>
        <v>2240347.4400000004</v>
      </c>
    </row>
    <row r="71" spans="1:20" ht="25.5" hidden="1">
      <c r="A71" s="36" t="s">
        <v>89</v>
      </c>
      <c r="B71" s="37">
        <v>16159961</v>
      </c>
      <c r="C71" s="38" t="s">
        <v>172</v>
      </c>
      <c r="D71" s="37">
        <v>1285748000</v>
      </c>
      <c r="E71" s="38" t="s">
        <v>234</v>
      </c>
      <c r="F71" s="39" t="str">
        <f t="shared" ca="1" si="44"/>
        <v>NO VIGENTE</v>
      </c>
      <c r="G71" s="40">
        <v>43283</v>
      </c>
      <c r="H71" s="40">
        <v>43540</v>
      </c>
      <c r="I71" s="41">
        <v>704017.8</v>
      </c>
      <c r="J71" s="41">
        <f t="shared" si="45"/>
        <v>56321.424000000006</v>
      </c>
      <c r="K71" s="41">
        <f t="shared" si="46"/>
        <v>28160.712000000003</v>
      </c>
      <c r="L71" s="41">
        <f>I71*0.1</f>
        <v>70401.780000000013</v>
      </c>
      <c r="M71" s="42">
        <v>79389.989999999991</v>
      </c>
      <c r="N71" s="38"/>
      <c r="O71" s="38"/>
      <c r="P71" s="45">
        <v>27</v>
      </c>
      <c r="Q71" s="38">
        <f t="shared" si="47"/>
        <v>3</v>
      </c>
      <c r="R71" s="41">
        <f t="shared" si="48"/>
        <v>59841.513000000006</v>
      </c>
      <c r="S71" s="41">
        <f t="shared" si="49"/>
        <v>84482.135999999999</v>
      </c>
      <c r="T71" s="42">
        <f t="shared" si="50"/>
        <v>1082615.3550000002</v>
      </c>
    </row>
    <row r="72" spans="1:20" ht="25.5" hidden="1">
      <c r="A72" s="36" t="s">
        <v>89</v>
      </c>
      <c r="B72" s="37">
        <v>16159963</v>
      </c>
      <c r="C72" s="38" t="s">
        <v>167</v>
      </c>
      <c r="D72" s="37">
        <v>1247550875</v>
      </c>
      <c r="E72" s="38" t="s">
        <v>231</v>
      </c>
      <c r="F72" s="39" t="str">
        <f t="shared" ca="1" si="44"/>
        <v>VIGENTE</v>
      </c>
      <c r="G72" s="40">
        <v>43136</v>
      </c>
      <c r="H72" s="40" t="s">
        <v>237</v>
      </c>
      <c r="I72" s="41">
        <v>2033829.2</v>
      </c>
      <c r="J72" s="41">
        <f t="shared" si="45"/>
        <v>162706.33600000001</v>
      </c>
      <c r="K72" s="41">
        <f t="shared" si="46"/>
        <v>81353.168000000005</v>
      </c>
      <c r="L72" s="41">
        <v>0</v>
      </c>
      <c r="M72" s="42" t="s">
        <v>218</v>
      </c>
      <c r="N72" s="38"/>
      <c r="O72" s="38"/>
      <c r="P72" s="45">
        <v>26</v>
      </c>
      <c r="Q72" s="38">
        <f t="shared" si="47"/>
        <v>4</v>
      </c>
      <c r="R72" s="41">
        <f t="shared" si="48"/>
        <v>172875.48200000002</v>
      </c>
      <c r="S72" s="41">
        <f t="shared" si="49"/>
        <v>244059.50399999999</v>
      </c>
      <c r="T72" s="42">
        <f t="shared" si="50"/>
        <v>2694823.69</v>
      </c>
    </row>
    <row r="73" spans="1:20" ht="25.5" hidden="1">
      <c r="A73" s="36" t="s">
        <v>89</v>
      </c>
      <c r="B73" s="46">
        <v>16159963</v>
      </c>
      <c r="C73" s="47" t="s">
        <v>40</v>
      </c>
      <c r="D73" s="46">
        <v>1311966071</v>
      </c>
      <c r="E73" s="47" t="s">
        <v>228</v>
      </c>
      <c r="F73" s="48" t="str">
        <f t="shared" ca="1" si="44"/>
        <v>NO VIGENTE</v>
      </c>
      <c r="G73" s="49">
        <v>43252</v>
      </c>
      <c r="H73" s="49">
        <v>0</v>
      </c>
      <c r="I73" s="50">
        <v>0</v>
      </c>
      <c r="J73" s="50">
        <f t="shared" si="45"/>
        <v>0</v>
      </c>
      <c r="K73" s="50">
        <f t="shared" si="46"/>
        <v>0</v>
      </c>
      <c r="L73" s="50">
        <v>0</v>
      </c>
      <c r="M73" s="51">
        <v>0</v>
      </c>
      <c r="N73" s="47"/>
      <c r="O73" s="47"/>
      <c r="P73" s="52">
        <v>30</v>
      </c>
      <c r="Q73" s="47">
        <f t="shared" si="47"/>
        <v>0</v>
      </c>
      <c r="R73" s="50">
        <f t="shared" si="48"/>
        <v>0</v>
      </c>
      <c r="S73" s="50">
        <f t="shared" si="49"/>
        <v>0</v>
      </c>
      <c r="T73" s="51">
        <f t="shared" si="50"/>
        <v>0</v>
      </c>
    </row>
    <row r="74" spans="1:20" ht="25.5" hidden="1">
      <c r="A74" s="36" t="s">
        <v>89</v>
      </c>
      <c r="B74" s="46">
        <v>16159963</v>
      </c>
      <c r="C74" s="47" t="s">
        <v>165</v>
      </c>
      <c r="D74" s="46">
        <v>1317424267</v>
      </c>
      <c r="E74" s="47" t="s">
        <v>230</v>
      </c>
      <c r="F74" s="48" t="str">
        <f t="shared" ca="1" si="44"/>
        <v>NO VIGENTE</v>
      </c>
      <c r="G74" s="49">
        <v>43453</v>
      </c>
      <c r="H74" s="49">
        <v>0</v>
      </c>
      <c r="I74" s="50">
        <v>0</v>
      </c>
      <c r="J74" s="50">
        <f t="shared" si="45"/>
        <v>0</v>
      </c>
      <c r="K74" s="50">
        <f t="shared" si="46"/>
        <v>0</v>
      </c>
      <c r="L74" s="50">
        <v>0</v>
      </c>
      <c r="M74" s="51">
        <v>0</v>
      </c>
      <c r="N74" s="47"/>
      <c r="O74" s="47"/>
      <c r="P74" s="52">
        <v>15</v>
      </c>
      <c r="Q74" s="47">
        <f t="shared" si="47"/>
        <v>15</v>
      </c>
      <c r="R74" s="50">
        <f t="shared" si="48"/>
        <v>0</v>
      </c>
      <c r="S74" s="50">
        <f t="shared" si="49"/>
        <v>0</v>
      </c>
      <c r="T74" s="51">
        <f t="shared" si="50"/>
        <v>0</v>
      </c>
    </row>
    <row r="75" spans="1:20" ht="25.5" hidden="1">
      <c r="A75" s="36" t="s">
        <v>89</v>
      </c>
      <c r="B75" s="46">
        <v>16159963</v>
      </c>
      <c r="C75" s="47" t="s">
        <v>166</v>
      </c>
      <c r="D75" s="46">
        <v>1315211554</v>
      </c>
      <c r="E75" s="47" t="s">
        <v>229</v>
      </c>
      <c r="F75" s="48" t="str">
        <f t="shared" ca="1" si="44"/>
        <v>NO VIGENTE</v>
      </c>
      <c r="G75" s="49">
        <v>43147</v>
      </c>
      <c r="H75" s="49">
        <v>0</v>
      </c>
      <c r="I75" s="50">
        <v>0</v>
      </c>
      <c r="J75" s="50">
        <f t="shared" si="45"/>
        <v>0</v>
      </c>
      <c r="K75" s="50">
        <f t="shared" si="46"/>
        <v>0</v>
      </c>
      <c r="L75" s="50">
        <v>0</v>
      </c>
      <c r="M75" s="51">
        <v>0</v>
      </c>
      <c r="N75" s="47"/>
      <c r="O75" s="47"/>
      <c r="P75" s="52">
        <v>25</v>
      </c>
      <c r="Q75" s="47">
        <f t="shared" si="47"/>
        <v>5</v>
      </c>
      <c r="R75" s="50">
        <f t="shared" si="48"/>
        <v>0</v>
      </c>
      <c r="S75" s="50">
        <f t="shared" si="49"/>
        <v>0</v>
      </c>
      <c r="T75" s="51">
        <f t="shared" si="50"/>
        <v>0</v>
      </c>
    </row>
    <row r="76" spans="1:20" ht="25.5" hidden="1">
      <c r="A76" s="36" t="s">
        <v>89</v>
      </c>
      <c r="B76" s="46">
        <v>16159962</v>
      </c>
      <c r="C76" s="47" t="s">
        <v>168</v>
      </c>
      <c r="D76" s="46">
        <v>1241318672</v>
      </c>
      <c r="E76" s="47" t="s">
        <v>232</v>
      </c>
      <c r="F76" s="48" t="str">
        <f t="shared" ca="1" si="44"/>
        <v>NO VIGENTE</v>
      </c>
      <c r="G76" s="49">
        <v>43169</v>
      </c>
      <c r="H76" s="49">
        <v>0</v>
      </c>
      <c r="I76" s="50">
        <v>0</v>
      </c>
      <c r="J76" s="50">
        <f t="shared" si="45"/>
        <v>0</v>
      </c>
      <c r="K76" s="50">
        <f t="shared" si="46"/>
        <v>0</v>
      </c>
      <c r="L76" s="50">
        <v>0</v>
      </c>
      <c r="M76" s="51">
        <v>0</v>
      </c>
      <c r="N76" s="47"/>
      <c r="O76" s="47"/>
      <c r="P76" s="52">
        <v>27</v>
      </c>
      <c r="Q76" s="47">
        <f t="shared" si="47"/>
        <v>3</v>
      </c>
      <c r="R76" s="50">
        <f t="shared" si="48"/>
        <v>0</v>
      </c>
      <c r="S76" s="50">
        <f t="shared" si="49"/>
        <v>0</v>
      </c>
      <c r="T76" s="51">
        <f t="shared" si="50"/>
        <v>0</v>
      </c>
    </row>
    <row r="77" spans="1:20" ht="25.5" hidden="1">
      <c r="A77" s="36" t="s">
        <v>89</v>
      </c>
      <c r="B77" s="46">
        <v>16159962</v>
      </c>
      <c r="C77" s="47" t="s">
        <v>169</v>
      </c>
      <c r="D77" s="46">
        <v>1324063080</v>
      </c>
      <c r="E77" s="47" t="s">
        <v>233</v>
      </c>
      <c r="F77" s="48" t="str">
        <f t="shared" ca="1" si="44"/>
        <v>NO VIGENTE</v>
      </c>
      <c r="G77" s="49">
        <v>43202</v>
      </c>
      <c r="H77" s="49">
        <v>0</v>
      </c>
      <c r="I77" s="50">
        <v>0</v>
      </c>
      <c r="J77" s="50">
        <f t="shared" si="45"/>
        <v>0</v>
      </c>
      <c r="K77" s="50">
        <f t="shared" si="46"/>
        <v>0</v>
      </c>
      <c r="L77" s="50">
        <v>0</v>
      </c>
      <c r="M77" s="51">
        <v>0</v>
      </c>
      <c r="N77" s="47"/>
      <c r="O77" s="47"/>
      <c r="P77" s="52">
        <v>18</v>
      </c>
      <c r="Q77" s="47">
        <f t="shared" si="47"/>
        <v>12</v>
      </c>
      <c r="R77" s="50">
        <f t="shared" si="48"/>
        <v>0</v>
      </c>
      <c r="S77" s="50">
        <f t="shared" si="49"/>
        <v>0</v>
      </c>
      <c r="T77" s="51">
        <f t="shared" si="50"/>
        <v>0</v>
      </c>
    </row>
    <row r="78" spans="1:20" ht="25.5" hidden="1">
      <c r="A78" s="36" t="s">
        <v>89</v>
      </c>
      <c r="B78" s="46">
        <v>16159961</v>
      </c>
      <c r="C78" s="47" t="s">
        <v>175</v>
      </c>
      <c r="D78" s="46">
        <v>1259425899</v>
      </c>
      <c r="E78" s="47" t="s">
        <v>234</v>
      </c>
      <c r="F78" s="48" t="str">
        <f t="shared" ca="1" si="44"/>
        <v>NO VIGENTE</v>
      </c>
      <c r="G78" s="49">
        <v>43302</v>
      </c>
      <c r="H78" s="49">
        <v>0</v>
      </c>
      <c r="I78" s="50">
        <v>0</v>
      </c>
      <c r="J78" s="50">
        <f t="shared" si="45"/>
        <v>0</v>
      </c>
      <c r="K78" s="50">
        <f t="shared" si="46"/>
        <v>0</v>
      </c>
      <c r="L78" s="50">
        <v>0</v>
      </c>
      <c r="M78" s="51">
        <v>0</v>
      </c>
      <c r="N78" s="47"/>
      <c r="O78" s="47"/>
      <c r="P78" s="52">
        <v>29</v>
      </c>
      <c r="Q78" s="47">
        <f t="shared" si="47"/>
        <v>1</v>
      </c>
      <c r="R78" s="50">
        <f t="shared" si="48"/>
        <v>0</v>
      </c>
      <c r="S78" s="50">
        <f t="shared" si="49"/>
        <v>0</v>
      </c>
      <c r="T78" s="51">
        <f t="shared" si="50"/>
        <v>0</v>
      </c>
    </row>
    <row r="79" spans="1:20" ht="17.25" hidden="1" thickBot="1"/>
    <row r="80" spans="1:20" ht="49.5" hidden="1">
      <c r="A80" s="36"/>
      <c r="B80" s="53" t="s">
        <v>159</v>
      </c>
      <c r="C80" s="54" t="s">
        <v>30</v>
      </c>
      <c r="D80" s="54" t="s">
        <v>160</v>
      </c>
      <c r="E80" s="54" t="s">
        <v>226</v>
      </c>
      <c r="F80" s="54" t="s">
        <v>163</v>
      </c>
      <c r="G80" s="54" t="s">
        <v>173</v>
      </c>
      <c r="H80" s="54" t="s">
        <v>174</v>
      </c>
      <c r="I80" s="54" t="s">
        <v>34</v>
      </c>
      <c r="J80" s="54" t="s">
        <v>161</v>
      </c>
      <c r="K80" s="54" t="s">
        <v>162</v>
      </c>
      <c r="L80" s="54" t="s">
        <v>176</v>
      </c>
      <c r="M80" s="55" t="s">
        <v>216</v>
      </c>
      <c r="N80" s="55" t="s">
        <v>236</v>
      </c>
      <c r="O80" s="54" t="s">
        <v>235</v>
      </c>
      <c r="P80" s="55" t="s">
        <v>217</v>
      </c>
      <c r="Q80" s="55" t="s">
        <v>225</v>
      </c>
      <c r="R80" s="54" t="s">
        <v>162</v>
      </c>
      <c r="S80" s="54" t="s">
        <v>176</v>
      </c>
      <c r="T80" s="56" t="s">
        <v>54</v>
      </c>
    </row>
    <row r="81" spans="1:20" ht="25.5" hidden="1">
      <c r="A81" s="36" t="s">
        <v>90</v>
      </c>
      <c r="B81" s="37">
        <v>16159963</v>
      </c>
      <c r="C81" s="38" t="s">
        <v>164</v>
      </c>
      <c r="D81" s="37">
        <v>1321648522</v>
      </c>
      <c r="E81" s="38" t="s">
        <v>229</v>
      </c>
      <c r="F81" s="39" t="str">
        <f t="shared" ref="F81:F91" ca="1" si="51">IF(AND(H81&gt;TODAY(),G81&lt;TODAY()),"VIGENTE","NO VIGENTE")</f>
        <v>NO VIGENTE</v>
      </c>
      <c r="G81" s="40">
        <v>43393</v>
      </c>
      <c r="H81" s="40">
        <v>43549</v>
      </c>
      <c r="I81" s="41">
        <v>2346726</v>
      </c>
      <c r="J81" s="41">
        <f t="shared" ref="J81:J91" si="52">I81*0.08</f>
        <v>187738.08000000002</v>
      </c>
      <c r="K81" s="41">
        <f t="shared" ref="K81:K91" si="53">I81*0.04</f>
        <v>93869.040000000008</v>
      </c>
      <c r="L81" s="41">
        <f>I81*0.12</f>
        <v>281607.12</v>
      </c>
      <c r="M81" s="42" t="s">
        <v>218</v>
      </c>
      <c r="N81" s="38"/>
      <c r="O81" s="38"/>
      <c r="P81" s="45">
        <v>30</v>
      </c>
      <c r="Q81" s="38">
        <f t="shared" ref="Q81:Q91" si="54">30-P81</f>
        <v>0</v>
      </c>
      <c r="R81" s="41">
        <f t="shared" ref="R81:R91" si="55">I81*0.085</f>
        <v>199471.71000000002</v>
      </c>
      <c r="S81" s="41">
        <f t="shared" ref="S81:S91" si="56">I81*0.12</f>
        <v>281607.12</v>
      </c>
      <c r="T81" s="42">
        <f t="shared" ref="T81:T91" si="57">SUM(I81:M81,R81,O81,N81,S81)</f>
        <v>3391019.0700000003</v>
      </c>
    </row>
    <row r="82" spans="1:20" ht="25.5" hidden="1">
      <c r="A82" s="36" t="s">
        <v>90</v>
      </c>
      <c r="B82" s="37">
        <v>16159962</v>
      </c>
      <c r="C82" s="38" t="s">
        <v>170</v>
      </c>
      <c r="D82" s="37">
        <v>1323384207</v>
      </c>
      <c r="E82" s="38" t="s">
        <v>232</v>
      </c>
      <c r="F82" s="39" t="str">
        <f t="shared" ca="1" si="51"/>
        <v>NO VIGENTE</v>
      </c>
      <c r="G82" s="40">
        <v>43441</v>
      </c>
      <c r="H82" s="40">
        <v>43552</v>
      </c>
      <c r="I82" s="41">
        <v>782242</v>
      </c>
      <c r="J82" s="41">
        <f t="shared" si="52"/>
        <v>62579.360000000001</v>
      </c>
      <c r="K82" s="41">
        <f t="shared" si="53"/>
        <v>31289.68</v>
      </c>
      <c r="L82" s="41">
        <f>I82*0.1</f>
        <v>78224.2</v>
      </c>
      <c r="M82" s="42">
        <v>44105.549999999996</v>
      </c>
      <c r="N82" s="38"/>
      <c r="O82" s="38"/>
      <c r="P82" s="45">
        <v>15</v>
      </c>
      <c r="Q82" s="38">
        <f t="shared" si="54"/>
        <v>15</v>
      </c>
      <c r="R82" s="41">
        <f t="shared" si="55"/>
        <v>66490.570000000007</v>
      </c>
      <c r="S82" s="41">
        <f t="shared" si="56"/>
        <v>93869.04</v>
      </c>
      <c r="T82" s="42">
        <f t="shared" si="57"/>
        <v>1158800.4000000001</v>
      </c>
    </row>
    <row r="83" spans="1:20" ht="25.5" hidden="1">
      <c r="A83" s="36" t="s">
        <v>90</v>
      </c>
      <c r="B83" s="37">
        <v>16159962</v>
      </c>
      <c r="C83" s="38" t="s">
        <v>171</v>
      </c>
      <c r="D83" s="37">
        <v>1237462775</v>
      </c>
      <c r="E83" s="38" t="s">
        <v>228</v>
      </c>
      <c r="F83" s="39" t="str">
        <f t="shared" ca="1" si="51"/>
        <v>NO VIGENTE</v>
      </c>
      <c r="G83" s="40">
        <v>43274</v>
      </c>
      <c r="H83" s="40">
        <v>43462</v>
      </c>
      <c r="I83" s="41">
        <v>1512334.5333333334</v>
      </c>
      <c r="J83" s="41">
        <f t="shared" si="52"/>
        <v>120986.76266666668</v>
      </c>
      <c r="K83" s="41">
        <f t="shared" si="53"/>
        <v>60493.381333333338</v>
      </c>
      <c r="L83" s="41">
        <f>I83*0.1</f>
        <v>151233.45333333334</v>
      </c>
      <c r="M83" s="42">
        <v>85270.73</v>
      </c>
      <c r="N83" s="38"/>
      <c r="O83" s="38"/>
      <c r="P83" s="45">
        <v>29</v>
      </c>
      <c r="Q83" s="38">
        <f t="shared" si="54"/>
        <v>1</v>
      </c>
      <c r="R83" s="41">
        <f t="shared" si="55"/>
        <v>128548.43533333336</v>
      </c>
      <c r="S83" s="41">
        <f t="shared" si="56"/>
        <v>181480.144</v>
      </c>
      <c r="T83" s="42">
        <f t="shared" si="57"/>
        <v>2240347.4400000004</v>
      </c>
    </row>
    <row r="84" spans="1:20" ht="25.5" hidden="1">
      <c r="A84" s="36" t="s">
        <v>90</v>
      </c>
      <c r="B84" s="37">
        <v>16159961</v>
      </c>
      <c r="C84" s="38" t="s">
        <v>172</v>
      </c>
      <c r="D84" s="37">
        <v>1285748000</v>
      </c>
      <c r="E84" s="38" t="s">
        <v>234</v>
      </c>
      <c r="F84" s="39" t="str">
        <f t="shared" ca="1" si="51"/>
        <v>NO VIGENTE</v>
      </c>
      <c r="G84" s="40">
        <v>43283</v>
      </c>
      <c r="H84" s="40">
        <v>43540</v>
      </c>
      <c r="I84" s="41">
        <v>704017.8</v>
      </c>
      <c r="J84" s="41">
        <f t="shared" si="52"/>
        <v>56321.424000000006</v>
      </c>
      <c r="K84" s="41">
        <f t="shared" si="53"/>
        <v>28160.712000000003</v>
      </c>
      <c r="L84" s="41">
        <f>I84*0.1</f>
        <v>70401.780000000013</v>
      </c>
      <c r="M84" s="42">
        <v>79389.989999999991</v>
      </c>
      <c r="N84" s="38"/>
      <c r="O84" s="38"/>
      <c r="P84" s="45">
        <v>27</v>
      </c>
      <c r="Q84" s="38">
        <f t="shared" si="54"/>
        <v>3</v>
      </c>
      <c r="R84" s="41">
        <f t="shared" si="55"/>
        <v>59841.513000000006</v>
      </c>
      <c r="S84" s="41">
        <f t="shared" si="56"/>
        <v>84482.135999999999</v>
      </c>
      <c r="T84" s="42">
        <f t="shared" si="57"/>
        <v>1082615.3550000002</v>
      </c>
    </row>
    <row r="85" spans="1:20" ht="25.5" hidden="1">
      <c r="A85" s="36" t="s">
        <v>90</v>
      </c>
      <c r="B85" s="37">
        <v>16159963</v>
      </c>
      <c r="C85" s="38" t="s">
        <v>167</v>
      </c>
      <c r="D85" s="37">
        <v>1247550875</v>
      </c>
      <c r="E85" s="38" t="s">
        <v>231</v>
      </c>
      <c r="F85" s="39" t="str">
        <f t="shared" ca="1" si="51"/>
        <v>VIGENTE</v>
      </c>
      <c r="G85" s="40">
        <v>43136</v>
      </c>
      <c r="H85" s="40" t="s">
        <v>237</v>
      </c>
      <c r="I85" s="41">
        <v>2033829.2</v>
      </c>
      <c r="J85" s="41">
        <f t="shared" si="52"/>
        <v>162706.33600000001</v>
      </c>
      <c r="K85" s="41">
        <f t="shared" si="53"/>
        <v>81353.168000000005</v>
      </c>
      <c r="L85" s="41">
        <v>0</v>
      </c>
      <c r="M85" s="42" t="s">
        <v>218</v>
      </c>
      <c r="N85" s="38"/>
      <c r="O85" s="38"/>
      <c r="P85" s="45">
        <v>26</v>
      </c>
      <c r="Q85" s="38">
        <f t="shared" si="54"/>
        <v>4</v>
      </c>
      <c r="R85" s="41">
        <f t="shared" si="55"/>
        <v>172875.48200000002</v>
      </c>
      <c r="S85" s="41">
        <f t="shared" si="56"/>
        <v>244059.50399999999</v>
      </c>
      <c r="T85" s="42">
        <f t="shared" si="57"/>
        <v>2694823.69</v>
      </c>
    </row>
    <row r="86" spans="1:20" ht="25.5" hidden="1">
      <c r="A86" s="36" t="s">
        <v>90</v>
      </c>
      <c r="B86" s="46">
        <v>16159963</v>
      </c>
      <c r="C86" s="47" t="s">
        <v>40</v>
      </c>
      <c r="D86" s="46">
        <v>1311966071</v>
      </c>
      <c r="E86" s="47" t="s">
        <v>228</v>
      </c>
      <c r="F86" s="48" t="str">
        <f t="shared" ca="1" si="51"/>
        <v>NO VIGENTE</v>
      </c>
      <c r="G86" s="49">
        <v>43252</v>
      </c>
      <c r="H86" s="49">
        <v>0</v>
      </c>
      <c r="I86" s="50">
        <v>0</v>
      </c>
      <c r="J86" s="50">
        <f t="shared" si="52"/>
        <v>0</v>
      </c>
      <c r="K86" s="50">
        <f t="shared" si="53"/>
        <v>0</v>
      </c>
      <c r="L86" s="50">
        <v>0</v>
      </c>
      <c r="M86" s="51">
        <v>0</v>
      </c>
      <c r="N86" s="47"/>
      <c r="O86" s="47"/>
      <c r="P86" s="52">
        <v>30</v>
      </c>
      <c r="Q86" s="47">
        <f t="shared" si="54"/>
        <v>0</v>
      </c>
      <c r="R86" s="50">
        <f t="shared" si="55"/>
        <v>0</v>
      </c>
      <c r="S86" s="50">
        <f t="shared" si="56"/>
        <v>0</v>
      </c>
      <c r="T86" s="51">
        <f t="shared" si="57"/>
        <v>0</v>
      </c>
    </row>
    <row r="87" spans="1:20" ht="25.5" hidden="1">
      <c r="A87" s="36" t="s">
        <v>90</v>
      </c>
      <c r="B87" s="46">
        <v>16159963</v>
      </c>
      <c r="C87" s="47" t="s">
        <v>165</v>
      </c>
      <c r="D87" s="46">
        <v>1317424267</v>
      </c>
      <c r="E87" s="47" t="s">
        <v>230</v>
      </c>
      <c r="F87" s="48" t="str">
        <f t="shared" ca="1" si="51"/>
        <v>NO VIGENTE</v>
      </c>
      <c r="G87" s="49">
        <v>43453</v>
      </c>
      <c r="H87" s="49">
        <v>0</v>
      </c>
      <c r="I87" s="50">
        <v>0</v>
      </c>
      <c r="J87" s="50">
        <f t="shared" si="52"/>
        <v>0</v>
      </c>
      <c r="K87" s="50">
        <f t="shared" si="53"/>
        <v>0</v>
      </c>
      <c r="L87" s="50">
        <v>0</v>
      </c>
      <c r="M87" s="51">
        <v>0</v>
      </c>
      <c r="N87" s="47"/>
      <c r="O87" s="47"/>
      <c r="P87" s="52">
        <v>15</v>
      </c>
      <c r="Q87" s="47">
        <f t="shared" si="54"/>
        <v>15</v>
      </c>
      <c r="R87" s="50">
        <f t="shared" si="55"/>
        <v>0</v>
      </c>
      <c r="S87" s="50">
        <f t="shared" si="56"/>
        <v>0</v>
      </c>
      <c r="T87" s="51">
        <f t="shared" si="57"/>
        <v>0</v>
      </c>
    </row>
    <row r="88" spans="1:20" ht="25.5" hidden="1">
      <c r="A88" s="36" t="s">
        <v>90</v>
      </c>
      <c r="B88" s="46">
        <v>16159963</v>
      </c>
      <c r="C88" s="47" t="s">
        <v>166</v>
      </c>
      <c r="D88" s="46">
        <v>1315211554</v>
      </c>
      <c r="E88" s="47" t="s">
        <v>229</v>
      </c>
      <c r="F88" s="48" t="str">
        <f t="shared" ca="1" si="51"/>
        <v>NO VIGENTE</v>
      </c>
      <c r="G88" s="49">
        <v>43147</v>
      </c>
      <c r="H88" s="49">
        <v>0</v>
      </c>
      <c r="I88" s="50">
        <v>0</v>
      </c>
      <c r="J88" s="50">
        <f t="shared" si="52"/>
        <v>0</v>
      </c>
      <c r="K88" s="50">
        <f t="shared" si="53"/>
        <v>0</v>
      </c>
      <c r="L88" s="50">
        <v>0</v>
      </c>
      <c r="M88" s="51">
        <v>0</v>
      </c>
      <c r="N88" s="47"/>
      <c r="O88" s="47"/>
      <c r="P88" s="52">
        <v>25</v>
      </c>
      <c r="Q88" s="47">
        <f t="shared" si="54"/>
        <v>5</v>
      </c>
      <c r="R88" s="50">
        <f t="shared" si="55"/>
        <v>0</v>
      </c>
      <c r="S88" s="50">
        <f t="shared" si="56"/>
        <v>0</v>
      </c>
      <c r="T88" s="51">
        <f t="shared" si="57"/>
        <v>0</v>
      </c>
    </row>
    <row r="89" spans="1:20" ht="25.5" hidden="1">
      <c r="A89" s="36" t="s">
        <v>90</v>
      </c>
      <c r="B89" s="46">
        <v>16159962</v>
      </c>
      <c r="C89" s="47" t="s">
        <v>168</v>
      </c>
      <c r="D89" s="46">
        <v>1241318672</v>
      </c>
      <c r="E89" s="47" t="s">
        <v>232</v>
      </c>
      <c r="F89" s="48" t="str">
        <f t="shared" ca="1" si="51"/>
        <v>NO VIGENTE</v>
      </c>
      <c r="G89" s="49">
        <v>43169</v>
      </c>
      <c r="H89" s="49">
        <v>0</v>
      </c>
      <c r="I89" s="50">
        <v>0</v>
      </c>
      <c r="J89" s="50">
        <f t="shared" si="52"/>
        <v>0</v>
      </c>
      <c r="K89" s="50">
        <f t="shared" si="53"/>
        <v>0</v>
      </c>
      <c r="L89" s="50">
        <v>0</v>
      </c>
      <c r="M89" s="51">
        <v>0</v>
      </c>
      <c r="N89" s="47"/>
      <c r="O89" s="47"/>
      <c r="P89" s="52">
        <v>27</v>
      </c>
      <c r="Q89" s="47">
        <f t="shared" si="54"/>
        <v>3</v>
      </c>
      <c r="R89" s="50">
        <f t="shared" si="55"/>
        <v>0</v>
      </c>
      <c r="S89" s="50">
        <f t="shared" si="56"/>
        <v>0</v>
      </c>
      <c r="T89" s="51">
        <f t="shared" si="57"/>
        <v>0</v>
      </c>
    </row>
    <row r="90" spans="1:20" ht="25.5" hidden="1">
      <c r="A90" s="36" t="s">
        <v>90</v>
      </c>
      <c r="B90" s="46">
        <v>16159962</v>
      </c>
      <c r="C90" s="47" t="s">
        <v>169</v>
      </c>
      <c r="D90" s="46">
        <v>1324063080</v>
      </c>
      <c r="E90" s="47" t="s">
        <v>233</v>
      </c>
      <c r="F90" s="48" t="str">
        <f t="shared" ca="1" si="51"/>
        <v>NO VIGENTE</v>
      </c>
      <c r="G90" s="49">
        <v>43202</v>
      </c>
      <c r="H90" s="49">
        <v>0</v>
      </c>
      <c r="I90" s="50">
        <v>0</v>
      </c>
      <c r="J90" s="50">
        <f t="shared" si="52"/>
        <v>0</v>
      </c>
      <c r="K90" s="50">
        <f t="shared" si="53"/>
        <v>0</v>
      </c>
      <c r="L90" s="50">
        <v>0</v>
      </c>
      <c r="M90" s="51">
        <v>0</v>
      </c>
      <c r="N90" s="47"/>
      <c r="O90" s="47"/>
      <c r="P90" s="52">
        <v>18</v>
      </c>
      <c r="Q90" s="47">
        <f t="shared" si="54"/>
        <v>12</v>
      </c>
      <c r="R90" s="50">
        <f t="shared" si="55"/>
        <v>0</v>
      </c>
      <c r="S90" s="50">
        <f t="shared" si="56"/>
        <v>0</v>
      </c>
      <c r="T90" s="51">
        <f t="shared" si="57"/>
        <v>0</v>
      </c>
    </row>
    <row r="91" spans="1:20" ht="25.5" hidden="1">
      <c r="A91" s="36" t="s">
        <v>90</v>
      </c>
      <c r="B91" s="46">
        <v>16159961</v>
      </c>
      <c r="C91" s="47" t="s">
        <v>175</v>
      </c>
      <c r="D91" s="46">
        <v>1259425899</v>
      </c>
      <c r="E91" s="47" t="s">
        <v>234</v>
      </c>
      <c r="F91" s="48" t="str">
        <f t="shared" ca="1" si="51"/>
        <v>NO VIGENTE</v>
      </c>
      <c r="G91" s="49">
        <v>43302</v>
      </c>
      <c r="H91" s="49">
        <v>0</v>
      </c>
      <c r="I91" s="50">
        <v>0</v>
      </c>
      <c r="J91" s="50">
        <f t="shared" si="52"/>
        <v>0</v>
      </c>
      <c r="K91" s="50">
        <f t="shared" si="53"/>
        <v>0</v>
      </c>
      <c r="L91" s="50">
        <v>0</v>
      </c>
      <c r="M91" s="51">
        <v>0</v>
      </c>
      <c r="N91" s="47"/>
      <c r="O91" s="47"/>
      <c r="P91" s="52">
        <v>29</v>
      </c>
      <c r="Q91" s="47">
        <f t="shared" si="54"/>
        <v>1</v>
      </c>
      <c r="R91" s="50">
        <f t="shared" si="55"/>
        <v>0</v>
      </c>
      <c r="S91" s="50">
        <f t="shared" si="56"/>
        <v>0</v>
      </c>
      <c r="T91" s="51">
        <f t="shared" si="57"/>
        <v>0</v>
      </c>
    </row>
    <row r="92" spans="1:20" ht="17.25" hidden="1" thickBot="1"/>
    <row r="93" spans="1:20" ht="49.5" hidden="1">
      <c r="A93" s="36"/>
      <c r="B93" s="53" t="s">
        <v>159</v>
      </c>
      <c r="C93" s="54" t="s">
        <v>30</v>
      </c>
      <c r="D93" s="54" t="s">
        <v>160</v>
      </c>
      <c r="E93" s="54" t="s">
        <v>226</v>
      </c>
      <c r="F93" s="54" t="s">
        <v>163</v>
      </c>
      <c r="G93" s="54" t="s">
        <v>173</v>
      </c>
      <c r="H93" s="54" t="s">
        <v>174</v>
      </c>
      <c r="I93" s="54" t="s">
        <v>34</v>
      </c>
      <c r="J93" s="54" t="s">
        <v>161</v>
      </c>
      <c r="K93" s="54" t="s">
        <v>162</v>
      </c>
      <c r="L93" s="54" t="s">
        <v>176</v>
      </c>
      <c r="M93" s="55" t="s">
        <v>216</v>
      </c>
      <c r="N93" s="55" t="s">
        <v>236</v>
      </c>
      <c r="O93" s="54" t="s">
        <v>235</v>
      </c>
      <c r="P93" s="55" t="s">
        <v>217</v>
      </c>
      <c r="Q93" s="55" t="s">
        <v>225</v>
      </c>
      <c r="R93" s="54" t="s">
        <v>162</v>
      </c>
      <c r="S93" s="54" t="s">
        <v>176</v>
      </c>
      <c r="T93" s="56" t="s">
        <v>54</v>
      </c>
    </row>
    <row r="94" spans="1:20" ht="25.5" hidden="1">
      <c r="A94" s="36" t="s">
        <v>155</v>
      </c>
      <c r="B94" s="37">
        <v>16159963</v>
      </c>
      <c r="C94" s="38" t="s">
        <v>164</v>
      </c>
      <c r="D94" s="37">
        <v>1321648522</v>
      </c>
      <c r="E94" s="38" t="s">
        <v>229</v>
      </c>
      <c r="F94" s="39" t="str">
        <f t="shared" ref="F94:F104" ca="1" si="58">IF(AND(H94&gt;TODAY(),G94&lt;TODAY()),"VIGENTE","NO VIGENTE")</f>
        <v>NO VIGENTE</v>
      </c>
      <c r="G94" s="40">
        <v>43393</v>
      </c>
      <c r="H94" s="40">
        <v>43549</v>
      </c>
      <c r="I94" s="41">
        <v>2346726</v>
      </c>
      <c r="J94" s="41">
        <f t="shared" ref="J94:J104" si="59">I94*0.08</f>
        <v>187738.08000000002</v>
      </c>
      <c r="K94" s="41">
        <f t="shared" ref="K94:K104" si="60">I94*0.04</f>
        <v>93869.040000000008</v>
      </c>
      <c r="L94" s="41">
        <f>I94*0.12</f>
        <v>281607.12</v>
      </c>
      <c r="M94" s="42" t="s">
        <v>218</v>
      </c>
      <c r="N94" s="38"/>
      <c r="O94" s="38"/>
      <c r="P94" s="45">
        <v>30</v>
      </c>
      <c r="Q94" s="38">
        <f t="shared" ref="Q94:Q104" si="61">30-P94</f>
        <v>0</v>
      </c>
      <c r="R94" s="41">
        <f t="shared" ref="R94:R104" si="62">I94*0.085</f>
        <v>199471.71000000002</v>
      </c>
      <c r="S94" s="41">
        <f t="shared" ref="S94:S104" si="63">I94*0.12</f>
        <v>281607.12</v>
      </c>
      <c r="T94" s="42">
        <f t="shared" ref="T94:T104" si="64">SUM(I94:M94,R94,O94,N94,S94)</f>
        <v>3391019.0700000003</v>
      </c>
    </row>
    <row r="95" spans="1:20" ht="25.5" hidden="1">
      <c r="A95" s="36" t="s">
        <v>155</v>
      </c>
      <c r="B95" s="37">
        <v>16159962</v>
      </c>
      <c r="C95" s="38" t="s">
        <v>170</v>
      </c>
      <c r="D95" s="37">
        <v>1323384207</v>
      </c>
      <c r="E95" s="38" t="s">
        <v>232</v>
      </c>
      <c r="F95" s="39" t="str">
        <f t="shared" ca="1" si="58"/>
        <v>NO VIGENTE</v>
      </c>
      <c r="G95" s="40">
        <v>43441</v>
      </c>
      <c r="H95" s="40">
        <v>43552</v>
      </c>
      <c r="I95" s="41">
        <v>782242</v>
      </c>
      <c r="J95" s="41">
        <f t="shared" si="59"/>
        <v>62579.360000000001</v>
      </c>
      <c r="K95" s="41">
        <f t="shared" si="60"/>
        <v>31289.68</v>
      </c>
      <c r="L95" s="41">
        <f>I95*0.1</f>
        <v>78224.2</v>
      </c>
      <c r="M95" s="42">
        <v>44105.549999999996</v>
      </c>
      <c r="N95" s="38"/>
      <c r="O95" s="38"/>
      <c r="P95" s="45">
        <v>15</v>
      </c>
      <c r="Q95" s="38">
        <f t="shared" si="61"/>
        <v>15</v>
      </c>
      <c r="R95" s="41">
        <f t="shared" si="62"/>
        <v>66490.570000000007</v>
      </c>
      <c r="S95" s="41">
        <f t="shared" si="63"/>
        <v>93869.04</v>
      </c>
      <c r="T95" s="42">
        <f t="shared" si="64"/>
        <v>1158800.4000000001</v>
      </c>
    </row>
    <row r="96" spans="1:20" ht="25.5" hidden="1">
      <c r="A96" s="36" t="s">
        <v>155</v>
      </c>
      <c r="B96" s="37">
        <v>16159962</v>
      </c>
      <c r="C96" s="38" t="s">
        <v>171</v>
      </c>
      <c r="D96" s="37">
        <v>1237462775</v>
      </c>
      <c r="E96" s="38" t="s">
        <v>228</v>
      </c>
      <c r="F96" s="39" t="str">
        <f t="shared" ca="1" si="58"/>
        <v>NO VIGENTE</v>
      </c>
      <c r="G96" s="40">
        <v>43274</v>
      </c>
      <c r="H96" s="40">
        <v>43462</v>
      </c>
      <c r="I96" s="41">
        <v>1512334.5333333334</v>
      </c>
      <c r="J96" s="41">
        <f t="shared" si="59"/>
        <v>120986.76266666668</v>
      </c>
      <c r="K96" s="41">
        <f t="shared" si="60"/>
        <v>60493.381333333338</v>
      </c>
      <c r="L96" s="41">
        <f>I96*0.1</f>
        <v>151233.45333333334</v>
      </c>
      <c r="M96" s="42">
        <v>85270.73</v>
      </c>
      <c r="N96" s="38"/>
      <c r="O96" s="38"/>
      <c r="P96" s="45">
        <v>29</v>
      </c>
      <c r="Q96" s="38">
        <f t="shared" si="61"/>
        <v>1</v>
      </c>
      <c r="R96" s="41">
        <f t="shared" si="62"/>
        <v>128548.43533333336</v>
      </c>
      <c r="S96" s="41">
        <f t="shared" si="63"/>
        <v>181480.144</v>
      </c>
      <c r="T96" s="42">
        <f t="shared" si="64"/>
        <v>2240347.4400000004</v>
      </c>
    </row>
    <row r="97" spans="1:20" ht="25.5" hidden="1">
      <c r="A97" s="36" t="s">
        <v>155</v>
      </c>
      <c r="B97" s="37">
        <v>16159961</v>
      </c>
      <c r="C97" s="38" t="s">
        <v>172</v>
      </c>
      <c r="D97" s="37">
        <v>1285748000</v>
      </c>
      <c r="E97" s="38" t="s">
        <v>234</v>
      </c>
      <c r="F97" s="39" t="str">
        <f t="shared" ca="1" si="58"/>
        <v>NO VIGENTE</v>
      </c>
      <c r="G97" s="40">
        <v>43283</v>
      </c>
      <c r="H97" s="40">
        <v>43540</v>
      </c>
      <c r="I97" s="41">
        <v>704017.8</v>
      </c>
      <c r="J97" s="41">
        <f t="shared" si="59"/>
        <v>56321.424000000006</v>
      </c>
      <c r="K97" s="41">
        <f t="shared" si="60"/>
        <v>28160.712000000003</v>
      </c>
      <c r="L97" s="41">
        <f>I97*0.1</f>
        <v>70401.780000000013</v>
      </c>
      <c r="M97" s="42">
        <v>79389.989999999991</v>
      </c>
      <c r="N97" s="38"/>
      <c r="O97" s="38"/>
      <c r="P97" s="45">
        <v>27</v>
      </c>
      <c r="Q97" s="38">
        <f t="shared" si="61"/>
        <v>3</v>
      </c>
      <c r="R97" s="41">
        <f t="shared" si="62"/>
        <v>59841.513000000006</v>
      </c>
      <c r="S97" s="41">
        <f t="shared" si="63"/>
        <v>84482.135999999999</v>
      </c>
      <c r="T97" s="42">
        <f t="shared" si="64"/>
        <v>1082615.3550000002</v>
      </c>
    </row>
    <row r="98" spans="1:20" ht="25.5" hidden="1">
      <c r="A98" s="36" t="s">
        <v>155</v>
      </c>
      <c r="B98" s="37">
        <v>16159963</v>
      </c>
      <c r="C98" s="38" t="s">
        <v>167</v>
      </c>
      <c r="D98" s="37">
        <v>1247550875</v>
      </c>
      <c r="E98" s="38" t="s">
        <v>231</v>
      </c>
      <c r="F98" s="39" t="str">
        <f t="shared" ca="1" si="58"/>
        <v>VIGENTE</v>
      </c>
      <c r="G98" s="40">
        <v>43136</v>
      </c>
      <c r="H98" s="40" t="s">
        <v>237</v>
      </c>
      <c r="I98" s="41">
        <v>2033829.2</v>
      </c>
      <c r="J98" s="41">
        <f t="shared" si="59"/>
        <v>162706.33600000001</v>
      </c>
      <c r="K98" s="41">
        <f t="shared" si="60"/>
        <v>81353.168000000005</v>
      </c>
      <c r="L98" s="41">
        <v>0</v>
      </c>
      <c r="M98" s="42" t="s">
        <v>218</v>
      </c>
      <c r="N98" s="38"/>
      <c r="O98" s="38"/>
      <c r="P98" s="45">
        <v>26</v>
      </c>
      <c r="Q98" s="38">
        <f t="shared" si="61"/>
        <v>4</v>
      </c>
      <c r="R98" s="41">
        <f t="shared" si="62"/>
        <v>172875.48200000002</v>
      </c>
      <c r="S98" s="41">
        <f t="shared" si="63"/>
        <v>244059.50399999999</v>
      </c>
      <c r="T98" s="42">
        <f t="shared" si="64"/>
        <v>2694823.69</v>
      </c>
    </row>
    <row r="99" spans="1:20" ht="25.5" hidden="1">
      <c r="A99" s="36" t="s">
        <v>155</v>
      </c>
      <c r="B99" s="46">
        <v>16159963</v>
      </c>
      <c r="C99" s="47" t="s">
        <v>40</v>
      </c>
      <c r="D99" s="46">
        <v>1311966071</v>
      </c>
      <c r="E99" s="47" t="s">
        <v>228</v>
      </c>
      <c r="F99" s="48" t="str">
        <f t="shared" ca="1" si="58"/>
        <v>NO VIGENTE</v>
      </c>
      <c r="G99" s="49">
        <v>43252</v>
      </c>
      <c r="H99" s="49">
        <v>0</v>
      </c>
      <c r="I99" s="50">
        <v>0</v>
      </c>
      <c r="J99" s="50">
        <f t="shared" si="59"/>
        <v>0</v>
      </c>
      <c r="K99" s="50">
        <f t="shared" si="60"/>
        <v>0</v>
      </c>
      <c r="L99" s="50">
        <v>0</v>
      </c>
      <c r="M99" s="51">
        <v>0</v>
      </c>
      <c r="N99" s="47"/>
      <c r="O99" s="47"/>
      <c r="P99" s="52">
        <v>30</v>
      </c>
      <c r="Q99" s="47">
        <f t="shared" si="61"/>
        <v>0</v>
      </c>
      <c r="R99" s="50">
        <f t="shared" si="62"/>
        <v>0</v>
      </c>
      <c r="S99" s="50">
        <f t="shared" si="63"/>
        <v>0</v>
      </c>
      <c r="T99" s="51">
        <f t="shared" si="64"/>
        <v>0</v>
      </c>
    </row>
    <row r="100" spans="1:20" ht="25.5" hidden="1">
      <c r="A100" s="36" t="s">
        <v>155</v>
      </c>
      <c r="B100" s="46">
        <v>16159963</v>
      </c>
      <c r="C100" s="47" t="s">
        <v>165</v>
      </c>
      <c r="D100" s="46">
        <v>1317424267</v>
      </c>
      <c r="E100" s="47" t="s">
        <v>230</v>
      </c>
      <c r="F100" s="48" t="str">
        <f t="shared" ca="1" si="58"/>
        <v>NO VIGENTE</v>
      </c>
      <c r="G100" s="49">
        <v>43453</v>
      </c>
      <c r="H100" s="49">
        <v>0</v>
      </c>
      <c r="I100" s="50">
        <v>0</v>
      </c>
      <c r="J100" s="50">
        <f t="shared" si="59"/>
        <v>0</v>
      </c>
      <c r="K100" s="50">
        <f t="shared" si="60"/>
        <v>0</v>
      </c>
      <c r="L100" s="50">
        <v>0</v>
      </c>
      <c r="M100" s="51">
        <v>0</v>
      </c>
      <c r="N100" s="47"/>
      <c r="O100" s="47"/>
      <c r="P100" s="52">
        <v>15</v>
      </c>
      <c r="Q100" s="47">
        <f t="shared" si="61"/>
        <v>15</v>
      </c>
      <c r="R100" s="50">
        <f t="shared" si="62"/>
        <v>0</v>
      </c>
      <c r="S100" s="50">
        <f t="shared" si="63"/>
        <v>0</v>
      </c>
      <c r="T100" s="51">
        <f t="shared" si="64"/>
        <v>0</v>
      </c>
    </row>
    <row r="101" spans="1:20" ht="25.5" hidden="1">
      <c r="A101" s="36" t="s">
        <v>155</v>
      </c>
      <c r="B101" s="46">
        <v>16159963</v>
      </c>
      <c r="C101" s="47" t="s">
        <v>166</v>
      </c>
      <c r="D101" s="46">
        <v>1315211554</v>
      </c>
      <c r="E101" s="47" t="s">
        <v>229</v>
      </c>
      <c r="F101" s="48" t="str">
        <f t="shared" ca="1" si="58"/>
        <v>NO VIGENTE</v>
      </c>
      <c r="G101" s="49">
        <v>43147</v>
      </c>
      <c r="H101" s="49">
        <v>0</v>
      </c>
      <c r="I101" s="50">
        <v>0</v>
      </c>
      <c r="J101" s="50">
        <f t="shared" si="59"/>
        <v>0</v>
      </c>
      <c r="K101" s="50">
        <f t="shared" si="60"/>
        <v>0</v>
      </c>
      <c r="L101" s="50">
        <v>0</v>
      </c>
      <c r="M101" s="51">
        <v>0</v>
      </c>
      <c r="N101" s="47"/>
      <c r="O101" s="47"/>
      <c r="P101" s="52">
        <v>25</v>
      </c>
      <c r="Q101" s="47">
        <f t="shared" si="61"/>
        <v>5</v>
      </c>
      <c r="R101" s="50">
        <f t="shared" si="62"/>
        <v>0</v>
      </c>
      <c r="S101" s="50">
        <f t="shared" si="63"/>
        <v>0</v>
      </c>
      <c r="T101" s="51">
        <f t="shared" si="64"/>
        <v>0</v>
      </c>
    </row>
    <row r="102" spans="1:20" ht="25.5" hidden="1">
      <c r="A102" s="36" t="s">
        <v>155</v>
      </c>
      <c r="B102" s="46">
        <v>16159962</v>
      </c>
      <c r="C102" s="47" t="s">
        <v>168</v>
      </c>
      <c r="D102" s="46">
        <v>1241318672</v>
      </c>
      <c r="E102" s="47" t="s">
        <v>232</v>
      </c>
      <c r="F102" s="48" t="str">
        <f t="shared" ca="1" si="58"/>
        <v>NO VIGENTE</v>
      </c>
      <c r="G102" s="49">
        <v>43169</v>
      </c>
      <c r="H102" s="49">
        <v>0</v>
      </c>
      <c r="I102" s="50">
        <v>0</v>
      </c>
      <c r="J102" s="50">
        <f t="shared" si="59"/>
        <v>0</v>
      </c>
      <c r="K102" s="50">
        <f t="shared" si="60"/>
        <v>0</v>
      </c>
      <c r="L102" s="50">
        <v>0</v>
      </c>
      <c r="M102" s="51">
        <v>0</v>
      </c>
      <c r="N102" s="47"/>
      <c r="O102" s="47"/>
      <c r="P102" s="52">
        <v>27</v>
      </c>
      <c r="Q102" s="47">
        <f t="shared" si="61"/>
        <v>3</v>
      </c>
      <c r="R102" s="50">
        <f t="shared" si="62"/>
        <v>0</v>
      </c>
      <c r="S102" s="50">
        <f t="shared" si="63"/>
        <v>0</v>
      </c>
      <c r="T102" s="51">
        <f t="shared" si="64"/>
        <v>0</v>
      </c>
    </row>
    <row r="103" spans="1:20" ht="25.5" hidden="1">
      <c r="A103" s="36" t="s">
        <v>155</v>
      </c>
      <c r="B103" s="46">
        <v>16159962</v>
      </c>
      <c r="C103" s="47" t="s">
        <v>169</v>
      </c>
      <c r="D103" s="46">
        <v>1324063080</v>
      </c>
      <c r="E103" s="47" t="s">
        <v>233</v>
      </c>
      <c r="F103" s="48" t="str">
        <f t="shared" ca="1" si="58"/>
        <v>NO VIGENTE</v>
      </c>
      <c r="G103" s="49">
        <v>43202</v>
      </c>
      <c r="H103" s="49">
        <v>0</v>
      </c>
      <c r="I103" s="50">
        <v>0</v>
      </c>
      <c r="J103" s="50">
        <f t="shared" si="59"/>
        <v>0</v>
      </c>
      <c r="K103" s="50">
        <f t="shared" si="60"/>
        <v>0</v>
      </c>
      <c r="L103" s="50">
        <v>0</v>
      </c>
      <c r="M103" s="51">
        <v>0</v>
      </c>
      <c r="N103" s="47"/>
      <c r="O103" s="47"/>
      <c r="P103" s="52">
        <v>18</v>
      </c>
      <c r="Q103" s="47">
        <f t="shared" si="61"/>
        <v>12</v>
      </c>
      <c r="R103" s="50">
        <f t="shared" si="62"/>
        <v>0</v>
      </c>
      <c r="S103" s="50">
        <f t="shared" si="63"/>
        <v>0</v>
      </c>
      <c r="T103" s="51">
        <f t="shared" si="64"/>
        <v>0</v>
      </c>
    </row>
    <row r="104" spans="1:20" ht="25.5" hidden="1">
      <c r="A104" s="36" t="s">
        <v>155</v>
      </c>
      <c r="B104" s="46">
        <v>16159961</v>
      </c>
      <c r="C104" s="47" t="s">
        <v>175</v>
      </c>
      <c r="D104" s="46">
        <v>1259425899</v>
      </c>
      <c r="E104" s="47" t="s">
        <v>234</v>
      </c>
      <c r="F104" s="48" t="str">
        <f t="shared" ca="1" si="58"/>
        <v>NO VIGENTE</v>
      </c>
      <c r="G104" s="49">
        <v>43302</v>
      </c>
      <c r="H104" s="49">
        <v>0</v>
      </c>
      <c r="I104" s="50">
        <v>0</v>
      </c>
      <c r="J104" s="50">
        <f t="shared" si="59"/>
        <v>0</v>
      </c>
      <c r="K104" s="50">
        <f t="shared" si="60"/>
        <v>0</v>
      </c>
      <c r="L104" s="50">
        <v>0</v>
      </c>
      <c r="M104" s="51">
        <v>0</v>
      </c>
      <c r="N104" s="47"/>
      <c r="O104" s="47"/>
      <c r="P104" s="52">
        <v>29</v>
      </c>
      <c r="Q104" s="47">
        <f t="shared" si="61"/>
        <v>1</v>
      </c>
      <c r="R104" s="50">
        <f t="shared" si="62"/>
        <v>0</v>
      </c>
      <c r="S104" s="50">
        <f t="shared" si="63"/>
        <v>0</v>
      </c>
      <c r="T104" s="51">
        <f t="shared" si="64"/>
        <v>0</v>
      </c>
    </row>
    <row r="105" spans="1:20" ht="17.25" hidden="1" thickBot="1"/>
    <row r="106" spans="1:20" ht="49.5" hidden="1">
      <c r="A106" s="36"/>
      <c r="B106" s="53" t="s">
        <v>159</v>
      </c>
      <c r="C106" s="54" t="s">
        <v>30</v>
      </c>
      <c r="D106" s="54" t="s">
        <v>160</v>
      </c>
      <c r="E106" s="54" t="s">
        <v>226</v>
      </c>
      <c r="F106" s="54" t="s">
        <v>163</v>
      </c>
      <c r="G106" s="54" t="s">
        <v>173</v>
      </c>
      <c r="H106" s="54" t="s">
        <v>174</v>
      </c>
      <c r="I106" s="54" t="s">
        <v>34</v>
      </c>
      <c r="J106" s="54" t="s">
        <v>161</v>
      </c>
      <c r="K106" s="54" t="s">
        <v>162</v>
      </c>
      <c r="L106" s="54" t="s">
        <v>176</v>
      </c>
      <c r="M106" s="55" t="s">
        <v>216</v>
      </c>
      <c r="N106" s="55" t="s">
        <v>236</v>
      </c>
      <c r="O106" s="54" t="s">
        <v>235</v>
      </c>
      <c r="P106" s="55" t="s">
        <v>217</v>
      </c>
      <c r="Q106" s="55" t="s">
        <v>225</v>
      </c>
      <c r="R106" s="54" t="s">
        <v>162</v>
      </c>
      <c r="S106" s="54" t="s">
        <v>176</v>
      </c>
      <c r="T106" s="56" t="s">
        <v>54</v>
      </c>
    </row>
    <row r="107" spans="1:20" ht="25.5" hidden="1">
      <c r="A107" s="26" t="s">
        <v>91</v>
      </c>
      <c r="B107" s="37">
        <v>16159963</v>
      </c>
      <c r="C107" s="38" t="s">
        <v>164</v>
      </c>
      <c r="D107" s="37">
        <v>1321648522</v>
      </c>
      <c r="E107" s="38" t="s">
        <v>229</v>
      </c>
      <c r="F107" s="39" t="str">
        <f t="shared" ref="F107:F117" ca="1" si="65">IF(AND(H107&gt;TODAY(),G107&lt;TODAY()),"VIGENTE","NO VIGENTE")</f>
        <v>NO VIGENTE</v>
      </c>
      <c r="G107" s="40">
        <v>43393</v>
      </c>
      <c r="H107" s="40">
        <v>43549</v>
      </c>
      <c r="I107" s="41">
        <v>2346726</v>
      </c>
      <c r="J107" s="41">
        <f t="shared" ref="J107:J117" si="66">I107*0.08</f>
        <v>187738.08000000002</v>
      </c>
      <c r="K107" s="41">
        <f t="shared" ref="K107:K117" si="67">I107*0.04</f>
        <v>93869.040000000008</v>
      </c>
      <c r="L107" s="41">
        <f>I107*0.12</f>
        <v>281607.12</v>
      </c>
      <c r="M107" s="42" t="s">
        <v>218</v>
      </c>
      <c r="N107" s="38"/>
      <c r="O107" s="38"/>
      <c r="P107" s="45">
        <v>30</v>
      </c>
      <c r="Q107" s="38">
        <f t="shared" ref="Q107:Q117" si="68">30-P107</f>
        <v>0</v>
      </c>
      <c r="R107" s="41">
        <f t="shared" ref="R107:R117" si="69">I107*0.085</f>
        <v>199471.71000000002</v>
      </c>
      <c r="S107" s="41">
        <f t="shared" ref="S107:S117" si="70">I107*0.12</f>
        <v>281607.12</v>
      </c>
      <c r="T107" s="42">
        <f t="shared" ref="T107:T117" si="71">SUM(I107:M107,R107,O107,N107,S107)</f>
        <v>3391019.0700000003</v>
      </c>
    </row>
    <row r="108" spans="1:20" ht="25.5" hidden="1">
      <c r="A108" s="26" t="s">
        <v>91</v>
      </c>
      <c r="B108" s="37">
        <v>16159962</v>
      </c>
      <c r="C108" s="38" t="s">
        <v>170</v>
      </c>
      <c r="D108" s="37">
        <v>1323384207</v>
      </c>
      <c r="E108" s="38" t="s">
        <v>232</v>
      </c>
      <c r="F108" s="39" t="str">
        <f t="shared" ca="1" si="65"/>
        <v>NO VIGENTE</v>
      </c>
      <c r="G108" s="40">
        <v>43441</v>
      </c>
      <c r="H108" s="40">
        <v>43552</v>
      </c>
      <c r="I108" s="41">
        <v>782242</v>
      </c>
      <c r="J108" s="41">
        <f t="shared" si="66"/>
        <v>62579.360000000001</v>
      </c>
      <c r="K108" s="41">
        <f t="shared" si="67"/>
        <v>31289.68</v>
      </c>
      <c r="L108" s="41">
        <f>I108*0.1</f>
        <v>78224.2</v>
      </c>
      <c r="M108" s="42">
        <v>44105.549999999996</v>
      </c>
      <c r="N108" s="38"/>
      <c r="O108" s="38"/>
      <c r="P108" s="45">
        <v>15</v>
      </c>
      <c r="Q108" s="38">
        <f t="shared" si="68"/>
        <v>15</v>
      </c>
      <c r="R108" s="41">
        <f t="shared" si="69"/>
        <v>66490.570000000007</v>
      </c>
      <c r="S108" s="41">
        <f t="shared" si="70"/>
        <v>93869.04</v>
      </c>
      <c r="T108" s="42">
        <f t="shared" si="71"/>
        <v>1158800.4000000001</v>
      </c>
    </row>
    <row r="109" spans="1:20" ht="25.5" hidden="1">
      <c r="A109" s="26" t="s">
        <v>91</v>
      </c>
      <c r="B109" s="37">
        <v>16159962</v>
      </c>
      <c r="C109" s="38" t="s">
        <v>171</v>
      </c>
      <c r="D109" s="37">
        <v>1237462775</v>
      </c>
      <c r="E109" s="38" t="s">
        <v>228</v>
      </c>
      <c r="F109" s="39" t="str">
        <f t="shared" ca="1" si="65"/>
        <v>NO VIGENTE</v>
      </c>
      <c r="G109" s="40">
        <v>43274</v>
      </c>
      <c r="H109" s="40">
        <v>43462</v>
      </c>
      <c r="I109" s="41">
        <v>1512334.5333333334</v>
      </c>
      <c r="J109" s="41">
        <f t="shared" si="66"/>
        <v>120986.76266666668</v>
      </c>
      <c r="K109" s="41">
        <f t="shared" si="67"/>
        <v>60493.381333333338</v>
      </c>
      <c r="L109" s="41">
        <f>I109*0.1</f>
        <v>151233.45333333334</v>
      </c>
      <c r="M109" s="42">
        <v>85270.73</v>
      </c>
      <c r="N109" s="38"/>
      <c r="O109" s="38"/>
      <c r="P109" s="45">
        <v>29</v>
      </c>
      <c r="Q109" s="38">
        <f t="shared" si="68"/>
        <v>1</v>
      </c>
      <c r="R109" s="41">
        <f t="shared" si="69"/>
        <v>128548.43533333336</v>
      </c>
      <c r="S109" s="41">
        <f t="shared" si="70"/>
        <v>181480.144</v>
      </c>
      <c r="T109" s="42">
        <f t="shared" si="71"/>
        <v>2240347.4400000004</v>
      </c>
    </row>
    <row r="110" spans="1:20" ht="25.5" hidden="1">
      <c r="A110" s="26" t="s">
        <v>91</v>
      </c>
      <c r="B110" s="37">
        <v>16159961</v>
      </c>
      <c r="C110" s="38" t="s">
        <v>172</v>
      </c>
      <c r="D110" s="37">
        <v>1285748000</v>
      </c>
      <c r="E110" s="38" t="s">
        <v>234</v>
      </c>
      <c r="F110" s="39" t="str">
        <f t="shared" ca="1" si="65"/>
        <v>NO VIGENTE</v>
      </c>
      <c r="G110" s="40">
        <v>43283</v>
      </c>
      <c r="H110" s="40">
        <v>43540</v>
      </c>
      <c r="I110" s="41">
        <v>704017.8</v>
      </c>
      <c r="J110" s="41">
        <f t="shared" si="66"/>
        <v>56321.424000000006</v>
      </c>
      <c r="K110" s="41">
        <f t="shared" si="67"/>
        <v>28160.712000000003</v>
      </c>
      <c r="L110" s="41">
        <f>I110*0.1</f>
        <v>70401.780000000013</v>
      </c>
      <c r="M110" s="42">
        <v>79389.989999999991</v>
      </c>
      <c r="N110" s="38"/>
      <c r="O110" s="38"/>
      <c r="P110" s="45">
        <v>27</v>
      </c>
      <c r="Q110" s="38">
        <f t="shared" si="68"/>
        <v>3</v>
      </c>
      <c r="R110" s="41">
        <f t="shared" si="69"/>
        <v>59841.513000000006</v>
      </c>
      <c r="S110" s="41">
        <f t="shared" si="70"/>
        <v>84482.135999999999</v>
      </c>
      <c r="T110" s="42">
        <f t="shared" si="71"/>
        <v>1082615.3550000002</v>
      </c>
    </row>
    <row r="111" spans="1:20" ht="25.5" hidden="1">
      <c r="A111" s="26" t="s">
        <v>91</v>
      </c>
      <c r="B111" s="37">
        <v>16159963</v>
      </c>
      <c r="C111" s="38" t="s">
        <v>167</v>
      </c>
      <c r="D111" s="37">
        <v>1247550875</v>
      </c>
      <c r="E111" s="38" t="s">
        <v>231</v>
      </c>
      <c r="F111" s="39" t="str">
        <f t="shared" ca="1" si="65"/>
        <v>VIGENTE</v>
      </c>
      <c r="G111" s="40">
        <v>43136</v>
      </c>
      <c r="H111" s="40" t="s">
        <v>237</v>
      </c>
      <c r="I111" s="41">
        <v>2033829.2</v>
      </c>
      <c r="J111" s="41">
        <f t="shared" si="66"/>
        <v>162706.33600000001</v>
      </c>
      <c r="K111" s="41">
        <f t="shared" si="67"/>
        <v>81353.168000000005</v>
      </c>
      <c r="L111" s="41">
        <v>0</v>
      </c>
      <c r="M111" s="42" t="s">
        <v>218</v>
      </c>
      <c r="N111" s="38"/>
      <c r="O111" s="38"/>
      <c r="P111" s="45">
        <v>26</v>
      </c>
      <c r="Q111" s="38">
        <f t="shared" si="68"/>
        <v>4</v>
      </c>
      <c r="R111" s="41">
        <f t="shared" si="69"/>
        <v>172875.48200000002</v>
      </c>
      <c r="S111" s="41">
        <f t="shared" si="70"/>
        <v>244059.50399999999</v>
      </c>
      <c r="T111" s="42">
        <f t="shared" si="71"/>
        <v>2694823.69</v>
      </c>
    </row>
    <row r="112" spans="1:20" ht="25.5" hidden="1">
      <c r="A112" s="26" t="s">
        <v>91</v>
      </c>
      <c r="B112" s="46">
        <v>16159963</v>
      </c>
      <c r="C112" s="47" t="s">
        <v>40</v>
      </c>
      <c r="D112" s="46">
        <v>1311966071</v>
      </c>
      <c r="E112" s="47" t="s">
        <v>228</v>
      </c>
      <c r="F112" s="48" t="str">
        <f t="shared" ca="1" si="65"/>
        <v>NO VIGENTE</v>
      </c>
      <c r="G112" s="49">
        <v>43252</v>
      </c>
      <c r="H112" s="49">
        <v>0</v>
      </c>
      <c r="I112" s="50">
        <v>0</v>
      </c>
      <c r="J112" s="50">
        <f t="shared" si="66"/>
        <v>0</v>
      </c>
      <c r="K112" s="50">
        <f t="shared" si="67"/>
        <v>0</v>
      </c>
      <c r="L112" s="50">
        <v>0</v>
      </c>
      <c r="M112" s="51">
        <v>0</v>
      </c>
      <c r="N112" s="47"/>
      <c r="O112" s="47"/>
      <c r="P112" s="52">
        <v>30</v>
      </c>
      <c r="Q112" s="47">
        <f t="shared" si="68"/>
        <v>0</v>
      </c>
      <c r="R112" s="50">
        <f t="shared" si="69"/>
        <v>0</v>
      </c>
      <c r="S112" s="50">
        <f t="shared" si="70"/>
        <v>0</v>
      </c>
      <c r="T112" s="51">
        <f t="shared" si="71"/>
        <v>0</v>
      </c>
    </row>
    <row r="113" spans="1:20" ht="25.5" hidden="1">
      <c r="A113" s="26" t="s">
        <v>91</v>
      </c>
      <c r="B113" s="46">
        <v>16159963</v>
      </c>
      <c r="C113" s="47" t="s">
        <v>165</v>
      </c>
      <c r="D113" s="46">
        <v>1317424267</v>
      </c>
      <c r="E113" s="47" t="s">
        <v>230</v>
      </c>
      <c r="F113" s="48" t="str">
        <f t="shared" ca="1" si="65"/>
        <v>NO VIGENTE</v>
      </c>
      <c r="G113" s="49">
        <v>43453</v>
      </c>
      <c r="H113" s="49">
        <v>0</v>
      </c>
      <c r="I113" s="50">
        <v>0</v>
      </c>
      <c r="J113" s="50">
        <f t="shared" si="66"/>
        <v>0</v>
      </c>
      <c r="K113" s="50">
        <f t="shared" si="67"/>
        <v>0</v>
      </c>
      <c r="L113" s="50">
        <v>0</v>
      </c>
      <c r="M113" s="51">
        <v>0</v>
      </c>
      <c r="N113" s="47"/>
      <c r="O113" s="47"/>
      <c r="P113" s="52">
        <v>15</v>
      </c>
      <c r="Q113" s="47">
        <f t="shared" si="68"/>
        <v>15</v>
      </c>
      <c r="R113" s="50">
        <f t="shared" si="69"/>
        <v>0</v>
      </c>
      <c r="S113" s="50">
        <f t="shared" si="70"/>
        <v>0</v>
      </c>
      <c r="T113" s="51">
        <f t="shared" si="71"/>
        <v>0</v>
      </c>
    </row>
    <row r="114" spans="1:20" ht="25.5" hidden="1">
      <c r="A114" s="26" t="s">
        <v>91</v>
      </c>
      <c r="B114" s="46">
        <v>16159963</v>
      </c>
      <c r="C114" s="47" t="s">
        <v>166</v>
      </c>
      <c r="D114" s="46">
        <v>1315211554</v>
      </c>
      <c r="E114" s="47" t="s">
        <v>229</v>
      </c>
      <c r="F114" s="48" t="str">
        <f t="shared" ca="1" si="65"/>
        <v>NO VIGENTE</v>
      </c>
      <c r="G114" s="49">
        <v>43147</v>
      </c>
      <c r="H114" s="49">
        <v>0</v>
      </c>
      <c r="I114" s="50">
        <v>0</v>
      </c>
      <c r="J114" s="50">
        <f t="shared" si="66"/>
        <v>0</v>
      </c>
      <c r="K114" s="50">
        <f t="shared" si="67"/>
        <v>0</v>
      </c>
      <c r="L114" s="50">
        <v>0</v>
      </c>
      <c r="M114" s="51">
        <v>0</v>
      </c>
      <c r="N114" s="47"/>
      <c r="O114" s="47"/>
      <c r="P114" s="52">
        <v>25</v>
      </c>
      <c r="Q114" s="47">
        <f t="shared" si="68"/>
        <v>5</v>
      </c>
      <c r="R114" s="50">
        <f t="shared" si="69"/>
        <v>0</v>
      </c>
      <c r="S114" s="50">
        <f t="shared" si="70"/>
        <v>0</v>
      </c>
      <c r="T114" s="51">
        <f t="shared" si="71"/>
        <v>0</v>
      </c>
    </row>
    <row r="115" spans="1:20" ht="25.5" hidden="1">
      <c r="A115" s="26" t="s">
        <v>91</v>
      </c>
      <c r="B115" s="46">
        <v>16159962</v>
      </c>
      <c r="C115" s="47" t="s">
        <v>168</v>
      </c>
      <c r="D115" s="46">
        <v>1241318672</v>
      </c>
      <c r="E115" s="47" t="s">
        <v>232</v>
      </c>
      <c r="F115" s="48" t="str">
        <f t="shared" ca="1" si="65"/>
        <v>NO VIGENTE</v>
      </c>
      <c r="G115" s="49">
        <v>43169</v>
      </c>
      <c r="H115" s="49">
        <v>0</v>
      </c>
      <c r="I115" s="50">
        <v>0</v>
      </c>
      <c r="J115" s="50">
        <f t="shared" si="66"/>
        <v>0</v>
      </c>
      <c r="K115" s="50">
        <f t="shared" si="67"/>
        <v>0</v>
      </c>
      <c r="L115" s="50">
        <v>0</v>
      </c>
      <c r="M115" s="51">
        <v>0</v>
      </c>
      <c r="N115" s="47"/>
      <c r="O115" s="47"/>
      <c r="P115" s="52">
        <v>27</v>
      </c>
      <c r="Q115" s="47">
        <f t="shared" si="68"/>
        <v>3</v>
      </c>
      <c r="R115" s="50">
        <f t="shared" si="69"/>
        <v>0</v>
      </c>
      <c r="S115" s="50">
        <f t="shared" si="70"/>
        <v>0</v>
      </c>
      <c r="T115" s="51">
        <f t="shared" si="71"/>
        <v>0</v>
      </c>
    </row>
    <row r="116" spans="1:20" ht="25.5" hidden="1">
      <c r="A116" s="26" t="s">
        <v>91</v>
      </c>
      <c r="B116" s="46">
        <v>16159962</v>
      </c>
      <c r="C116" s="47" t="s">
        <v>169</v>
      </c>
      <c r="D116" s="46">
        <v>1324063080</v>
      </c>
      <c r="E116" s="47" t="s">
        <v>233</v>
      </c>
      <c r="F116" s="48" t="str">
        <f t="shared" ca="1" si="65"/>
        <v>NO VIGENTE</v>
      </c>
      <c r="G116" s="49">
        <v>43202</v>
      </c>
      <c r="H116" s="49">
        <v>0</v>
      </c>
      <c r="I116" s="50">
        <v>0</v>
      </c>
      <c r="J116" s="50">
        <f t="shared" si="66"/>
        <v>0</v>
      </c>
      <c r="K116" s="50">
        <f t="shared" si="67"/>
        <v>0</v>
      </c>
      <c r="L116" s="50">
        <v>0</v>
      </c>
      <c r="M116" s="51">
        <v>0</v>
      </c>
      <c r="N116" s="47"/>
      <c r="O116" s="47"/>
      <c r="P116" s="52">
        <v>18</v>
      </c>
      <c r="Q116" s="47">
        <f t="shared" si="68"/>
        <v>12</v>
      </c>
      <c r="R116" s="50">
        <f t="shared" si="69"/>
        <v>0</v>
      </c>
      <c r="S116" s="50">
        <f t="shared" si="70"/>
        <v>0</v>
      </c>
      <c r="T116" s="51">
        <f t="shared" si="71"/>
        <v>0</v>
      </c>
    </row>
    <row r="117" spans="1:20" ht="25.5" hidden="1">
      <c r="A117" s="26" t="s">
        <v>91</v>
      </c>
      <c r="B117" s="46">
        <v>16159961</v>
      </c>
      <c r="C117" s="47" t="s">
        <v>175</v>
      </c>
      <c r="D117" s="46">
        <v>1259425899</v>
      </c>
      <c r="E117" s="47" t="s">
        <v>234</v>
      </c>
      <c r="F117" s="48" t="str">
        <f t="shared" ca="1" si="65"/>
        <v>NO VIGENTE</v>
      </c>
      <c r="G117" s="49">
        <v>43302</v>
      </c>
      <c r="H117" s="49">
        <v>0</v>
      </c>
      <c r="I117" s="50">
        <v>0</v>
      </c>
      <c r="J117" s="50">
        <f t="shared" si="66"/>
        <v>0</v>
      </c>
      <c r="K117" s="50">
        <f t="shared" si="67"/>
        <v>0</v>
      </c>
      <c r="L117" s="50">
        <v>0</v>
      </c>
      <c r="M117" s="51">
        <v>0</v>
      </c>
      <c r="N117" s="47"/>
      <c r="O117" s="47"/>
      <c r="P117" s="52">
        <v>29</v>
      </c>
      <c r="Q117" s="47">
        <f t="shared" si="68"/>
        <v>1</v>
      </c>
      <c r="R117" s="50">
        <f t="shared" si="69"/>
        <v>0</v>
      </c>
      <c r="S117" s="50">
        <f t="shared" si="70"/>
        <v>0</v>
      </c>
      <c r="T117" s="51">
        <f t="shared" si="71"/>
        <v>0</v>
      </c>
    </row>
    <row r="118" spans="1:20" ht="17.25" hidden="1" thickBot="1"/>
    <row r="119" spans="1:20" ht="49.5" hidden="1">
      <c r="A119" s="36"/>
      <c r="B119" s="53" t="s">
        <v>159</v>
      </c>
      <c r="C119" s="54" t="s">
        <v>30</v>
      </c>
      <c r="D119" s="54" t="s">
        <v>160</v>
      </c>
      <c r="E119" s="54" t="s">
        <v>226</v>
      </c>
      <c r="F119" s="54" t="s">
        <v>163</v>
      </c>
      <c r="G119" s="54" t="s">
        <v>173</v>
      </c>
      <c r="H119" s="54" t="s">
        <v>174</v>
      </c>
      <c r="I119" s="54" t="s">
        <v>34</v>
      </c>
      <c r="J119" s="54" t="s">
        <v>161</v>
      </c>
      <c r="K119" s="54" t="s">
        <v>162</v>
      </c>
      <c r="L119" s="54" t="s">
        <v>176</v>
      </c>
      <c r="M119" s="55" t="s">
        <v>216</v>
      </c>
      <c r="N119" s="55" t="s">
        <v>236</v>
      </c>
      <c r="O119" s="54" t="s">
        <v>235</v>
      </c>
      <c r="P119" s="55" t="s">
        <v>217</v>
      </c>
      <c r="Q119" s="55" t="s">
        <v>225</v>
      </c>
      <c r="R119" s="54" t="s">
        <v>162</v>
      </c>
      <c r="S119" s="54" t="s">
        <v>176</v>
      </c>
      <c r="T119" s="56" t="s">
        <v>54</v>
      </c>
    </row>
    <row r="120" spans="1:20" ht="25.5" hidden="1">
      <c r="A120" s="26" t="s">
        <v>156</v>
      </c>
      <c r="B120" s="37">
        <v>16159963</v>
      </c>
      <c r="C120" s="38" t="s">
        <v>164</v>
      </c>
      <c r="D120" s="37">
        <v>1321648522</v>
      </c>
      <c r="E120" s="38" t="s">
        <v>229</v>
      </c>
      <c r="F120" s="39" t="str">
        <f t="shared" ref="F120:F130" ca="1" si="72">IF(AND(H120&gt;TODAY(),G120&lt;TODAY()),"VIGENTE","NO VIGENTE")</f>
        <v>NO VIGENTE</v>
      </c>
      <c r="G120" s="40">
        <v>43393</v>
      </c>
      <c r="H120" s="40">
        <v>43549</v>
      </c>
      <c r="I120" s="41">
        <v>2346726</v>
      </c>
      <c r="J120" s="41">
        <f t="shared" ref="J120:J130" si="73">I120*0.08</f>
        <v>187738.08000000002</v>
      </c>
      <c r="K120" s="41">
        <f t="shared" ref="K120:K130" si="74">I120*0.04</f>
        <v>93869.040000000008</v>
      </c>
      <c r="L120" s="41">
        <f>I120*0.12</f>
        <v>281607.12</v>
      </c>
      <c r="M120" s="42" t="s">
        <v>218</v>
      </c>
      <c r="N120" s="38"/>
      <c r="O120" s="38"/>
      <c r="P120" s="45">
        <v>30</v>
      </c>
      <c r="Q120" s="38">
        <f t="shared" ref="Q120:Q130" si="75">30-P120</f>
        <v>0</v>
      </c>
      <c r="R120" s="41">
        <f t="shared" ref="R120:R130" si="76">I120*0.085</f>
        <v>199471.71000000002</v>
      </c>
      <c r="S120" s="41">
        <f t="shared" ref="S120:S130" si="77">I120*0.12</f>
        <v>281607.12</v>
      </c>
      <c r="T120" s="42">
        <f t="shared" ref="T120:T130" si="78">SUM(I120:M120,R120,O120,N120,S120)</f>
        <v>3391019.0700000003</v>
      </c>
    </row>
    <row r="121" spans="1:20" ht="25.5" hidden="1">
      <c r="A121" s="26" t="s">
        <v>156</v>
      </c>
      <c r="B121" s="37">
        <v>16159962</v>
      </c>
      <c r="C121" s="38" t="s">
        <v>170</v>
      </c>
      <c r="D121" s="37">
        <v>1323384207</v>
      </c>
      <c r="E121" s="38" t="s">
        <v>232</v>
      </c>
      <c r="F121" s="39" t="str">
        <f t="shared" ca="1" si="72"/>
        <v>NO VIGENTE</v>
      </c>
      <c r="G121" s="40">
        <v>43441</v>
      </c>
      <c r="H121" s="40">
        <v>43552</v>
      </c>
      <c r="I121" s="41">
        <v>782242</v>
      </c>
      <c r="J121" s="41">
        <f t="shared" si="73"/>
        <v>62579.360000000001</v>
      </c>
      <c r="K121" s="41">
        <f t="shared" si="74"/>
        <v>31289.68</v>
      </c>
      <c r="L121" s="41">
        <f>I121*0.1</f>
        <v>78224.2</v>
      </c>
      <c r="M121" s="42">
        <v>44105.549999999996</v>
      </c>
      <c r="N121" s="38"/>
      <c r="O121" s="38"/>
      <c r="P121" s="45">
        <v>15</v>
      </c>
      <c r="Q121" s="38">
        <f t="shared" si="75"/>
        <v>15</v>
      </c>
      <c r="R121" s="41">
        <f t="shared" si="76"/>
        <v>66490.570000000007</v>
      </c>
      <c r="S121" s="41">
        <f t="shared" si="77"/>
        <v>93869.04</v>
      </c>
      <c r="T121" s="42">
        <f t="shared" si="78"/>
        <v>1158800.4000000001</v>
      </c>
    </row>
    <row r="122" spans="1:20" ht="25.5" hidden="1">
      <c r="A122" s="26" t="s">
        <v>156</v>
      </c>
      <c r="B122" s="37">
        <v>16159962</v>
      </c>
      <c r="C122" s="38" t="s">
        <v>171</v>
      </c>
      <c r="D122" s="37">
        <v>1237462775</v>
      </c>
      <c r="E122" s="38" t="s">
        <v>228</v>
      </c>
      <c r="F122" s="39" t="str">
        <f t="shared" ca="1" si="72"/>
        <v>NO VIGENTE</v>
      </c>
      <c r="G122" s="40">
        <v>43274</v>
      </c>
      <c r="H122" s="40">
        <v>43462</v>
      </c>
      <c r="I122" s="41">
        <v>1512334.5333333334</v>
      </c>
      <c r="J122" s="41">
        <f t="shared" si="73"/>
        <v>120986.76266666668</v>
      </c>
      <c r="K122" s="41">
        <f t="shared" si="74"/>
        <v>60493.381333333338</v>
      </c>
      <c r="L122" s="41">
        <f>I122*0.1</f>
        <v>151233.45333333334</v>
      </c>
      <c r="M122" s="42">
        <v>85270.73</v>
      </c>
      <c r="N122" s="38"/>
      <c r="O122" s="38"/>
      <c r="P122" s="45">
        <v>29</v>
      </c>
      <c r="Q122" s="38">
        <f t="shared" si="75"/>
        <v>1</v>
      </c>
      <c r="R122" s="41">
        <f t="shared" si="76"/>
        <v>128548.43533333336</v>
      </c>
      <c r="S122" s="41">
        <f t="shared" si="77"/>
        <v>181480.144</v>
      </c>
      <c r="T122" s="42">
        <f t="shared" si="78"/>
        <v>2240347.4400000004</v>
      </c>
    </row>
    <row r="123" spans="1:20" ht="25.5" hidden="1">
      <c r="A123" s="26" t="s">
        <v>156</v>
      </c>
      <c r="B123" s="37">
        <v>16159961</v>
      </c>
      <c r="C123" s="38" t="s">
        <v>172</v>
      </c>
      <c r="D123" s="37">
        <v>1285748000</v>
      </c>
      <c r="E123" s="38" t="s">
        <v>234</v>
      </c>
      <c r="F123" s="39" t="str">
        <f t="shared" ca="1" si="72"/>
        <v>NO VIGENTE</v>
      </c>
      <c r="G123" s="40">
        <v>43283</v>
      </c>
      <c r="H123" s="40">
        <v>43540</v>
      </c>
      <c r="I123" s="41">
        <v>704017.8</v>
      </c>
      <c r="J123" s="41">
        <f t="shared" si="73"/>
        <v>56321.424000000006</v>
      </c>
      <c r="K123" s="41">
        <f t="shared" si="74"/>
        <v>28160.712000000003</v>
      </c>
      <c r="L123" s="41">
        <f>I123*0.1</f>
        <v>70401.780000000013</v>
      </c>
      <c r="M123" s="42">
        <v>79389.989999999991</v>
      </c>
      <c r="N123" s="38"/>
      <c r="O123" s="38"/>
      <c r="P123" s="45">
        <v>27</v>
      </c>
      <c r="Q123" s="38">
        <f t="shared" si="75"/>
        <v>3</v>
      </c>
      <c r="R123" s="41">
        <f t="shared" si="76"/>
        <v>59841.513000000006</v>
      </c>
      <c r="S123" s="41">
        <f t="shared" si="77"/>
        <v>84482.135999999999</v>
      </c>
      <c r="T123" s="42">
        <f t="shared" si="78"/>
        <v>1082615.3550000002</v>
      </c>
    </row>
    <row r="124" spans="1:20" ht="25.5" hidden="1">
      <c r="A124" s="26" t="s">
        <v>156</v>
      </c>
      <c r="B124" s="37">
        <v>16159963</v>
      </c>
      <c r="C124" s="38" t="s">
        <v>167</v>
      </c>
      <c r="D124" s="37">
        <v>1247550875</v>
      </c>
      <c r="E124" s="38" t="s">
        <v>231</v>
      </c>
      <c r="F124" s="39" t="str">
        <f t="shared" ca="1" si="72"/>
        <v>VIGENTE</v>
      </c>
      <c r="G124" s="40">
        <v>43136</v>
      </c>
      <c r="H124" s="40" t="s">
        <v>237</v>
      </c>
      <c r="I124" s="41">
        <v>2033829.2</v>
      </c>
      <c r="J124" s="41">
        <f t="shared" si="73"/>
        <v>162706.33600000001</v>
      </c>
      <c r="K124" s="41">
        <f t="shared" si="74"/>
        <v>81353.168000000005</v>
      </c>
      <c r="L124" s="41">
        <v>0</v>
      </c>
      <c r="M124" s="42" t="s">
        <v>218</v>
      </c>
      <c r="N124" s="38"/>
      <c r="O124" s="38"/>
      <c r="P124" s="45">
        <v>26</v>
      </c>
      <c r="Q124" s="38">
        <f t="shared" si="75"/>
        <v>4</v>
      </c>
      <c r="R124" s="41">
        <f t="shared" si="76"/>
        <v>172875.48200000002</v>
      </c>
      <c r="S124" s="41">
        <f t="shared" si="77"/>
        <v>244059.50399999999</v>
      </c>
      <c r="T124" s="42">
        <f t="shared" si="78"/>
        <v>2694823.69</v>
      </c>
    </row>
    <row r="125" spans="1:20" ht="25.5" hidden="1">
      <c r="A125" s="26" t="s">
        <v>156</v>
      </c>
      <c r="B125" s="46">
        <v>16159963</v>
      </c>
      <c r="C125" s="47" t="s">
        <v>40</v>
      </c>
      <c r="D125" s="46">
        <v>1311966071</v>
      </c>
      <c r="E125" s="47" t="s">
        <v>228</v>
      </c>
      <c r="F125" s="48" t="str">
        <f t="shared" ca="1" si="72"/>
        <v>NO VIGENTE</v>
      </c>
      <c r="G125" s="49">
        <v>43252</v>
      </c>
      <c r="H125" s="49">
        <v>0</v>
      </c>
      <c r="I125" s="50">
        <v>0</v>
      </c>
      <c r="J125" s="50">
        <f t="shared" si="73"/>
        <v>0</v>
      </c>
      <c r="K125" s="50">
        <f t="shared" si="74"/>
        <v>0</v>
      </c>
      <c r="L125" s="50">
        <v>0</v>
      </c>
      <c r="M125" s="51">
        <v>0</v>
      </c>
      <c r="N125" s="47"/>
      <c r="O125" s="47"/>
      <c r="P125" s="52">
        <v>30</v>
      </c>
      <c r="Q125" s="47">
        <f t="shared" si="75"/>
        <v>0</v>
      </c>
      <c r="R125" s="50">
        <f t="shared" si="76"/>
        <v>0</v>
      </c>
      <c r="S125" s="50">
        <f t="shared" si="77"/>
        <v>0</v>
      </c>
      <c r="T125" s="51">
        <f t="shared" si="78"/>
        <v>0</v>
      </c>
    </row>
    <row r="126" spans="1:20" ht="25.5" hidden="1">
      <c r="A126" s="26" t="s">
        <v>156</v>
      </c>
      <c r="B126" s="46">
        <v>16159963</v>
      </c>
      <c r="C126" s="47" t="s">
        <v>165</v>
      </c>
      <c r="D126" s="46">
        <v>1317424267</v>
      </c>
      <c r="E126" s="47" t="s">
        <v>230</v>
      </c>
      <c r="F126" s="48" t="str">
        <f t="shared" ca="1" si="72"/>
        <v>NO VIGENTE</v>
      </c>
      <c r="G126" s="49">
        <v>43453</v>
      </c>
      <c r="H126" s="49">
        <v>0</v>
      </c>
      <c r="I126" s="50">
        <v>0</v>
      </c>
      <c r="J126" s="50">
        <f t="shared" si="73"/>
        <v>0</v>
      </c>
      <c r="K126" s="50">
        <f t="shared" si="74"/>
        <v>0</v>
      </c>
      <c r="L126" s="50">
        <v>0</v>
      </c>
      <c r="M126" s="51">
        <v>0</v>
      </c>
      <c r="N126" s="47"/>
      <c r="O126" s="47"/>
      <c r="P126" s="52">
        <v>15</v>
      </c>
      <c r="Q126" s="47">
        <f t="shared" si="75"/>
        <v>15</v>
      </c>
      <c r="R126" s="50">
        <f t="shared" si="76"/>
        <v>0</v>
      </c>
      <c r="S126" s="50">
        <f t="shared" si="77"/>
        <v>0</v>
      </c>
      <c r="T126" s="51">
        <f t="shared" si="78"/>
        <v>0</v>
      </c>
    </row>
    <row r="127" spans="1:20" ht="25.5" hidden="1">
      <c r="A127" s="26" t="s">
        <v>156</v>
      </c>
      <c r="B127" s="46">
        <v>16159963</v>
      </c>
      <c r="C127" s="47" t="s">
        <v>166</v>
      </c>
      <c r="D127" s="46">
        <v>1315211554</v>
      </c>
      <c r="E127" s="47" t="s">
        <v>229</v>
      </c>
      <c r="F127" s="48" t="str">
        <f t="shared" ca="1" si="72"/>
        <v>NO VIGENTE</v>
      </c>
      <c r="G127" s="49">
        <v>43147</v>
      </c>
      <c r="H127" s="49">
        <v>0</v>
      </c>
      <c r="I127" s="50">
        <v>0</v>
      </c>
      <c r="J127" s="50">
        <f t="shared" si="73"/>
        <v>0</v>
      </c>
      <c r="K127" s="50">
        <f t="shared" si="74"/>
        <v>0</v>
      </c>
      <c r="L127" s="50">
        <v>0</v>
      </c>
      <c r="M127" s="51">
        <v>0</v>
      </c>
      <c r="N127" s="47"/>
      <c r="O127" s="47"/>
      <c r="P127" s="52">
        <v>25</v>
      </c>
      <c r="Q127" s="47">
        <f t="shared" si="75"/>
        <v>5</v>
      </c>
      <c r="R127" s="50">
        <f t="shared" si="76"/>
        <v>0</v>
      </c>
      <c r="S127" s="50">
        <f t="shared" si="77"/>
        <v>0</v>
      </c>
      <c r="T127" s="51">
        <f t="shared" si="78"/>
        <v>0</v>
      </c>
    </row>
    <row r="128" spans="1:20" ht="25.5" hidden="1">
      <c r="A128" s="26" t="s">
        <v>156</v>
      </c>
      <c r="B128" s="46">
        <v>16159962</v>
      </c>
      <c r="C128" s="47" t="s">
        <v>168</v>
      </c>
      <c r="D128" s="46">
        <v>1241318672</v>
      </c>
      <c r="E128" s="47" t="s">
        <v>232</v>
      </c>
      <c r="F128" s="48" t="str">
        <f t="shared" ca="1" si="72"/>
        <v>NO VIGENTE</v>
      </c>
      <c r="G128" s="49">
        <v>43169</v>
      </c>
      <c r="H128" s="49">
        <v>0</v>
      </c>
      <c r="I128" s="50">
        <v>0</v>
      </c>
      <c r="J128" s="50">
        <f t="shared" si="73"/>
        <v>0</v>
      </c>
      <c r="K128" s="50">
        <f t="shared" si="74"/>
        <v>0</v>
      </c>
      <c r="L128" s="50">
        <v>0</v>
      </c>
      <c r="M128" s="51">
        <v>0</v>
      </c>
      <c r="N128" s="47"/>
      <c r="O128" s="47"/>
      <c r="P128" s="52">
        <v>27</v>
      </c>
      <c r="Q128" s="47">
        <f t="shared" si="75"/>
        <v>3</v>
      </c>
      <c r="R128" s="50">
        <f t="shared" si="76"/>
        <v>0</v>
      </c>
      <c r="S128" s="50">
        <f t="shared" si="77"/>
        <v>0</v>
      </c>
      <c r="T128" s="51">
        <f t="shared" si="78"/>
        <v>0</v>
      </c>
    </row>
    <row r="129" spans="1:20" ht="25.5" hidden="1">
      <c r="A129" s="26" t="s">
        <v>156</v>
      </c>
      <c r="B129" s="46">
        <v>16159962</v>
      </c>
      <c r="C129" s="47" t="s">
        <v>169</v>
      </c>
      <c r="D129" s="46">
        <v>1324063080</v>
      </c>
      <c r="E129" s="47" t="s">
        <v>233</v>
      </c>
      <c r="F129" s="48" t="str">
        <f t="shared" ca="1" si="72"/>
        <v>NO VIGENTE</v>
      </c>
      <c r="G129" s="49">
        <v>43202</v>
      </c>
      <c r="H129" s="49">
        <v>0</v>
      </c>
      <c r="I129" s="50">
        <v>0</v>
      </c>
      <c r="J129" s="50">
        <f t="shared" si="73"/>
        <v>0</v>
      </c>
      <c r="K129" s="50">
        <f t="shared" si="74"/>
        <v>0</v>
      </c>
      <c r="L129" s="50">
        <v>0</v>
      </c>
      <c r="M129" s="51">
        <v>0</v>
      </c>
      <c r="N129" s="47"/>
      <c r="O129" s="47"/>
      <c r="P129" s="52">
        <v>18</v>
      </c>
      <c r="Q129" s="47">
        <f t="shared" si="75"/>
        <v>12</v>
      </c>
      <c r="R129" s="50">
        <f t="shared" si="76"/>
        <v>0</v>
      </c>
      <c r="S129" s="50">
        <f t="shared" si="77"/>
        <v>0</v>
      </c>
      <c r="T129" s="51">
        <f t="shared" si="78"/>
        <v>0</v>
      </c>
    </row>
    <row r="130" spans="1:20" ht="25.5" hidden="1">
      <c r="A130" s="26" t="s">
        <v>156</v>
      </c>
      <c r="B130" s="46">
        <v>16159961</v>
      </c>
      <c r="C130" s="47" t="s">
        <v>175</v>
      </c>
      <c r="D130" s="46">
        <v>1259425899</v>
      </c>
      <c r="E130" s="47" t="s">
        <v>234</v>
      </c>
      <c r="F130" s="48" t="str">
        <f t="shared" ca="1" si="72"/>
        <v>NO VIGENTE</v>
      </c>
      <c r="G130" s="49">
        <v>43302</v>
      </c>
      <c r="H130" s="49">
        <v>0</v>
      </c>
      <c r="I130" s="50">
        <v>0</v>
      </c>
      <c r="J130" s="50">
        <f t="shared" si="73"/>
        <v>0</v>
      </c>
      <c r="K130" s="50">
        <f t="shared" si="74"/>
        <v>0</v>
      </c>
      <c r="L130" s="50">
        <v>0</v>
      </c>
      <c r="M130" s="51">
        <v>0</v>
      </c>
      <c r="N130" s="47"/>
      <c r="O130" s="47"/>
      <c r="P130" s="52">
        <v>29</v>
      </c>
      <c r="Q130" s="47">
        <f t="shared" si="75"/>
        <v>1</v>
      </c>
      <c r="R130" s="50">
        <f t="shared" si="76"/>
        <v>0</v>
      </c>
      <c r="S130" s="50">
        <f t="shared" si="77"/>
        <v>0</v>
      </c>
      <c r="T130" s="51">
        <f t="shared" si="78"/>
        <v>0</v>
      </c>
    </row>
    <row r="131" spans="1:20" ht="17.25" hidden="1" thickBot="1"/>
    <row r="132" spans="1:20" ht="49.5" hidden="1">
      <c r="A132" s="36"/>
      <c r="B132" s="53" t="s">
        <v>159</v>
      </c>
      <c r="C132" s="54" t="s">
        <v>30</v>
      </c>
      <c r="D132" s="54" t="s">
        <v>160</v>
      </c>
      <c r="E132" s="54" t="s">
        <v>226</v>
      </c>
      <c r="F132" s="54" t="s">
        <v>163</v>
      </c>
      <c r="G132" s="54" t="s">
        <v>173</v>
      </c>
      <c r="H132" s="54" t="s">
        <v>174</v>
      </c>
      <c r="I132" s="54" t="s">
        <v>34</v>
      </c>
      <c r="J132" s="54" t="s">
        <v>161</v>
      </c>
      <c r="K132" s="54" t="s">
        <v>162</v>
      </c>
      <c r="L132" s="54" t="s">
        <v>176</v>
      </c>
      <c r="M132" s="55" t="s">
        <v>216</v>
      </c>
      <c r="N132" s="55" t="s">
        <v>236</v>
      </c>
      <c r="O132" s="54" t="s">
        <v>235</v>
      </c>
      <c r="P132" s="55" t="s">
        <v>217</v>
      </c>
      <c r="Q132" s="55" t="s">
        <v>225</v>
      </c>
      <c r="R132" s="54" t="s">
        <v>162</v>
      </c>
      <c r="S132" s="54" t="s">
        <v>176</v>
      </c>
      <c r="T132" s="56" t="s">
        <v>54</v>
      </c>
    </row>
    <row r="133" spans="1:20" ht="33.75" hidden="1" customHeight="1">
      <c r="A133" s="26" t="s">
        <v>92</v>
      </c>
      <c r="B133" s="37">
        <v>16159963</v>
      </c>
      <c r="C133" s="38" t="s">
        <v>164</v>
      </c>
      <c r="D133" s="37">
        <v>1321648522</v>
      </c>
      <c r="E133" s="38" t="s">
        <v>229</v>
      </c>
      <c r="F133" s="39" t="str">
        <f t="shared" ref="F133:F143" ca="1" si="79">IF(AND(H133&gt;TODAY(),G133&lt;TODAY()),"VIGENTE","NO VIGENTE")</f>
        <v>NO VIGENTE</v>
      </c>
      <c r="G133" s="40">
        <v>43393</v>
      </c>
      <c r="H133" s="40">
        <v>43549</v>
      </c>
      <c r="I133" s="41">
        <v>2346726</v>
      </c>
      <c r="J133" s="41">
        <f t="shared" ref="J133:J143" si="80">I133*0.08</f>
        <v>187738.08000000002</v>
      </c>
      <c r="K133" s="41">
        <f t="shared" ref="K133:K143" si="81">I133*0.04</f>
        <v>93869.040000000008</v>
      </c>
      <c r="L133" s="41">
        <f>I133*0.12</f>
        <v>281607.12</v>
      </c>
      <c r="M133" s="42" t="s">
        <v>218</v>
      </c>
      <c r="N133" s="38"/>
      <c r="O133" s="38"/>
      <c r="P133" s="45">
        <v>30</v>
      </c>
      <c r="Q133" s="38">
        <f t="shared" ref="Q133:Q143" si="82">30-P133</f>
        <v>0</v>
      </c>
      <c r="R133" s="41">
        <f t="shared" ref="R133:R143" si="83">I133*0.085</f>
        <v>199471.71000000002</v>
      </c>
      <c r="S133" s="41">
        <f t="shared" ref="S133:S143" si="84">I133*0.12</f>
        <v>281607.12</v>
      </c>
      <c r="T133" s="42">
        <f t="shared" ref="T133:T143" si="85">SUM(I133:M133,R133,O133,N133,S133)</f>
        <v>3391019.0700000003</v>
      </c>
    </row>
    <row r="134" spans="1:20" ht="25.5" hidden="1">
      <c r="A134" s="26" t="s">
        <v>92</v>
      </c>
      <c r="B134" s="37">
        <v>16159962</v>
      </c>
      <c r="C134" s="38" t="s">
        <v>170</v>
      </c>
      <c r="D134" s="37">
        <v>1323384207</v>
      </c>
      <c r="E134" s="38" t="s">
        <v>232</v>
      </c>
      <c r="F134" s="39" t="str">
        <f t="shared" ca="1" si="79"/>
        <v>NO VIGENTE</v>
      </c>
      <c r="G134" s="40">
        <v>43441</v>
      </c>
      <c r="H134" s="40">
        <v>43552</v>
      </c>
      <c r="I134" s="41">
        <v>782242</v>
      </c>
      <c r="J134" s="41">
        <f t="shared" si="80"/>
        <v>62579.360000000001</v>
      </c>
      <c r="K134" s="41">
        <f t="shared" si="81"/>
        <v>31289.68</v>
      </c>
      <c r="L134" s="41">
        <f>I134*0.1</f>
        <v>78224.2</v>
      </c>
      <c r="M134" s="42">
        <v>44105.549999999996</v>
      </c>
      <c r="N134" s="38"/>
      <c r="O134" s="38"/>
      <c r="P134" s="45">
        <v>15</v>
      </c>
      <c r="Q134" s="38">
        <f t="shared" si="82"/>
        <v>15</v>
      </c>
      <c r="R134" s="41">
        <f t="shared" si="83"/>
        <v>66490.570000000007</v>
      </c>
      <c r="S134" s="41">
        <f t="shared" si="84"/>
        <v>93869.04</v>
      </c>
      <c r="T134" s="42">
        <f t="shared" si="85"/>
        <v>1158800.4000000001</v>
      </c>
    </row>
    <row r="135" spans="1:20" ht="25.5" hidden="1">
      <c r="A135" s="26" t="s">
        <v>92</v>
      </c>
      <c r="B135" s="37">
        <v>16159962</v>
      </c>
      <c r="C135" s="38" t="s">
        <v>171</v>
      </c>
      <c r="D135" s="37">
        <v>1237462775</v>
      </c>
      <c r="E135" s="38" t="s">
        <v>228</v>
      </c>
      <c r="F135" s="39" t="str">
        <f t="shared" ca="1" si="79"/>
        <v>NO VIGENTE</v>
      </c>
      <c r="G135" s="40">
        <v>43274</v>
      </c>
      <c r="H135" s="40">
        <v>43462</v>
      </c>
      <c r="I135" s="41">
        <v>1512334.5333333334</v>
      </c>
      <c r="J135" s="41">
        <f t="shared" si="80"/>
        <v>120986.76266666668</v>
      </c>
      <c r="K135" s="41">
        <f t="shared" si="81"/>
        <v>60493.381333333338</v>
      </c>
      <c r="L135" s="41">
        <f>I135*0.1</f>
        <v>151233.45333333334</v>
      </c>
      <c r="M135" s="42">
        <v>85270.73</v>
      </c>
      <c r="N135" s="38"/>
      <c r="O135" s="38"/>
      <c r="P135" s="45">
        <v>29</v>
      </c>
      <c r="Q135" s="38">
        <f t="shared" si="82"/>
        <v>1</v>
      </c>
      <c r="R135" s="41">
        <f t="shared" si="83"/>
        <v>128548.43533333336</v>
      </c>
      <c r="S135" s="41">
        <f t="shared" si="84"/>
        <v>181480.144</v>
      </c>
      <c r="T135" s="42">
        <f t="shared" si="85"/>
        <v>2240347.4400000004</v>
      </c>
    </row>
    <row r="136" spans="1:20" ht="25.5" hidden="1">
      <c r="A136" s="26" t="s">
        <v>92</v>
      </c>
      <c r="B136" s="37">
        <v>16159961</v>
      </c>
      <c r="C136" s="38" t="s">
        <v>172</v>
      </c>
      <c r="D136" s="37">
        <v>1285748000</v>
      </c>
      <c r="E136" s="38" t="s">
        <v>234</v>
      </c>
      <c r="F136" s="39" t="str">
        <f t="shared" ca="1" si="79"/>
        <v>NO VIGENTE</v>
      </c>
      <c r="G136" s="40">
        <v>43283</v>
      </c>
      <c r="H136" s="40">
        <v>43540</v>
      </c>
      <c r="I136" s="41">
        <v>704017.8</v>
      </c>
      <c r="J136" s="41">
        <f t="shared" si="80"/>
        <v>56321.424000000006</v>
      </c>
      <c r="K136" s="41">
        <f t="shared" si="81"/>
        <v>28160.712000000003</v>
      </c>
      <c r="L136" s="41">
        <f>I136*0.1</f>
        <v>70401.780000000013</v>
      </c>
      <c r="M136" s="42">
        <v>79389.989999999991</v>
      </c>
      <c r="N136" s="38"/>
      <c r="O136" s="38"/>
      <c r="P136" s="45">
        <v>27</v>
      </c>
      <c r="Q136" s="38">
        <f t="shared" si="82"/>
        <v>3</v>
      </c>
      <c r="R136" s="41">
        <f t="shared" si="83"/>
        <v>59841.513000000006</v>
      </c>
      <c r="S136" s="41">
        <f t="shared" si="84"/>
        <v>84482.135999999999</v>
      </c>
      <c r="T136" s="42">
        <f t="shared" si="85"/>
        <v>1082615.3550000002</v>
      </c>
    </row>
    <row r="137" spans="1:20" ht="25.5" hidden="1">
      <c r="A137" s="26" t="s">
        <v>92</v>
      </c>
      <c r="B137" s="37">
        <v>16159963</v>
      </c>
      <c r="C137" s="38" t="s">
        <v>167</v>
      </c>
      <c r="D137" s="37">
        <v>1247550875</v>
      </c>
      <c r="E137" s="38" t="s">
        <v>231</v>
      </c>
      <c r="F137" s="39" t="str">
        <f t="shared" ca="1" si="79"/>
        <v>VIGENTE</v>
      </c>
      <c r="G137" s="40">
        <v>43136</v>
      </c>
      <c r="H137" s="40" t="s">
        <v>237</v>
      </c>
      <c r="I137" s="41">
        <v>2033829.2</v>
      </c>
      <c r="J137" s="41">
        <f t="shared" si="80"/>
        <v>162706.33600000001</v>
      </c>
      <c r="K137" s="41">
        <f t="shared" si="81"/>
        <v>81353.168000000005</v>
      </c>
      <c r="L137" s="41">
        <v>0</v>
      </c>
      <c r="M137" s="42" t="s">
        <v>218</v>
      </c>
      <c r="N137" s="38"/>
      <c r="O137" s="38"/>
      <c r="P137" s="45">
        <v>26</v>
      </c>
      <c r="Q137" s="38">
        <f t="shared" si="82"/>
        <v>4</v>
      </c>
      <c r="R137" s="41">
        <f t="shared" si="83"/>
        <v>172875.48200000002</v>
      </c>
      <c r="S137" s="41">
        <f t="shared" si="84"/>
        <v>244059.50399999999</v>
      </c>
      <c r="T137" s="42">
        <f t="shared" si="85"/>
        <v>2694823.69</v>
      </c>
    </row>
    <row r="138" spans="1:20" ht="25.5" hidden="1">
      <c r="A138" s="26" t="s">
        <v>92</v>
      </c>
      <c r="B138" s="46">
        <v>16159963</v>
      </c>
      <c r="C138" s="47" t="s">
        <v>40</v>
      </c>
      <c r="D138" s="46">
        <v>1311966071</v>
      </c>
      <c r="E138" s="47" t="s">
        <v>228</v>
      </c>
      <c r="F138" s="48" t="str">
        <f t="shared" ca="1" si="79"/>
        <v>NO VIGENTE</v>
      </c>
      <c r="G138" s="49">
        <v>43252</v>
      </c>
      <c r="H138" s="49">
        <v>0</v>
      </c>
      <c r="I138" s="50">
        <v>0</v>
      </c>
      <c r="J138" s="50">
        <f t="shared" si="80"/>
        <v>0</v>
      </c>
      <c r="K138" s="50">
        <f t="shared" si="81"/>
        <v>0</v>
      </c>
      <c r="L138" s="50">
        <v>0</v>
      </c>
      <c r="M138" s="51">
        <v>0</v>
      </c>
      <c r="N138" s="47"/>
      <c r="O138" s="47"/>
      <c r="P138" s="52">
        <v>30</v>
      </c>
      <c r="Q138" s="47">
        <f t="shared" si="82"/>
        <v>0</v>
      </c>
      <c r="R138" s="50">
        <f t="shared" si="83"/>
        <v>0</v>
      </c>
      <c r="S138" s="50">
        <f t="shared" si="84"/>
        <v>0</v>
      </c>
      <c r="T138" s="51">
        <f t="shared" si="85"/>
        <v>0</v>
      </c>
    </row>
    <row r="139" spans="1:20" ht="25.5" hidden="1">
      <c r="A139" s="26" t="s">
        <v>92</v>
      </c>
      <c r="B139" s="46">
        <v>16159963</v>
      </c>
      <c r="C139" s="47" t="s">
        <v>165</v>
      </c>
      <c r="D139" s="46">
        <v>1317424267</v>
      </c>
      <c r="E139" s="47" t="s">
        <v>230</v>
      </c>
      <c r="F139" s="48" t="str">
        <f t="shared" ca="1" si="79"/>
        <v>NO VIGENTE</v>
      </c>
      <c r="G139" s="49">
        <v>43453</v>
      </c>
      <c r="H139" s="49">
        <v>0</v>
      </c>
      <c r="I139" s="50">
        <v>0</v>
      </c>
      <c r="J139" s="50">
        <f t="shared" si="80"/>
        <v>0</v>
      </c>
      <c r="K139" s="50">
        <f t="shared" si="81"/>
        <v>0</v>
      </c>
      <c r="L139" s="50">
        <v>0</v>
      </c>
      <c r="M139" s="51">
        <v>0</v>
      </c>
      <c r="N139" s="47"/>
      <c r="O139" s="47"/>
      <c r="P139" s="52">
        <v>15</v>
      </c>
      <c r="Q139" s="47">
        <f t="shared" si="82"/>
        <v>15</v>
      </c>
      <c r="R139" s="50">
        <f t="shared" si="83"/>
        <v>0</v>
      </c>
      <c r="S139" s="50">
        <f t="shared" si="84"/>
        <v>0</v>
      </c>
      <c r="T139" s="51">
        <f t="shared" si="85"/>
        <v>0</v>
      </c>
    </row>
    <row r="140" spans="1:20" ht="25.5" hidden="1">
      <c r="A140" s="26" t="s">
        <v>92</v>
      </c>
      <c r="B140" s="46">
        <v>16159963</v>
      </c>
      <c r="C140" s="47" t="s">
        <v>166</v>
      </c>
      <c r="D140" s="46">
        <v>1315211554</v>
      </c>
      <c r="E140" s="47" t="s">
        <v>229</v>
      </c>
      <c r="F140" s="48" t="str">
        <f t="shared" ca="1" si="79"/>
        <v>NO VIGENTE</v>
      </c>
      <c r="G140" s="49">
        <v>43147</v>
      </c>
      <c r="H140" s="49">
        <v>0</v>
      </c>
      <c r="I140" s="50">
        <v>0</v>
      </c>
      <c r="J140" s="50">
        <f t="shared" si="80"/>
        <v>0</v>
      </c>
      <c r="K140" s="50">
        <f t="shared" si="81"/>
        <v>0</v>
      </c>
      <c r="L140" s="50">
        <v>0</v>
      </c>
      <c r="M140" s="51">
        <v>0</v>
      </c>
      <c r="N140" s="47"/>
      <c r="O140" s="47"/>
      <c r="P140" s="52">
        <v>25</v>
      </c>
      <c r="Q140" s="47">
        <f t="shared" si="82"/>
        <v>5</v>
      </c>
      <c r="R140" s="50">
        <f t="shared" si="83"/>
        <v>0</v>
      </c>
      <c r="S140" s="50">
        <f t="shared" si="84"/>
        <v>0</v>
      </c>
      <c r="T140" s="51">
        <f t="shared" si="85"/>
        <v>0</v>
      </c>
    </row>
    <row r="141" spans="1:20" ht="25.5" hidden="1">
      <c r="A141" s="26" t="s">
        <v>92</v>
      </c>
      <c r="B141" s="46">
        <v>16159962</v>
      </c>
      <c r="C141" s="47" t="s">
        <v>168</v>
      </c>
      <c r="D141" s="46">
        <v>1241318672</v>
      </c>
      <c r="E141" s="47" t="s">
        <v>232</v>
      </c>
      <c r="F141" s="48" t="str">
        <f t="shared" ca="1" si="79"/>
        <v>NO VIGENTE</v>
      </c>
      <c r="G141" s="49">
        <v>43169</v>
      </c>
      <c r="H141" s="49">
        <v>0</v>
      </c>
      <c r="I141" s="50">
        <v>0</v>
      </c>
      <c r="J141" s="50">
        <f t="shared" si="80"/>
        <v>0</v>
      </c>
      <c r="K141" s="50">
        <f t="shared" si="81"/>
        <v>0</v>
      </c>
      <c r="L141" s="50">
        <v>0</v>
      </c>
      <c r="M141" s="51">
        <v>0</v>
      </c>
      <c r="N141" s="47"/>
      <c r="O141" s="47"/>
      <c r="P141" s="52">
        <v>27</v>
      </c>
      <c r="Q141" s="47">
        <f t="shared" si="82"/>
        <v>3</v>
      </c>
      <c r="R141" s="50">
        <f t="shared" si="83"/>
        <v>0</v>
      </c>
      <c r="S141" s="50">
        <f t="shared" si="84"/>
        <v>0</v>
      </c>
      <c r="T141" s="51">
        <f t="shared" si="85"/>
        <v>0</v>
      </c>
    </row>
    <row r="142" spans="1:20" ht="25.5" hidden="1">
      <c r="A142" s="26" t="s">
        <v>92</v>
      </c>
      <c r="B142" s="46">
        <v>16159962</v>
      </c>
      <c r="C142" s="47" t="s">
        <v>169</v>
      </c>
      <c r="D142" s="46">
        <v>1324063080</v>
      </c>
      <c r="E142" s="47" t="s">
        <v>233</v>
      </c>
      <c r="F142" s="48" t="str">
        <f t="shared" ca="1" si="79"/>
        <v>NO VIGENTE</v>
      </c>
      <c r="G142" s="49">
        <v>43202</v>
      </c>
      <c r="H142" s="49">
        <v>0</v>
      </c>
      <c r="I142" s="50">
        <v>0</v>
      </c>
      <c r="J142" s="50">
        <f t="shared" si="80"/>
        <v>0</v>
      </c>
      <c r="K142" s="50">
        <f t="shared" si="81"/>
        <v>0</v>
      </c>
      <c r="L142" s="50">
        <v>0</v>
      </c>
      <c r="M142" s="51">
        <v>0</v>
      </c>
      <c r="N142" s="47"/>
      <c r="O142" s="47"/>
      <c r="P142" s="52">
        <v>18</v>
      </c>
      <c r="Q142" s="47">
        <f t="shared" si="82"/>
        <v>12</v>
      </c>
      <c r="R142" s="50">
        <f t="shared" si="83"/>
        <v>0</v>
      </c>
      <c r="S142" s="50">
        <f t="shared" si="84"/>
        <v>0</v>
      </c>
      <c r="T142" s="51">
        <f t="shared" si="85"/>
        <v>0</v>
      </c>
    </row>
    <row r="143" spans="1:20" ht="25.5" hidden="1">
      <c r="A143" s="26" t="s">
        <v>92</v>
      </c>
      <c r="B143" s="46">
        <v>16159961</v>
      </c>
      <c r="C143" s="47" t="s">
        <v>175</v>
      </c>
      <c r="D143" s="46">
        <v>1259425899</v>
      </c>
      <c r="E143" s="47" t="s">
        <v>234</v>
      </c>
      <c r="F143" s="48" t="str">
        <f t="shared" ca="1" si="79"/>
        <v>NO VIGENTE</v>
      </c>
      <c r="G143" s="49">
        <v>43302</v>
      </c>
      <c r="H143" s="49">
        <v>0</v>
      </c>
      <c r="I143" s="50">
        <v>0</v>
      </c>
      <c r="J143" s="50">
        <f t="shared" si="80"/>
        <v>0</v>
      </c>
      <c r="K143" s="50">
        <f t="shared" si="81"/>
        <v>0</v>
      </c>
      <c r="L143" s="50">
        <v>0</v>
      </c>
      <c r="M143" s="51">
        <v>0</v>
      </c>
      <c r="N143" s="47"/>
      <c r="O143" s="47"/>
      <c r="P143" s="52">
        <v>29</v>
      </c>
      <c r="Q143" s="47">
        <f t="shared" si="82"/>
        <v>1</v>
      </c>
      <c r="R143" s="50">
        <f t="shared" si="83"/>
        <v>0</v>
      </c>
      <c r="S143" s="50">
        <f t="shared" si="84"/>
        <v>0</v>
      </c>
      <c r="T143" s="51">
        <f t="shared" si="85"/>
        <v>0</v>
      </c>
    </row>
    <row r="144" spans="1:20" ht="17.25" hidden="1" thickBot="1"/>
    <row r="145" spans="1:33" ht="49.5" hidden="1">
      <c r="A145" s="36"/>
      <c r="B145" s="53" t="s">
        <v>159</v>
      </c>
      <c r="C145" s="54" t="s">
        <v>30</v>
      </c>
      <c r="D145" s="54" t="s">
        <v>160</v>
      </c>
      <c r="E145" s="54" t="s">
        <v>226</v>
      </c>
      <c r="F145" s="54" t="s">
        <v>163</v>
      </c>
      <c r="G145" s="54" t="s">
        <v>173</v>
      </c>
      <c r="H145" s="54" t="s">
        <v>174</v>
      </c>
      <c r="I145" s="54" t="s">
        <v>34</v>
      </c>
      <c r="J145" s="54" t="s">
        <v>161</v>
      </c>
      <c r="K145" s="54" t="s">
        <v>162</v>
      </c>
      <c r="L145" s="54" t="s">
        <v>176</v>
      </c>
      <c r="M145" s="55" t="s">
        <v>216</v>
      </c>
      <c r="N145" s="55" t="s">
        <v>236</v>
      </c>
      <c r="O145" s="54" t="s">
        <v>235</v>
      </c>
      <c r="P145" s="55" t="s">
        <v>217</v>
      </c>
      <c r="Q145" s="55" t="s">
        <v>225</v>
      </c>
      <c r="R145" s="54" t="s">
        <v>162</v>
      </c>
      <c r="S145" s="54" t="s">
        <v>176</v>
      </c>
      <c r="T145" s="56" t="s">
        <v>54</v>
      </c>
    </row>
    <row r="146" spans="1:33" ht="25.5" hidden="1">
      <c r="A146" s="26" t="s">
        <v>93</v>
      </c>
      <c r="B146" s="37">
        <v>16159963</v>
      </c>
      <c r="C146" s="38" t="s">
        <v>164</v>
      </c>
      <c r="D146" s="37">
        <v>1321648522</v>
      </c>
      <c r="E146" s="38" t="s">
        <v>229</v>
      </c>
      <c r="F146" s="39" t="str">
        <f t="shared" ref="F146:F156" ca="1" si="86">IF(AND(H146&gt;TODAY(),G146&lt;TODAY()),"VIGENTE","NO VIGENTE")</f>
        <v>NO VIGENTE</v>
      </c>
      <c r="G146" s="40">
        <v>43393</v>
      </c>
      <c r="H146" s="40">
        <v>43549</v>
      </c>
      <c r="I146" s="41">
        <v>2346726</v>
      </c>
      <c r="J146" s="41">
        <f t="shared" ref="J146:J156" si="87">I146*0.08</f>
        <v>187738.08000000002</v>
      </c>
      <c r="K146" s="41">
        <f t="shared" ref="K146:K156" si="88">I146*0.04</f>
        <v>93869.040000000008</v>
      </c>
      <c r="L146" s="41">
        <f>I146*0.12</f>
        <v>281607.12</v>
      </c>
      <c r="M146" s="42" t="s">
        <v>218</v>
      </c>
      <c r="N146" s="38"/>
      <c r="O146" s="38"/>
      <c r="P146" s="45">
        <v>30</v>
      </c>
      <c r="Q146" s="38">
        <f t="shared" ref="Q146:Q156" si="89">30-P146</f>
        <v>0</v>
      </c>
      <c r="R146" s="41">
        <f t="shared" ref="R146:R156" si="90">I146*0.085</f>
        <v>199471.71000000002</v>
      </c>
      <c r="S146" s="41">
        <f t="shared" ref="S146:S156" si="91">I146*0.12</f>
        <v>281607.12</v>
      </c>
      <c r="T146" s="42">
        <f t="shared" ref="T146:T156" si="92">SUM(I146:M146,R146,O146,N146,S146)</f>
        <v>3391019.0700000003</v>
      </c>
    </row>
    <row r="147" spans="1:33" ht="25.5" hidden="1">
      <c r="A147" s="26" t="s">
        <v>93</v>
      </c>
      <c r="B147" s="37">
        <v>16159962</v>
      </c>
      <c r="C147" s="38" t="s">
        <v>170</v>
      </c>
      <c r="D147" s="37">
        <v>1323384207</v>
      </c>
      <c r="E147" s="38" t="s">
        <v>232</v>
      </c>
      <c r="F147" s="39" t="str">
        <f t="shared" ca="1" si="86"/>
        <v>NO VIGENTE</v>
      </c>
      <c r="G147" s="40">
        <v>43441</v>
      </c>
      <c r="H147" s="40">
        <v>43552</v>
      </c>
      <c r="I147" s="41">
        <v>782242</v>
      </c>
      <c r="J147" s="41">
        <f t="shared" si="87"/>
        <v>62579.360000000001</v>
      </c>
      <c r="K147" s="41">
        <f t="shared" si="88"/>
        <v>31289.68</v>
      </c>
      <c r="L147" s="41">
        <f>I147*0.1</f>
        <v>78224.2</v>
      </c>
      <c r="M147" s="42">
        <v>44105.549999999996</v>
      </c>
      <c r="N147" s="38"/>
      <c r="O147" s="38"/>
      <c r="P147" s="45">
        <v>15</v>
      </c>
      <c r="Q147" s="38">
        <f t="shared" si="89"/>
        <v>15</v>
      </c>
      <c r="R147" s="41">
        <f t="shared" si="90"/>
        <v>66490.570000000007</v>
      </c>
      <c r="S147" s="41">
        <f t="shared" si="91"/>
        <v>93869.04</v>
      </c>
      <c r="T147" s="42">
        <f t="shared" si="92"/>
        <v>1158800.4000000001</v>
      </c>
    </row>
    <row r="148" spans="1:33" ht="25.5" hidden="1">
      <c r="A148" s="26" t="s">
        <v>93</v>
      </c>
      <c r="B148" s="37">
        <v>16159962</v>
      </c>
      <c r="C148" s="38" t="s">
        <v>171</v>
      </c>
      <c r="D148" s="37">
        <v>1237462775</v>
      </c>
      <c r="E148" s="38" t="s">
        <v>228</v>
      </c>
      <c r="F148" s="39" t="str">
        <f t="shared" ca="1" si="86"/>
        <v>NO VIGENTE</v>
      </c>
      <c r="G148" s="40">
        <v>43274</v>
      </c>
      <c r="H148" s="40">
        <v>43462</v>
      </c>
      <c r="I148" s="41">
        <v>1512334.5333333334</v>
      </c>
      <c r="J148" s="41">
        <f t="shared" si="87"/>
        <v>120986.76266666668</v>
      </c>
      <c r="K148" s="41">
        <f t="shared" si="88"/>
        <v>60493.381333333338</v>
      </c>
      <c r="L148" s="41">
        <f>I148*0.1</f>
        <v>151233.45333333334</v>
      </c>
      <c r="M148" s="42">
        <v>85270.73</v>
      </c>
      <c r="N148" s="38"/>
      <c r="O148" s="38"/>
      <c r="P148" s="45">
        <v>29</v>
      </c>
      <c r="Q148" s="38">
        <f t="shared" si="89"/>
        <v>1</v>
      </c>
      <c r="R148" s="41">
        <f t="shared" si="90"/>
        <v>128548.43533333336</v>
      </c>
      <c r="S148" s="41">
        <f t="shared" si="91"/>
        <v>181480.144</v>
      </c>
      <c r="T148" s="42">
        <f t="shared" si="92"/>
        <v>2240347.4400000004</v>
      </c>
    </row>
    <row r="149" spans="1:33" ht="25.5" hidden="1">
      <c r="A149" s="26" t="s">
        <v>93</v>
      </c>
      <c r="B149" s="37">
        <v>16159961</v>
      </c>
      <c r="C149" s="38" t="s">
        <v>172</v>
      </c>
      <c r="D149" s="37">
        <v>1285748000</v>
      </c>
      <c r="E149" s="38" t="s">
        <v>234</v>
      </c>
      <c r="F149" s="39" t="str">
        <f t="shared" ca="1" si="86"/>
        <v>NO VIGENTE</v>
      </c>
      <c r="G149" s="40">
        <v>43283</v>
      </c>
      <c r="H149" s="40">
        <v>43540</v>
      </c>
      <c r="I149" s="41">
        <v>704017.8</v>
      </c>
      <c r="J149" s="41">
        <f t="shared" si="87"/>
        <v>56321.424000000006</v>
      </c>
      <c r="K149" s="41">
        <f t="shared" si="88"/>
        <v>28160.712000000003</v>
      </c>
      <c r="L149" s="41">
        <f>I149*0.1</f>
        <v>70401.780000000013</v>
      </c>
      <c r="M149" s="42">
        <v>79389.989999999991</v>
      </c>
      <c r="N149" s="38"/>
      <c r="O149" s="38"/>
      <c r="P149" s="45">
        <v>27</v>
      </c>
      <c r="Q149" s="38">
        <f t="shared" si="89"/>
        <v>3</v>
      </c>
      <c r="R149" s="41">
        <f t="shared" si="90"/>
        <v>59841.513000000006</v>
      </c>
      <c r="S149" s="41">
        <f t="shared" si="91"/>
        <v>84482.135999999999</v>
      </c>
      <c r="T149" s="42">
        <f t="shared" si="92"/>
        <v>1082615.3550000002</v>
      </c>
    </row>
    <row r="150" spans="1:33" ht="25.5" hidden="1">
      <c r="A150" s="26" t="s">
        <v>93</v>
      </c>
      <c r="B150" s="37">
        <v>16159963</v>
      </c>
      <c r="C150" s="38" t="s">
        <v>167</v>
      </c>
      <c r="D150" s="37">
        <v>1247550875</v>
      </c>
      <c r="E150" s="38" t="s">
        <v>231</v>
      </c>
      <c r="F150" s="39" t="str">
        <f t="shared" ca="1" si="86"/>
        <v>VIGENTE</v>
      </c>
      <c r="G150" s="40">
        <v>43136</v>
      </c>
      <c r="H150" s="40" t="s">
        <v>237</v>
      </c>
      <c r="I150" s="41">
        <v>2033829.2</v>
      </c>
      <c r="J150" s="41">
        <f t="shared" si="87"/>
        <v>162706.33600000001</v>
      </c>
      <c r="K150" s="41">
        <f t="shared" si="88"/>
        <v>81353.168000000005</v>
      </c>
      <c r="L150" s="41">
        <v>0</v>
      </c>
      <c r="M150" s="42" t="s">
        <v>218</v>
      </c>
      <c r="N150" s="38"/>
      <c r="O150" s="38"/>
      <c r="P150" s="45">
        <v>26</v>
      </c>
      <c r="Q150" s="38">
        <f t="shared" si="89"/>
        <v>4</v>
      </c>
      <c r="R150" s="41">
        <f t="shared" si="90"/>
        <v>172875.48200000002</v>
      </c>
      <c r="S150" s="41">
        <f t="shared" si="91"/>
        <v>244059.50399999999</v>
      </c>
      <c r="T150" s="42">
        <f t="shared" si="92"/>
        <v>2694823.69</v>
      </c>
    </row>
    <row r="151" spans="1:33" ht="25.5" hidden="1">
      <c r="A151" s="26" t="s">
        <v>93</v>
      </c>
      <c r="B151" s="46">
        <v>16159963</v>
      </c>
      <c r="C151" s="47" t="s">
        <v>40</v>
      </c>
      <c r="D151" s="46">
        <v>1311966071</v>
      </c>
      <c r="E151" s="47" t="s">
        <v>228</v>
      </c>
      <c r="F151" s="48" t="str">
        <f t="shared" ca="1" si="86"/>
        <v>NO VIGENTE</v>
      </c>
      <c r="G151" s="49">
        <v>43252</v>
      </c>
      <c r="H151" s="49">
        <v>0</v>
      </c>
      <c r="I151" s="50">
        <v>0</v>
      </c>
      <c r="J151" s="50">
        <f t="shared" si="87"/>
        <v>0</v>
      </c>
      <c r="K151" s="50">
        <f t="shared" si="88"/>
        <v>0</v>
      </c>
      <c r="L151" s="50">
        <v>0</v>
      </c>
      <c r="M151" s="51">
        <v>0</v>
      </c>
      <c r="N151" s="47"/>
      <c r="O151" s="47"/>
      <c r="P151" s="52">
        <v>30</v>
      </c>
      <c r="Q151" s="47">
        <f t="shared" si="89"/>
        <v>0</v>
      </c>
      <c r="R151" s="50">
        <f t="shared" si="90"/>
        <v>0</v>
      </c>
      <c r="S151" s="50">
        <f t="shared" si="91"/>
        <v>0</v>
      </c>
      <c r="T151" s="51">
        <f t="shared" si="92"/>
        <v>0</v>
      </c>
    </row>
    <row r="152" spans="1:33" ht="25.5" hidden="1">
      <c r="A152" s="26" t="s">
        <v>93</v>
      </c>
      <c r="B152" s="46">
        <v>16159963</v>
      </c>
      <c r="C152" s="47" t="s">
        <v>165</v>
      </c>
      <c r="D152" s="46">
        <v>1317424267</v>
      </c>
      <c r="E152" s="47" t="s">
        <v>230</v>
      </c>
      <c r="F152" s="48" t="str">
        <f t="shared" ca="1" si="86"/>
        <v>NO VIGENTE</v>
      </c>
      <c r="G152" s="49">
        <v>43453</v>
      </c>
      <c r="H152" s="49">
        <v>0</v>
      </c>
      <c r="I152" s="50">
        <v>0</v>
      </c>
      <c r="J152" s="50">
        <f t="shared" si="87"/>
        <v>0</v>
      </c>
      <c r="K152" s="50">
        <f t="shared" si="88"/>
        <v>0</v>
      </c>
      <c r="L152" s="50">
        <v>0</v>
      </c>
      <c r="M152" s="51">
        <v>0</v>
      </c>
      <c r="N152" s="47"/>
      <c r="O152" s="47"/>
      <c r="P152" s="52">
        <v>15</v>
      </c>
      <c r="Q152" s="47">
        <f t="shared" si="89"/>
        <v>15</v>
      </c>
      <c r="R152" s="50">
        <f t="shared" si="90"/>
        <v>0</v>
      </c>
      <c r="S152" s="50">
        <f t="shared" si="91"/>
        <v>0</v>
      </c>
      <c r="T152" s="51">
        <f t="shared" si="92"/>
        <v>0</v>
      </c>
    </row>
    <row r="153" spans="1:33" ht="25.5" hidden="1">
      <c r="A153" s="26" t="s">
        <v>93</v>
      </c>
      <c r="B153" s="46">
        <v>16159963</v>
      </c>
      <c r="C153" s="47" t="s">
        <v>166</v>
      </c>
      <c r="D153" s="46">
        <v>1315211554</v>
      </c>
      <c r="E153" s="47" t="s">
        <v>229</v>
      </c>
      <c r="F153" s="48" t="str">
        <f t="shared" ca="1" si="86"/>
        <v>NO VIGENTE</v>
      </c>
      <c r="G153" s="49">
        <v>43147</v>
      </c>
      <c r="H153" s="49">
        <v>0</v>
      </c>
      <c r="I153" s="50">
        <v>0</v>
      </c>
      <c r="J153" s="50">
        <f t="shared" si="87"/>
        <v>0</v>
      </c>
      <c r="K153" s="50">
        <f t="shared" si="88"/>
        <v>0</v>
      </c>
      <c r="L153" s="50">
        <v>0</v>
      </c>
      <c r="M153" s="51">
        <v>0</v>
      </c>
      <c r="N153" s="47"/>
      <c r="O153" s="47"/>
      <c r="P153" s="52">
        <v>25</v>
      </c>
      <c r="Q153" s="47">
        <f t="shared" si="89"/>
        <v>5</v>
      </c>
      <c r="R153" s="50">
        <f t="shared" si="90"/>
        <v>0</v>
      </c>
      <c r="S153" s="50">
        <f t="shared" si="91"/>
        <v>0</v>
      </c>
      <c r="T153" s="51">
        <f t="shared" si="92"/>
        <v>0</v>
      </c>
    </row>
    <row r="154" spans="1:33" ht="25.5" hidden="1">
      <c r="A154" s="26" t="s">
        <v>93</v>
      </c>
      <c r="B154" s="46">
        <v>16159962</v>
      </c>
      <c r="C154" s="47" t="s">
        <v>168</v>
      </c>
      <c r="D154" s="46">
        <v>1241318672</v>
      </c>
      <c r="E154" s="47" t="s">
        <v>232</v>
      </c>
      <c r="F154" s="48" t="str">
        <f t="shared" ca="1" si="86"/>
        <v>NO VIGENTE</v>
      </c>
      <c r="G154" s="49">
        <v>43169</v>
      </c>
      <c r="H154" s="49">
        <v>0</v>
      </c>
      <c r="I154" s="50">
        <v>0</v>
      </c>
      <c r="J154" s="50">
        <f t="shared" si="87"/>
        <v>0</v>
      </c>
      <c r="K154" s="50">
        <f t="shared" si="88"/>
        <v>0</v>
      </c>
      <c r="L154" s="50">
        <v>0</v>
      </c>
      <c r="M154" s="51">
        <v>0</v>
      </c>
      <c r="N154" s="47"/>
      <c r="O154" s="47"/>
      <c r="P154" s="52">
        <v>27</v>
      </c>
      <c r="Q154" s="47">
        <f t="shared" si="89"/>
        <v>3</v>
      </c>
      <c r="R154" s="50">
        <f t="shared" si="90"/>
        <v>0</v>
      </c>
      <c r="S154" s="50">
        <f t="shared" si="91"/>
        <v>0</v>
      </c>
      <c r="T154" s="51">
        <f t="shared" si="92"/>
        <v>0</v>
      </c>
    </row>
    <row r="155" spans="1:33" ht="25.5" hidden="1">
      <c r="A155" s="26" t="s">
        <v>93</v>
      </c>
      <c r="B155" s="46">
        <v>16159962</v>
      </c>
      <c r="C155" s="47" t="s">
        <v>169</v>
      </c>
      <c r="D155" s="46">
        <v>1324063080</v>
      </c>
      <c r="E155" s="47" t="s">
        <v>233</v>
      </c>
      <c r="F155" s="48" t="str">
        <f t="shared" ca="1" si="86"/>
        <v>NO VIGENTE</v>
      </c>
      <c r="G155" s="49">
        <v>43202</v>
      </c>
      <c r="H155" s="49">
        <v>0</v>
      </c>
      <c r="I155" s="50">
        <v>0</v>
      </c>
      <c r="J155" s="50">
        <f t="shared" si="87"/>
        <v>0</v>
      </c>
      <c r="K155" s="50">
        <f t="shared" si="88"/>
        <v>0</v>
      </c>
      <c r="L155" s="50">
        <v>0</v>
      </c>
      <c r="M155" s="51">
        <v>0</v>
      </c>
      <c r="N155" s="47"/>
      <c r="O155" s="47"/>
      <c r="P155" s="52">
        <v>18</v>
      </c>
      <c r="Q155" s="47">
        <f t="shared" si="89"/>
        <v>12</v>
      </c>
      <c r="R155" s="50">
        <f t="shared" si="90"/>
        <v>0</v>
      </c>
      <c r="S155" s="50">
        <f t="shared" si="91"/>
        <v>0</v>
      </c>
      <c r="T155" s="51">
        <f t="shared" si="92"/>
        <v>0</v>
      </c>
    </row>
    <row r="156" spans="1:33" ht="25.5" hidden="1">
      <c r="A156" s="26" t="s">
        <v>93</v>
      </c>
      <c r="B156" s="46">
        <v>16159961</v>
      </c>
      <c r="C156" s="47" t="s">
        <v>175</v>
      </c>
      <c r="D156" s="46">
        <v>1259425899</v>
      </c>
      <c r="E156" s="47" t="s">
        <v>234</v>
      </c>
      <c r="F156" s="48" t="str">
        <f t="shared" ca="1" si="86"/>
        <v>NO VIGENTE</v>
      </c>
      <c r="G156" s="49">
        <v>43302</v>
      </c>
      <c r="H156" s="49">
        <v>0</v>
      </c>
      <c r="I156" s="50">
        <v>0</v>
      </c>
      <c r="J156" s="50">
        <f t="shared" si="87"/>
        <v>0</v>
      </c>
      <c r="K156" s="50">
        <f t="shared" si="88"/>
        <v>0</v>
      </c>
      <c r="L156" s="50">
        <v>0</v>
      </c>
      <c r="M156" s="51">
        <v>0</v>
      </c>
      <c r="N156" s="47"/>
      <c r="O156" s="47"/>
      <c r="P156" s="52">
        <v>29</v>
      </c>
      <c r="Q156" s="47">
        <f t="shared" si="89"/>
        <v>1</v>
      </c>
      <c r="R156" s="50">
        <f t="shared" si="90"/>
        <v>0</v>
      </c>
      <c r="S156" s="50">
        <f t="shared" si="91"/>
        <v>0</v>
      </c>
      <c r="T156" s="51">
        <f t="shared" si="92"/>
        <v>0</v>
      </c>
    </row>
    <row r="157" spans="1:33">
      <c r="A157" s="57" t="s">
        <v>159</v>
      </c>
      <c r="B157" s="14" t="s">
        <v>882</v>
      </c>
    </row>
    <row r="158" spans="1:33" ht="33">
      <c r="A158" s="57" t="s">
        <v>163</v>
      </c>
      <c r="B158" s="14" t="s">
        <v>882</v>
      </c>
      <c r="C158" s="58" t="s">
        <v>227</v>
      </c>
    </row>
    <row r="160" spans="1:33">
      <c r="A160" s="57" t="s">
        <v>883</v>
      </c>
      <c r="B160" s="14" t="s">
        <v>885</v>
      </c>
      <c r="C160" s="14" t="s">
        <v>887</v>
      </c>
      <c r="D160" s="14" t="s">
        <v>886</v>
      </c>
      <c r="E160" s="14" t="s">
        <v>888</v>
      </c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</row>
    <row r="161" spans="1:33">
      <c r="A161" s="59" t="s">
        <v>230</v>
      </c>
      <c r="B161" s="16">
        <v>363742.52999999991</v>
      </c>
      <c r="C161" s="16">
        <v>18773.807999999997</v>
      </c>
      <c r="D161" s="16">
        <v>13298.114</v>
      </c>
      <c r="E161" s="16">
        <v>1</v>
      </c>
      <c r="F161" s="837"/>
      <c r="G161" s="837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</row>
    <row r="162" spans="1:33">
      <c r="A162" s="60">
        <v>1317424267</v>
      </c>
      <c r="B162" s="16">
        <v>363742.52999999991</v>
      </c>
      <c r="C162" s="16">
        <v>18773.807999999997</v>
      </c>
      <c r="D162" s="16">
        <v>13298.114</v>
      </c>
      <c r="E162" s="16">
        <v>1</v>
      </c>
      <c r="F162" s="838"/>
      <c r="G162" s="838"/>
      <c r="H162" s="14"/>
      <c r="I162" s="14"/>
      <c r="J162" s="14"/>
      <c r="K162" s="14"/>
      <c r="L162" s="14"/>
      <c r="M162" s="669" t="s">
        <v>18</v>
      </c>
      <c r="N162" s="669"/>
      <c r="O162" s="14"/>
      <c r="P162" s="14"/>
      <c r="Q162" s="14"/>
      <c r="R162" s="14"/>
      <c r="S162" s="14"/>
      <c r="T162" s="14"/>
      <c r="U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</row>
    <row r="163" spans="1:33">
      <c r="A163" s="61" t="s">
        <v>165</v>
      </c>
      <c r="B163" s="16">
        <v>363742.52999999991</v>
      </c>
      <c r="C163" s="16">
        <v>18773.807999999997</v>
      </c>
      <c r="D163" s="16">
        <v>13298.114</v>
      </c>
      <c r="E163" s="16">
        <v>1</v>
      </c>
      <c r="F163" s="838"/>
      <c r="G163" s="838"/>
      <c r="H163" s="14"/>
      <c r="I163" s="14"/>
      <c r="J163" s="14"/>
      <c r="K163" s="14"/>
      <c r="L163" s="14"/>
      <c r="M163" s="670" t="s">
        <v>17</v>
      </c>
      <c r="N163" s="670"/>
      <c r="O163" s="14"/>
      <c r="P163" s="14"/>
      <c r="Q163" s="14"/>
      <c r="R163" s="14"/>
      <c r="S163" s="14"/>
      <c r="T163" s="14"/>
      <c r="U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</row>
    <row r="164" spans="1:33">
      <c r="A164" s="59" t="s">
        <v>231</v>
      </c>
      <c r="B164" s="16">
        <v>420577.29700000002</v>
      </c>
      <c r="C164" s="16">
        <v>21707.215199999999</v>
      </c>
      <c r="D164" s="16">
        <v>15375.944100000001</v>
      </c>
      <c r="E164" s="16">
        <v>1</v>
      </c>
      <c r="F164" s="838"/>
      <c r="G164" s="838"/>
      <c r="H164" s="14"/>
      <c r="I164" s="14"/>
      <c r="J164" s="14"/>
      <c r="K164" s="14"/>
      <c r="L164" s="14"/>
      <c r="M164" s="670" t="s">
        <v>1029</v>
      </c>
      <c r="N164" s="670"/>
      <c r="O164" s="14"/>
      <c r="P164" s="14"/>
      <c r="Q164" s="14"/>
      <c r="R164" s="14"/>
      <c r="S164" s="14"/>
      <c r="T164" s="14"/>
      <c r="U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</row>
    <row r="165" spans="1:33">
      <c r="A165" s="60">
        <v>1247550875</v>
      </c>
      <c r="B165" s="16">
        <v>420577.29700000002</v>
      </c>
      <c r="C165" s="16">
        <v>21707.215199999999</v>
      </c>
      <c r="D165" s="16">
        <v>15375.944100000001</v>
      </c>
      <c r="E165" s="16">
        <v>1</v>
      </c>
      <c r="F165" s="14"/>
      <c r="G165" s="14"/>
      <c r="H165" s="14"/>
      <c r="I165" s="14"/>
      <c r="J165" s="14"/>
      <c r="K165" s="14"/>
      <c r="L165" s="14"/>
      <c r="M165" s="670" t="s">
        <v>1030</v>
      </c>
      <c r="N165" s="670"/>
      <c r="O165" s="14"/>
      <c r="P165" s="14"/>
      <c r="Q165" s="14"/>
      <c r="R165" s="14"/>
      <c r="S165" s="14"/>
      <c r="T165" s="14"/>
      <c r="U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</row>
    <row r="166" spans="1:33">
      <c r="A166" s="61" t="s">
        <v>167</v>
      </c>
      <c r="B166" s="16">
        <v>420577.29700000002</v>
      </c>
      <c r="C166" s="16">
        <v>21707.215199999999</v>
      </c>
      <c r="D166" s="16">
        <v>15375.944100000001</v>
      </c>
      <c r="E166" s="16">
        <v>1</v>
      </c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</row>
    <row r="167" spans="1:33">
      <c r="A167" s="59" t="s">
        <v>232</v>
      </c>
      <c r="B167" s="16">
        <v>417301.83833333332</v>
      </c>
      <c r="C167" s="16">
        <v>20612.076000000001</v>
      </c>
      <c r="D167" s="16">
        <v>14600.220499999999</v>
      </c>
      <c r="E167" s="16">
        <v>2</v>
      </c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</row>
    <row r="168" spans="1:33">
      <c r="A168" s="60">
        <v>1241318672</v>
      </c>
      <c r="B168" s="16">
        <v>155647.47916666666</v>
      </c>
      <c r="C168" s="16">
        <v>7900.6439999999993</v>
      </c>
      <c r="D168" s="16">
        <v>5596.2894999999999</v>
      </c>
      <c r="E168" s="16">
        <v>1</v>
      </c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</row>
    <row r="169" spans="1:33">
      <c r="A169" s="61" t="s">
        <v>168</v>
      </c>
      <c r="B169" s="16">
        <v>155647.47916666666</v>
      </c>
      <c r="C169" s="16">
        <v>7900.6439999999993</v>
      </c>
      <c r="D169" s="16">
        <v>5596.2894999999999</v>
      </c>
      <c r="E169" s="16">
        <v>1</v>
      </c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</row>
    <row r="170" spans="1:33">
      <c r="A170" s="60">
        <v>1323384207</v>
      </c>
      <c r="B170" s="16">
        <v>261654.35916666666</v>
      </c>
      <c r="C170" s="16">
        <v>12711.432000000001</v>
      </c>
      <c r="D170" s="16">
        <v>9003.9310000000005</v>
      </c>
      <c r="E170" s="16">
        <v>1</v>
      </c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</row>
    <row r="171" spans="1:33">
      <c r="A171" s="61" t="s">
        <v>170</v>
      </c>
      <c r="B171" s="16">
        <v>261654.35916666666</v>
      </c>
      <c r="C171" s="16">
        <v>12711.432000000001</v>
      </c>
      <c r="D171" s="16">
        <v>9003.9310000000005</v>
      </c>
      <c r="E171" s="16">
        <v>1</v>
      </c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</row>
    <row r="172" spans="1:33">
      <c r="A172" s="59" t="s">
        <v>234</v>
      </c>
      <c r="B172" s="16">
        <v>150919.60083333333</v>
      </c>
      <c r="C172" s="16">
        <v>7353.0744000000004</v>
      </c>
      <c r="D172" s="16">
        <v>5208.4277000000002</v>
      </c>
      <c r="E172" s="16">
        <v>2</v>
      </c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</row>
    <row r="173" spans="1:33">
      <c r="A173" s="60">
        <v>1259425899</v>
      </c>
      <c r="B173" s="16">
        <v>73927.909916666671</v>
      </c>
      <c r="C173" s="16">
        <v>3676.5372000000002</v>
      </c>
      <c r="D173" s="16">
        <v>2604.2138500000001</v>
      </c>
      <c r="E173" s="16">
        <v>1</v>
      </c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</row>
    <row r="174" spans="1:33">
      <c r="A174" s="61" t="s">
        <v>175</v>
      </c>
      <c r="B174" s="16">
        <v>73927.909916666671</v>
      </c>
      <c r="C174" s="16">
        <v>3676.5372000000002</v>
      </c>
      <c r="D174" s="16">
        <v>2604.2138500000001</v>
      </c>
      <c r="E174" s="16">
        <v>1</v>
      </c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</row>
    <row r="175" spans="1:33">
      <c r="A175" s="60">
        <v>1285748000</v>
      </c>
      <c r="B175" s="16">
        <v>76991.690916666674</v>
      </c>
      <c r="C175" s="16">
        <v>3676.5372000000002</v>
      </c>
      <c r="D175" s="16">
        <v>2604.2138500000001</v>
      </c>
      <c r="E175" s="16">
        <v>1</v>
      </c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</row>
    <row r="176" spans="1:33">
      <c r="A176" s="61" t="s">
        <v>172</v>
      </c>
      <c r="B176" s="16">
        <v>76991.690916666674</v>
      </c>
      <c r="C176" s="16">
        <v>3676.5372000000002</v>
      </c>
      <c r="D176" s="16">
        <v>2604.2138500000001</v>
      </c>
      <c r="E176" s="16">
        <v>1</v>
      </c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</row>
    <row r="177" spans="1:33">
      <c r="A177" s="59" t="s">
        <v>233</v>
      </c>
      <c r="B177" s="16">
        <v>160952.05883333331</v>
      </c>
      <c r="C177" s="16">
        <v>8174.4288000000006</v>
      </c>
      <c r="D177" s="16">
        <v>5790.2204000000011</v>
      </c>
      <c r="E177" s="16">
        <v>1</v>
      </c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</row>
    <row r="178" spans="1:33">
      <c r="A178" s="60">
        <v>1324063080</v>
      </c>
      <c r="B178" s="16">
        <v>160952.05883333331</v>
      </c>
      <c r="C178" s="16">
        <v>8174.4288000000006</v>
      </c>
      <c r="D178" s="16">
        <v>5790.2204000000011</v>
      </c>
      <c r="E178" s="16">
        <v>1</v>
      </c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</row>
    <row r="179" spans="1:33">
      <c r="A179" s="61" t="s">
        <v>169</v>
      </c>
      <c r="B179" s="16">
        <v>160952.05883333331</v>
      </c>
      <c r="C179" s="16">
        <v>8174.4288000000006</v>
      </c>
      <c r="D179" s="16">
        <v>5790.2204000000011</v>
      </c>
      <c r="E179" s="16">
        <v>1</v>
      </c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</row>
    <row r="180" spans="1:33">
      <c r="A180" s="59" t="s">
        <v>228</v>
      </c>
      <c r="B180" s="16">
        <v>359205.86283333338</v>
      </c>
      <c r="C180" s="16">
        <v>18089.345999999998</v>
      </c>
      <c r="D180" s="16">
        <v>12813.286749999999</v>
      </c>
      <c r="E180" s="16">
        <v>2</v>
      </c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</row>
    <row r="181" spans="1:33">
      <c r="A181" s="60">
        <v>1237462775</v>
      </c>
      <c r="B181" s="16">
        <v>148917.21433333337</v>
      </c>
      <c r="C181" s="16">
        <v>7235.7383999999993</v>
      </c>
      <c r="D181" s="16">
        <v>5125.3146999999999</v>
      </c>
      <c r="E181" s="16">
        <v>1</v>
      </c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</row>
    <row r="182" spans="1:33">
      <c r="A182" s="61" t="s">
        <v>171</v>
      </c>
      <c r="B182" s="16">
        <v>148917.21433333337</v>
      </c>
      <c r="C182" s="16">
        <v>7235.7383999999993</v>
      </c>
      <c r="D182" s="16">
        <v>5125.3146999999999</v>
      </c>
      <c r="E182" s="16">
        <v>1</v>
      </c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</row>
    <row r="183" spans="1:33">
      <c r="A183" s="60">
        <v>1311966071</v>
      </c>
      <c r="B183" s="16">
        <v>210288.64850000001</v>
      </c>
      <c r="C183" s="16">
        <v>10853.607599999999</v>
      </c>
      <c r="D183" s="16">
        <v>7687.9720500000003</v>
      </c>
      <c r="E183" s="16">
        <v>1</v>
      </c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</row>
    <row r="184" spans="1:33">
      <c r="A184" s="61" t="s">
        <v>40</v>
      </c>
      <c r="B184" s="16">
        <v>210288.64850000001</v>
      </c>
      <c r="C184" s="16">
        <v>10853.607599999999</v>
      </c>
      <c r="D184" s="16">
        <v>7687.9720500000003</v>
      </c>
      <c r="E184" s="16">
        <v>1</v>
      </c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</row>
    <row r="185" spans="1:33">
      <c r="A185" s="59" t="s">
        <v>229</v>
      </c>
      <c r="B185" s="16">
        <v>502566.02955000004</v>
      </c>
      <c r="C185" s="16">
        <v>25227.303599999999</v>
      </c>
      <c r="D185" s="16">
        <v>17869.340049999999</v>
      </c>
      <c r="E185" s="16">
        <v>2</v>
      </c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</row>
    <row r="186" spans="1:33">
      <c r="A186" s="60">
        <v>1315211554</v>
      </c>
      <c r="B186" s="16">
        <v>221655.59925000003</v>
      </c>
      <c r="C186" s="16">
        <v>11440.2888</v>
      </c>
      <c r="D186" s="16">
        <v>8103.5379000000012</v>
      </c>
      <c r="E186" s="16">
        <v>1</v>
      </c>
      <c r="F186" s="14"/>
      <c r="G186" s="14"/>
      <c r="H186" s="14"/>
      <c r="I186" s="14"/>
      <c r="J186" s="14"/>
      <c r="K186" s="14"/>
      <c r="L186" s="14"/>
      <c r="M186" s="14"/>
    </row>
    <row r="187" spans="1:33">
      <c r="A187" s="61" t="s">
        <v>166</v>
      </c>
      <c r="B187" s="16">
        <v>221655.59925000003</v>
      </c>
      <c r="C187" s="16">
        <v>11440.2888</v>
      </c>
      <c r="D187" s="16">
        <v>8103.5379000000012</v>
      </c>
      <c r="E187" s="16">
        <v>1</v>
      </c>
      <c r="F187" s="14"/>
      <c r="G187" s="14"/>
      <c r="H187" s="14"/>
      <c r="I187" s="14"/>
      <c r="J187" s="14"/>
      <c r="K187" s="14"/>
      <c r="L187" s="14"/>
      <c r="M187" s="14"/>
    </row>
    <row r="188" spans="1:33">
      <c r="A188" s="60">
        <v>1321648522</v>
      </c>
      <c r="B188" s="16">
        <v>280910.43030000001</v>
      </c>
      <c r="C188" s="16">
        <v>13787.014799999999</v>
      </c>
      <c r="D188" s="16">
        <v>9765.8021499999995</v>
      </c>
      <c r="E188" s="16">
        <v>1</v>
      </c>
      <c r="F188" s="14"/>
      <c r="G188" s="14"/>
      <c r="H188" s="14"/>
      <c r="I188" s="14"/>
      <c r="J188" s="14"/>
      <c r="K188" s="14"/>
      <c r="L188" s="14"/>
      <c r="M188" s="14"/>
    </row>
    <row r="189" spans="1:33">
      <c r="A189" s="61" t="s">
        <v>164</v>
      </c>
      <c r="B189" s="16">
        <v>280910.43030000001</v>
      </c>
      <c r="C189" s="16">
        <v>13787.014799999999</v>
      </c>
      <c r="D189" s="16">
        <v>9765.8021499999995</v>
      </c>
      <c r="E189" s="16">
        <v>1</v>
      </c>
      <c r="F189" s="14"/>
      <c r="G189" s="14"/>
      <c r="H189" s="14"/>
      <c r="I189" s="14"/>
      <c r="J189" s="14"/>
      <c r="K189" s="14"/>
      <c r="L189" s="14"/>
      <c r="M189" s="14"/>
    </row>
    <row r="190" spans="1:33">
      <c r="A190" s="59" t="s">
        <v>884</v>
      </c>
      <c r="B190" s="16">
        <v>2375265.217383333</v>
      </c>
      <c r="C190" s="16">
        <v>119937.25199999999</v>
      </c>
      <c r="D190" s="16">
        <v>84955.553500000009</v>
      </c>
      <c r="E190" s="16">
        <v>11</v>
      </c>
      <c r="F190" s="14"/>
      <c r="G190" s="14"/>
      <c r="H190" s="14"/>
      <c r="I190" s="14"/>
      <c r="J190" s="14"/>
      <c r="K190" s="14"/>
      <c r="L190" s="14"/>
      <c r="M190" s="14"/>
    </row>
    <row r="191" spans="1:33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</row>
    <row r="192" spans="1:33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</row>
    <row r="193" spans="1:12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</row>
    <row r="194" spans="1:12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</row>
    <row r="195" spans="1:12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</row>
    <row r="196" spans="1:12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</row>
    <row r="197" spans="1:12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</row>
    <row r="198" spans="1:12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</row>
    <row r="199" spans="1:12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</row>
    <row r="200" spans="1:12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</row>
    <row r="201" spans="1:12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</row>
  </sheetData>
  <sheetProtection algorithmName="SHA-512" hashValue="YvS9vMPpCMR9ryw3KnqVJUEcrXB5r57NOGH1JmynV8UxSCznThyGVJ/aB6sTay1Cpt9yZoBELT2XHrF8rTO7MQ==" saltValue="0siKsJGT0vwJfbJfDWlEIQ==" spinCount="100000" sheet="1" objects="1" scenarios="1" formatCells="0" formatColumns="0" formatRows="0" insertColumns="0" insertRows="0" insertHyperlinks="0" deleteColumns="0" deleteRows="0" selectLockedCells="1" sort="0" autoFilter="0" pivotTables="0"/>
  <sortState ref="B4:T13">
    <sortCondition ref="F4:F13" customList="VIGENTE,NO VIGENTE"/>
  </sortState>
  <dataConsolidate/>
  <mergeCells count="27">
    <mergeCell ref="M165:N165"/>
    <mergeCell ref="F161:G161"/>
    <mergeCell ref="F162:G162"/>
    <mergeCell ref="F163:G163"/>
    <mergeCell ref="F164:G164"/>
    <mergeCell ref="M162:N162"/>
    <mergeCell ref="M163:N163"/>
    <mergeCell ref="M164:N164"/>
    <mergeCell ref="AL1:AP1"/>
    <mergeCell ref="AL2:AO2"/>
    <mergeCell ref="W1:X1"/>
    <mergeCell ref="J1:K1"/>
    <mergeCell ref="R1:S1"/>
    <mergeCell ref="Y1:AC1"/>
    <mergeCell ref="AD1:AK1"/>
    <mergeCell ref="AL3:AO3"/>
    <mergeCell ref="AL4:AO4"/>
    <mergeCell ref="AL5:AO5"/>
    <mergeCell ref="AL6:AO6"/>
    <mergeCell ref="AL7:AO7"/>
    <mergeCell ref="AL13:AO13"/>
    <mergeCell ref="AL14:AO14"/>
    <mergeCell ref="AL8:AO8"/>
    <mergeCell ref="AL9:AO9"/>
    <mergeCell ref="AL10:AO10"/>
    <mergeCell ref="AL11:AO11"/>
    <mergeCell ref="AL12:AO12"/>
  </mergeCells>
  <dataValidations count="1">
    <dataValidation type="list" allowBlank="1" showInputMessage="1" showErrorMessage="1" sqref="Q3:Q13">
      <formula1>$AP$3:$AP$14</formula1>
    </dataValidation>
  </dataValidations>
  <pageMargins left="0.7" right="0.7" top="0.75" bottom="0.75" header="0.3" footer="0.3"/>
  <pageSetup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" id="{C683439C-63B0-42E0-9FA3-11C16619B73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F3:F13</xm:sqref>
        </x14:conditionalFormatting>
        <x14:conditionalFormatting xmlns:xm="http://schemas.microsoft.com/office/excel/2006/main">
          <x14:cfRule type="iconSet" priority="11" id="{5DA4FFB2-568B-4AE4-92E1-8332B8A0B33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F16:F26</xm:sqref>
        </x14:conditionalFormatting>
        <x14:conditionalFormatting xmlns:xm="http://schemas.microsoft.com/office/excel/2006/main">
          <x14:cfRule type="iconSet" priority="10" id="{FB618F28-2826-4784-9782-AB4AFBF3759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F29:F39</xm:sqref>
        </x14:conditionalFormatting>
        <x14:conditionalFormatting xmlns:xm="http://schemas.microsoft.com/office/excel/2006/main">
          <x14:cfRule type="iconSet" priority="9" id="{3E05CB6A-BFB9-431B-BA97-C0853F9B8BD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F42:F52</xm:sqref>
        </x14:conditionalFormatting>
        <x14:conditionalFormatting xmlns:xm="http://schemas.microsoft.com/office/excel/2006/main">
          <x14:cfRule type="iconSet" priority="8" id="{8A7FECA9-8E4B-4993-B213-2661BCE2E98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F55:F65</xm:sqref>
        </x14:conditionalFormatting>
        <x14:conditionalFormatting xmlns:xm="http://schemas.microsoft.com/office/excel/2006/main">
          <x14:cfRule type="iconSet" priority="7" id="{BE037004-0860-4D1A-B42A-37CBD15ED5D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F68:F78</xm:sqref>
        </x14:conditionalFormatting>
        <x14:conditionalFormatting xmlns:xm="http://schemas.microsoft.com/office/excel/2006/main">
          <x14:cfRule type="iconSet" priority="6" id="{DF2B1469-3FAE-4FC5-A193-078F9406370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F81:F91</xm:sqref>
        </x14:conditionalFormatting>
        <x14:conditionalFormatting xmlns:xm="http://schemas.microsoft.com/office/excel/2006/main">
          <x14:cfRule type="iconSet" priority="5" id="{572A51CF-AE11-4220-8275-68BB79C5054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F94:F104</xm:sqref>
        </x14:conditionalFormatting>
        <x14:conditionalFormatting xmlns:xm="http://schemas.microsoft.com/office/excel/2006/main">
          <x14:cfRule type="iconSet" priority="4" id="{520FABED-E076-488C-9C81-86D595F3150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F107:F117</xm:sqref>
        </x14:conditionalFormatting>
        <x14:conditionalFormatting xmlns:xm="http://schemas.microsoft.com/office/excel/2006/main">
          <x14:cfRule type="iconSet" priority="3" id="{9AFD5196-E339-4F86-94E7-AFC6ADFCCE0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F120:F130</xm:sqref>
        </x14:conditionalFormatting>
        <x14:conditionalFormatting xmlns:xm="http://schemas.microsoft.com/office/excel/2006/main">
          <x14:cfRule type="iconSet" priority="2" id="{0389E53B-4E8E-4C6D-9565-182EC6F4D14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F133:F143</xm:sqref>
        </x14:conditionalFormatting>
        <x14:conditionalFormatting xmlns:xm="http://schemas.microsoft.com/office/excel/2006/main">
          <x14:cfRule type="iconSet" priority="1" id="{8F2E2C9C-898C-4BC1-A6DC-3E15D19C178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1"/>
              <x14:cfIcon iconSet="3Symbols" iconId="0"/>
              <x14:cfIcon iconSet="3Symbols" iconId="2"/>
            </x14:iconSet>
          </x14:cfRule>
          <xm:sqref>F146:F156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CC0099"/>
  </sheetPr>
  <dimension ref="T11:U14"/>
  <sheetViews>
    <sheetView showGridLines="0" zoomScale="80" zoomScaleNormal="80" workbookViewId="0">
      <selection activeCell="P1" sqref="P1"/>
    </sheetView>
  </sheetViews>
  <sheetFormatPr baseColWidth="10" defaultRowHeight="16.5"/>
  <cols>
    <col min="1" max="16384" width="11" style="14"/>
  </cols>
  <sheetData>
    <row r="11" spans="20:21">
      <c r="T11" s="669" t="s">
        <v>18</v>
      </c>
      <c r="U11" s="669"/>
    </row>
    <row r="12" spans="20:21">
      <c r="T12" s="670" t="s">
        <v>17</v>
      </c>
      <c r="U12" s="670"/>
    </row>
    <row r="13" spans="20:21">
      <c r="T13" s="670" t="s">
        <v>1029</v>
      </c>
      <c r="U13" s="670"/>
    </row>
    <row r="14" spans="20:21">
      <c r="T14" s="670" t="s">
        <v>1030</v>
      </c>
      <c r="U14" s="670"/>
    </row>
  </sheetData>
  <sheetProtection algorithmName="SHA-512" hashValue="DURLB+KWhjZWQ8zLS8MCjSv1KGGvHd/M9EmIXPQbwFbdnEqYc7a7gALbtmTl4PskKWCx2pBiXfoioTIYXfs3Sg==" saltValue="TeVDVuaeTctgH1BJ5NeKLg==" spinCount="100000" sheet="1" formatCells="0" formatColumns="0" formatRows="0" insertColumns="0" insertRows="0" insertHyperlinks="0" deleteColumns="0" deleteRows="0" selectLockedCells="1" sort="0" autoFilter="0" pivotTables="0"/>
  <mergeCells count="4">
    <mergeCell ref="T11:U11"/>
    <mergeCell ref="T12:U12"/>
    <mergeCell ref="T13:U13"/>
    <mergeCell ref="T14:U14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CC0099"/>
  </sheetPr>
  <dimension ref="A1:Z200"/>
  <sheetViews>
    <sheetView tabSelected="1" topLeftCell="G1" zoomScale="85" zoomScaleNormal="85" workbookViewId="0">
      <selection activeCell="K9" sqref="K9"/>
    </sheetView>
  </sheetViews>
  <sheetFormatPr baseColWidth="10" defaultRowHeight="16.5"/>
  <cols>
    <col min="1" max="1" width="26" style="540" customWidth="1"/>
    <col min="2" max="2" width="14.125" style="600" customWidth="1"/>
    <col min="3" max="6" width="12.75" style="600" bestFit="1" customWidth="1"/>
    <col min="7" max="7" width="12.25" style="600" customWidth="1"/>
    <col min="8" max="8" width="15" style="600" customWidth="1"/>
    <col min="9" max="9" width="9.625" style="600" customWidth="1"/>
    <col min="10" max="10" width="12.5" style="600" customWidth="1"/>
    <col min="11" max="11" width="12.625" style="600" customWidth="1"/>
    <col min="12" max="12" width="12.75" style="600" customWidth="1"/>
    <col min="13" max="13" width="16.875" style="600" customWidth="1"/>
    <col min="14" max="14" width="16" style="600" customWidth="1"/>
    <col min="15" max="15" width="16.375" style="600" customWidth="1"/>
    <col min="16" max="16" width="19.25" style="600" customWidth="1"/>
    <col min="17" max="17" width="12.75" style="600" bestFit="1" customWidth="1"/>
    <col min="18" max="19" width="11" style="600"/>
    <col min="20" max="20" width="15.25" style="600" customWidth="1"/>
    <col min="21" max="21" width="12.75" style="600" bestFit="1" customWidth="1"/>
    <col min="22" max="22" width="21.5" style="600" customWidth="1"/>
    <col min="23" max="23" width="18.625" style="600" customWidth="1"/>
    <col min="24" max="256" width="11" style="600"/>
    <col min="257" max="257" width="26" style="600" customWidth="1"/>
    <col min="258" max="258" width="10.75" style="600" customWidth="1"/>
    <col min="259" max="259" width="6.875" style="600" bestFit="1" customWidth="1"/>
    <col min="260" max="261" width="8" style="600" bestFit="1" customWidth="1"/>
    <col min="262" max="262" width="5.375" style="600" bestFit="1" customWidth="1"/>
    <col min="263" max="263" width="11.875" style="600" customWidth="1"/>
    <col min="264" max="264" width="10" style="600" customWidth="1"/>
    <col min="265" max="265" width="9.625" style="600" customWidth="1"/>
    <col min="266" max="266" width="12.5" style="600" customWidth="1"/>
    <col min="267" max="267" width="11.5" style="600" bestFit="1" customWidth="1"/>
    <col min="268" max="268" width="23.125" style="600" bestFit="1" customWidth="1"/>
    <col min="269" max="512" width="11" style="600"/>
    <col min="513" max="513" width="26" style="600" customWidth="1"/>
    <col min="514" max="514" width="10.75" style="600" customWidth="1"/>
    <col min="515" max="515" width="6.875" style="600" bestFit="1" customWidth="1"/>
    <col min="516" max="517" width="8" style="600" bestFit="1" customWidth="1"/>
    <col min="518" max="518" width="5.375" style="600" bestFit="1" customWidth="1"/>
    <col min="519" max="519" width="11.875" style="600" customWidth="1"/>
    <col min="520" max="520" width="10" style="600" customWidth="1"/>
    <col min="521" max="521" width="9.625" style="600" customWidth="1"/>
    <col min="522" max="522" width="12.5" style="600" customWidth="1"/>
    <col min="523" max="523" width="11.5" style="600" bestFit="1" customWidth="1"/>
    <col min="524" max="524" width="23.125" style="600" bestFit="1" customWidth="1"/>
    <col min="525" max="768" width="11" style="600"/>
    <col min="769" max="769" width="26" style="600" customWidth="1"/>
    <col min="770" max="770" width="10.75" style="600" customWidth="1"/>
    <col min="771" max="771" width="6.875" style="600" bestFit="1" customWidth="1"/>
    <col min="772" max="773" width="8" style="600" bestFit="1" customWidth="1"/>
    <col min="774" max="774" width="5.375" style="600" bestFit="1" customWidth="1"/>
    <col min="775" max="775" width="11.875" style="600" customWidth="1"/>
    <col min="776" max="776" width="10" style="600" customWidth="1"/>
    <col min="777" max="777" width="9.625" style="600" customWidth="1"/>
    <col min="778" max="778" width="12.5" style="600" customWidth="1"/>
    <col min="779" max="779" width="11.5" style="600" bestFit="1" customWidth="1"/>
    <col min="780" max="780" width="23.125" style="600" bestFit="1" customWidth="1"/>
    <col min="781" max="1024" width="11" style="600"/>
    <col min="1025" max="1025" width="26" style="600" customWidth="1"/>
    <col min="1026" max="1026" width="10.75" style="600" customWidth="1"/>
    <col min="1027" max="1027" width="6.875" style="600" bestFit="1" customWidth="1"/>
    <col min="1028" max="1029" width="8" style="600" bestFit="1" customWidth="1"/>
    <col min="1030" max="1030" width="5.375" style="600" bestFit="1" customWidth="1"/>
    <col min="1031" max="1031" width="11.875" style="600" customWidth="1"/>
    <col min="1032" max="1032" width="10" style="600" customWidth="1"/>
    <col min="1033" max="1033" width="9.625" style="600" customWidth="1"/>
    <col min="1034" max="1034" width="12.5" style="600" customWidth="1"/>
    <col min="1035" max="1035" width="11.5" style="600" bestFit="1" customWidth="1"/>
    <col min="1036" max="1036" width="23.125" style="600" bestFit="1" customWidth="1"/>
    <col min="1037" max="1280" width="11" style="600"/>
    <col min="1281" max="1281" width="26" style="600" customWidth="1"/>
    <col min="1282" max="1282" width="10.75" style="600" customWidth="1"/>
    <col min="1283" max="1283" width="6.875" style="600" bestFit="1" customWidth="1"/>
    <col min="1284" max="1285" width="8" style="600" bestFit="1" customWidth="1"/>
    <col min="1286" max="1286" width="5.375" style="600" bestFit="1" customWidth="1"/>
    <col min="1287" max="1287" width="11.875" style="600" customWidth="1"/>
    <col min="1288" max="1288" width="10" style="600" customWidth="1"/>
    <col min="1289" max="1289" width="9.625" style="600" customWidth="1"/>
    <col min="1290" max="1290" width="12.5" style="600" customWidth="1"/>
    <col min="1291" max="1291" width="11.5" style="600" bestFit="1" customWidth="1"/>
    <col min="1292" max="1292" width="23.125" style="600" bestFit="1" customWidth="1"/>
    <col min="1293" max="1536" width="11" style="600"/>
    <col min="1537" max="1537" width="26" style="600" customWidth="1"/>
    <col min="1538" max="1538" width="10.75" style="600" customWidth="1"/>
    <col min="1539" max="1539" width="6.875" style="600" bestFit="1" customWidth="1"/>
    <col min="1540" max="1541" width="8" style="600" bestFit="1" customWidth="1"/>
    <col min="1542" max="1542" width="5.375" style="600" bestFit="1" customWidth="1"/>
    <col min="1543" max="1543" width="11.875" style="600" customWidth="1"/>
    <col min="1544" max="1544" width="10" style="600" customWidth="1"/>
    <col min="1545" max="1545" width="9.625" style="600" customWidth="1"/>
    <col min="1546" max="1546" width="12.5" style="600" customWidth="1"/>
    <col min="1547" max="1547" width="11.5" style="600" bestFit="1" customWidth="1"/>
    <col min="1548" max="1548" width="23.125" style="600" bestFit="1" customWidth="1"/>
    <col min="1549" max="1792" width="11" style="600"/>
    <col min="1793" max="1793" width="26" style="600" customWidth="1"/>
    <col min="1794" max="1794" width="10.75" style="600" customWidth="1"/>
    <col min="1795" max="1795" width="6.875" style="600" bestFit="1" customWidth="1"/>
    <col min="1796" max="1797" width="8" style="600" bestFit="1" customWidth="1"/>
    <col min="1798" max="1798" width="5.375" style="600" bestFit="1" customWidth="1"/>
    <col min="1799" max="1799" width="11.875" style="600" customWidth="1"/>
    <col min="1800" max="1800" width="10" style="600" customWidth="1"/>
    <col min="1801" max="1801" width="9.625" style="600" customWidth="1"/>
    <col min="1802" max="1802" width="12.5" style="600" customWidth="1"/>
    <col min="1803" max="1803" width="11.5" style="600" bestFit="1" customWidth="1"/>
    <col min="1804" max="1804" width="23.125" style="600" bestFit="1" customWidth="1"/>
    <col min="1805" max="2048" width="11" style="600"/>
    <col min="2049" max="2049" width="26" style="600" customWidth="1"/>
    <col min="2050" max="2050" width="10.75" style="600" customWidth="1"/>
    <col min="2051" max="2051" width="6.875" style="600" bestFit="1" customWidth="1"/>
    <col min="2052" max="2053" width="8" style="600" bestFit="1" customWidth="1"/>
    <col min="2054" max="2054" width="5.375" style="600" bestFit="1" customWidth="1"/>
    <col min="2055" max="2055" width="11.875" style="600" customWidth="1"/>
    <col min="2056" max="2056" width="10" style="600" customWidth="1"/>
    <col min="2057" max="2057" width="9.625" style="600" customWidth="1"/>
    <col min="2058" max="2058" width="12.5" style="600" customWidth="1"/>
    <col min="2059" max="2059" width="11.5" style="600" bestFit="1" customWidth="1"/>
    <col min="2060" max="2060" width="23.125" style="600" bestFit="1" customWidth="1"/>
    <col min="2061" max="2304" width="11" style="600"/>
    <col min="2305" max="2305" width="26" style="600" customWidth="1"/>
    <col min="2306" max="2306" width="10.75" style="600" customWidth="1"/>
    <col min="2307" max="2307" width="6.875" style="600" bestFit="1" customWidth="1"/>
    <col min="2308" max="2309" width="8" style="600" bestFit="1" customWidth="1"/>
    <col min="2310" max="2310" width="5.375" style="600" bestFit="1" customWidth="1"/>
    <col min="2311" max="2311" width="11.875" style="600" customWidth="1"/>
    <col min="2312" max="2312" width="10" style="600" customWidth="1"/>
    <col min="2313" max="2313" width="9.625" style="600" customWidth="1"/>
    <col min="2314" max="2314" width="12.5" style="600" customWidth="1"/>
    <col min="2315" max="2315" width="11.5" style="600" bestFit="1" customWidth="1"/>
    <col min="2316" max="2316" width="23.125" style="600" bestFit="1" customWidth="1"/>
    <col min="2317" max="2560" width="11" style="600"/>
    <col min="2561" max="2561" width="26" style="600" customWidth="1"/>
    <col min="2562" max="2562" width="10.75" style="600" customWidth="1"/>
    <col min="2563" max="2563" width="6.875" style="600" bestFit="1" customWidth="1"/>
    <col min="2564" max="2565" width="8" style="600" bestFit="1" customWidth="1"/>
    <col min="2566" max="2566" width="5.375" style="600" bestFit="1" customWidth="1"/>
    <col min="2567" max="2567" width="11.875" style="600" customWidth="1"/>
    <col min="2568" max="2568" width="10" style="600" customWidth="1"/>
    <col min="2569" max="2569" width="9.625" style="600" customWidth="1"/>
    <col min="2570" max="2570" width="12.5" style="600" customWidth="1"/>
    <col min="2571" max="2571" width="11.5" style="600" bestFit="1" customWidth="1"/>
    <col min="2572" max="2572" width="23.125" style="600" bestFit="1" customWidth="1"/>
    <col min="2573" max="2816" width="11" style="600"/>
    <col min="2817" max="2817" width="26" style="600" customWidth="1"/>
    <col min="2818" max="2818" width="10.75" style="600" customWidth="1"/>
    <col min="2819" max="2819" width="6.875" style="600" bestFit="1" customWidth="1"/>
    <col min="2820" max="2821" width="8" style="600" bestFit="1" customWidth="1"/>
    <col min="2822" max="2822" width="5.375" style="600" bestFit="1" customWidth="1"/>
    <col min="2823" max="2823" width="11.875" style="600" customWidth="1"/>
    <col min="2824" max="2824" width="10" style="600" customWidth="1"/>
    <col min="2825" max="2825" width="9.625" style="600" customWidth="1"/>
    <col min="2826" max="2826" width="12.5" style="600" customWidth="1"/>
    <col min="2827" max="2827" width="11.5" style="600" bestFit="1" customWidth="1"/>
    <col min="2828" max="2828" width="23.125" style="600" bestFit="1" customWidth="1"/>
    <col min="2829" max="3072" width="11" style="600"/>
    <col min="3073" max="3073" width="26" style="600" customWidth="1"/>
    <col min="3074" max="3074" width="10.75" style="600" customWidth="1"/>
    <col min="3075" max="3075" width="6.875" style="600" bestFit="1" customWidth="1"/>
    <col min="3076" max="3077" width="8" style="600" bestFit="1" customWidth="1"/>
    <col min="3078" max="3078" width="5.375" style="600" bestFit="1" customWidth="1"/>
    <col min="3079" max="3079" width="11.875" style="600" customWidth="1"/>
    <col min="3080" max="3080" width="10" style="600" customWidth="1"/>
    <col min="3081" max="3081" width="9.625" style="600" customWidth="1"/>
    <col min="3082" max="3082" width="12.5" style="600" customWidth="1"/>
    <col min="3083" max="3083" width="11.5" style="600" bestFit="1" customWidth="1"/>
    <col min="3084" max="3084" width="23.125" style="600" bestFit="1" customWidth="1"/>
    <col min="3085" max="3328" width="11" style="600"/>
    <col min="3329" max="3329" width="26" style="600" customWidth="1"/>
    <col min="3330" max="3330" width="10.75" style="600" customWidth="1"/>
    <col min="3331" max="3331" width="6.875" style="600" bestFit="1" customWidth="1"/>
    <col min="3332" max="3333" width="8" style="600" bestFit="1" customWidth="1"/>
    <col min="3334" max="3334" width="5.375" style="600" bestFit="1" customWidth="1"/>
    <col min="3335" max="3335" width="11.875" style="600" customWidth="1"/>
    <col min="3336" max="3336" width="10" style="600" customWidth="1"/>
    <col min="3337" max="3337" width="9.625" style="600" customWidth="1"/>
    <col min="3338" max="3338" width="12.5" style="600" customWidth="1"/>
    <col min="3339" max="3339" width="11.5" style="600" bestFit="1" customWidth="1"/>
    <col min="3340" max="3340" width="23.125" style="600" bestFit="1" customWidth="1"/>
    <col min="3341" max="3584" width="11" style="600"/>
    <col min="3585" max="3585" width="26" style="600" customWidth="1"/>
    <col min="3586" max="3586" width="10.75" style="600" customWidth="1"/>
    <col min="3587" max="3587" width="6.875" style="600" bestFit="1" customWidth="1"/>
    <col min="3588" max="3589" width="8" style="600" bestFit="1" customWidth="1"/>
    <col min="3590" max="3590" width="5.375" style="600" bestFit="1" customWidth="1"/>
    <col min="3591" max="3591" width="11.875" style="600" customWidth="1"/>
    <col min="3592" max="3592" width="10" style="600" customWidth="1"/>
    <col min="3593" max="3593" width="9.625" style="600" customWidth="1"/>
    <col min="3594" max="3594" width="12.5" style="600" customWidth="1"/>
    <col min="3595" max="3595" width="11.5" style="600" bestFit="1" customWidth="1"/>
    <col min="3596" max="3596" width="23.125" style="600" bestFit="1" customWidth="1"/>
    <col min="3597" max="3840" width="11" style="600"/>
    <col min="3841" max="3841" width="26" style="600" customWidth="1"/>
    <col min="3842" max="3842" width="10.75" style="600" customWidth="1"/>
    <col min="3843" max="3843" width="6.875" style="600" bestFit="1" customWidth="1"/>
    <col min="3844" max="3845" width="8" style="600" bestFit="1" customWidth="1"/>
    <col min="3846" max="3846" width="5.375" style="600" bestFit="1" customWidth="1"/>
    <col min="3847" max="3847" width="11.875" style="600" customWidth="1"/>
    <col min="3848" max="3848" width="10" style="600" customWidth="1"/>
    <col min="3849" max="3849" width="9.625" style="600" customWidth="1"/>
    <col min="3850" max="3850" width="12.5" style="600" customWidth="1"/>
    <col min="3851" max="3851" width="11.5" style="600" bestFit="1" customWidth="1"/>
    <col min="3852" max="3852" width="23.125" style="600" bestFit="1" customWidth="1"/>
    <col min="3853" max="4096" width="11" style="600"/>
    <col min="4097" max="4097" width="26" style="600" customWidth="1"/>
    <col min="4098" max="4098" width="10.75" style="600" customWidth="1"/>
    <col min="4099" max="4099" width="6.875" style="600" bestFit="1" customWidth="1"/>
    <col min="4100" max="4101" width="8" style="600" bestFit="1" customWidth="1"/>
    <col min="4102" max="4102" width="5.375" style="600" bestFit="1" customWidth="1"/>
    <col min="4103" max="4103" width="11.875" style="600" customWidth="1"/>
    <col min="4104" max="4104" width="10" style="600" customWidth="1"/>
    <col min="4105" max="4105" width="9.625" style="600" customWidth="1"/>
    <col min="4106" max="4106" width="12.5" style="600" customWidth="1"/>
    <col min="4107" max="4107" width="11.5" style="600" bestFit="1" customWidth="1"/>
    <col min="4108" max="4108" width="23.125" style="600" bestFit="1" customWidth="1"/>
    <col min="4109" max="4352" width="11" style="600"/>
    <col min="4353" max="4353" width="26" style="600" customWidth="1"/>
    <col min="4354" max="4354" width="10.75" style="600" customWidth="1"/>
    <col min="4355" max="4355" width="6.875" style="600" bestFit="1" customWidth="1"/>
    <col min="4356" max="4357" width="8" style="600" bestFit="1" customWidth="1"/>
    <col min="4358" max="4358" width="5.375" style="600" bestFit="1" customWidth="1"/>
    <col min="4359" max="4359" width="11.875" style="600" customWidth="1"/>
    <col min="4360" max="4360" width="10" style="600" customWidth="1"/>
    <col min="4361" max="4361" width="9.625" style="600" customWidth="1"/>
    <col min="4362" max="4362" width="12.5" style="600" customWidth="1"/>
    <col min="4363" max="4363" width="11.5" style="600" bestFit="1" customWidth="1"/>
    <col min="4364" max="4364" width="23.125" style="600" bestFit="1" customWidth="1"/>
    <col min="4365" max="4608" width="11" style="600"/>
    <col min="4609" max="4609" width="26" style="600" customWidth="1"/>
    <col min="4610" max="4610" width="10.75" style="600" customWidth="1"/>
    <col min="4611" max="4611" width="6.875" style="600" bestFit="1" customWidth="1"/>
    <col min="4612" max="4613" width="8" style="600" bestFit="1" customWidth="1"/>
    <col min="4614" max="4614" width="5.375" style="600" bestFit="1" customWidth="1"/>
    <col min="4615" max="4615" width="11.875" style="600" customWidth="1"/>
    <col min="4616" max="4616" width="10" style="600" customWidth="1"/>
    <col min="4617" max="4617" width="9.625" style="600" customWidth="1"/>
    <col min="4618" max="4618" width="12.5" style="600" customWidth="1"/>
    <col min="4619" max="4619" width="11.5" style="600" bestFit="1" customWidth="1"/>
    <col min="4620" max="4620" width="23.125" style="600" bestFit="1" customWidth="1"/>
    <col min="4621" max="4864" width="11" style="600"/>
    <col min="4865" max="4865" width="26" style="600" customWidth="1"/>
    <col min="4866" max="4866" width="10.75" style="600" customWidth="1"/>
    <col min="4867" max="4867" width="6.875" style="600" bestFit="1" customWidth="1"/>
    <col min="4868" max="4869" width="8" style="600" bestFit="1" customWidth="1"/>
    <col min="4870" max="4870" width="5.375" style="600" bestFit="1" customWidth="1"/>
    <col min="4871" max="4871" width="11.875" style="600" customWidth="1"/>
    <col min="4872" max="4872" width="10" style="600" customWidth="1"/>
    <col min="4873" max="4873" width="9.625" style="600" customWidth="1"/>
    <col min="4874" max="4874" width="12.5" style="600" customWidth="1"/>
    <col min="4875" max="4875" width="11.5" style="600" bestFit="1" customWidth="1"/>
    <col min="4876" max="4876" width="23.125" style="600" bestFit="1" customWidth="1"/>
    <col min="4877" max="5120" width="11" style="600"/>
    <col min="5121" max="5121" width="26" style="600" customWidth="1"/>
    <col min="5122" max="5122" width="10.75" style="600" customWidth="1"/>
    <col min="5123" max="5123" width="6.875" style="600" bestFit="1" customWidth="1"/>
    <col min="5124" max="5125" width="8" style="600" bestFit="1" customWidth="1"/>
    <col min="5126" max="5126" width="5.375" style="600" bestFit="1" customWidth="1"/>
    <col min="5127" max="5127" width="11.875" style="600" customWidth="1"/>
    <col min="5128" max="5128" width="10" style="600" customWidth="1"/>
    <col min="5129" max="5129" width="9.625" style="600" customWidth="1"/>
    <col min="5130" max="5130" width="12.5" style="600" customWidth="1"/>
    <col min="5131" max="5131" width="11.5" style="600" bestFit="1" customWidth="1"/>
    <col min="5132" max="5132" width="23.125" style="600" bestFit="1" customWidth="1"/>
    <col min="5133" max="5376" width="11" style="600"/>
    <col min="5377" max="5377" width="26" style="600" customWidth="1"/>
    <col min="5378" max="5378" width="10.75" style="600" customWidth="1"/>
    <col min="5379" max="5379" width="6.875" style="600" bestFit="1" customWidth="1"/>
    <col min="5380" max="5381" width="8" style="600" bestFit="1" customWidth="1"/>
    <col min="5382" max="5382" width="5.375" style="600" bestFit="1" customWidth="1"/>
    <col min="5383" max="5383" width="11.875" style="600" customWidth="1"/>
    <col min="5384" max="5384" width="10" style="600" customWidth="1"/>
    <col min="5385" max="5385" width="9.625" style="600" customWidth="1"/>
    <col min="5386" max="5386" width="12.5" style="600" customWidth="1"/>
    <col min="5387" max="5387" width="11.5" style="600" bestFit="1" customWidth="1"/>
    <col min="5388" max="5388" width="23.125" style="600" bestFit="1" customWidth="1"/>
    <col min="5389" max="5632" width="11" style="600"/>
    <col min="5633" max="5633" width="26" style="600" customWidth="1"/>
    <col min="5634" max="5634" width="10.75" style="600" customWidth="1"/>
    <col min="5635" max="5635" width="6.875" style="600" bestFit="1" customWidth="1"/>
    <col min="5636" max="5637" width="8" style="600" bestFit="1" customWidth="1"/>
    <col min="5638" max="5638" width="5.375" style="600" bestFit="1" customWidth="1"/>
    <col min="5639" max="5639" width="11.875" style="600" customWidth="1"/>
    <col min="5640" max="5640" width="10" style="600" customWidth="1"/>
    <col min="5641" max="5641" width="9.625" style="600" customWidth="1"/>
    <col min="5642" max="5642" width="12.5" style="600" customWidth="1"/>
    <col min="5643" max="5643" width="11.5" style="600" bestFit="1" customWidth="1"/>
    <col min="5644" max="5644" width="23.125" style="600" bestFit="1" customWidth="1"/>
    <col min="5645" max="5888" width="11" style="600"/>
    <col min="5889" max="5889" width="26" style="600" customWidth="1"/>
    <col min="5890" max="5890" width="10.75" style="600" customWidth="1"/>
    <col min="5891" max="5891" width="6.875" style="600" bestFit="1" customWidth="1"/>
    <col min="5892" max="5893" width="8" style="600" bestFit="1" customWidth="1"/>
    <col min="5894" max="5894" width="5.375" style="600" bestFit="1" customWidth="1"/>
    <col min="5895" max="5895" width="11.875" style="600" customWidth="1"/>
    <col min="5896" max="5896" width="10" style="600" customWidth="1"/>
    <col min="5897" max="5897" width="9.625" style="600" customWidth="1"/>
    <col min="5898" max="5898" width="12.5" style="600" customWidth="1"/>
    <col min="5899" max="5899" width="11.5" style="600" bestFit="1" customWidth="1"/>
    <col min="5900" max="5900" width="23.125" style="600" bestFit="1" customWidth="1"/>
    <col min="5901" max="6144" width="11" style="600"/>
    <col min="6145" max="6145" width="26" style="600" customWidth="1"/>
    <col min="6146" max="6146" width="10.75" style="600" customWidth="1"/>
    <col min="6147" max="6147" width="6.875" style="600" bestFit="1" customWidth="1"/>
    <col min="6148" max="6149" width="8" style="600" bestFit="1" customWidth="1"/>
    <col min="6150" max="6150" width="5.375" style="600" bestFit="1" customWidth="1"/>
    <col min="6151" max="6151" width="11.875" style="600" customWidth="1"/>
    <col min="6152" max="6152" width="10" style="600" customWidth="1"/>
    <col min="6153" max="6153" width="9.625" style="600" customWidth="1"/>
    <col min="6154" max="6154" width="12.5" style="600" customWidth="1"/>
    <col min="6155" max="6155" width="11.5" style="600" bestFit="1" customWidth="1"/>
    <col min="6156" max="6156" width="23.125" style="600" bestFit="1" customWidth="1"/>
    <col min="6157" max="6400" width="11" style="600"/>
    <col min="6401" max="6401" width="26" style="600" customWidth="1"/>
    <col min="6402" max="6402" width="10.75" style="600" customWidth="1"/>
    <col min="6403" max="6403" width="6.875" style="600" bestFit="1" customWidth="1"/>
    <col min="6404" max="6405" width="8" style="600" bestFit="1" customWidth="1"/>
    <col min="6406" max="6406" width="5.375" style="600" bestFit="1" customWidth="1"/>
    <col min="6407" max="6407" width="11.875" style="600" customWidth="1"/>
    <col min="6408" max="6408" width="10" style="600" customWidth="1"/>
    <col min="6409" max="6409" width="9.625" style="600" customWidth="1"/>
    <col min="6410" max="6410" width="12.5" style="600" customWidth="1"/>
    <col min="6411" max="6411" width="11.5" style="600" bestFit="1" customWidth="1"/>
    <col min="6412" max="6412" width="23.125" style="600" bestFit="1" customWidth="1"/>
    <col min="6413" max="6656" width="11" style="600"/>
    <col min="6657" max="6657" width="26" style="600" customWidth="1"/>
    <col min="6658" max="6658" width="10.75" style="600" customWidth="1"/>
    <col min="6659" max="6659" width="6.875" style="600" bestFit="1" customWidth="1"/>
    <col min="6660" max="6661" width="8" style="600" bestFit="1" customWidth="1"/>
    <col min="6662" max="6662" width="5.375" style="600" bestFit="1" customWidth="1"/>
    <col min="6663" max="6663" width="11.875" style="600" customWidth="1"/>
    <col min="6664" max="6664" width="10" style="600" customWidth="1"/>
    <col min="6665" max="6665" width="9.625" style="600" customWidth="1"/>
    <col min="6666" max="6666" width="12.5" style="600" customWidth="1"/>
    <col min="6667" max="6667" width="11.5" style="600" bestFit="1" customWidth="1"/>
    <col min="6668" max="6668" width="23.125" style="600" bestFit="1" customWidth="1"/>
    <col min="6669" max="6912" width="11" style="600"/>
    <col min="6913" max="6913" width="26" style="600" customWidth="1"/>
    <col min="6914" max="6914" width="10.75" style="600" customWidth="1"/>
    <col min="6915" max="6915" width="6.875" style="600" bestFit="1" customWidth="1"/>
    <col min="6916" max="6917" width="8" style="600" bestFit="1" customWidth="1"/>
    <col min="6918" max="6918" width="5.375" style="600" bestFit="1" customWidth="1"/>
    <col min="6919" max="6919" width="11.875" style="600" customWidth="1"/>
    <col min="6920" max="6920" width="10" style="600" customWidth="1"/>
    <col min="6921" max="6921" width="9.625" style="600" customWidth="1"/>
    <col min="6922" max="6922" width="12.5" style="600" customWidth="1"/>
    <col min="6923" max="6923" width="11.5" style="600" bestFit="1" customWidth="1"/>
    <col min="6924" max="6924" width="23.125" style="600" bestFit="1" customWidth="1"/>
    <col min="6925" max="7168" width="11" style="600"/>
    <col min="7169" max="7169" width="26" style="600" customWidth="1"/>
    <col min="7170" max="7170" width="10.75" style="600" customWidth="1"/>
    <col min="7171" max="7171" width="6.875" style="600" bestFit="1" customWidth="1"/>
    <col min="7172" max="7173" width="8" style="600" bestFit="1" customWidth="1"/>
    <col min="7174" max="7174" width="5.375" style="600" bestFit="1" customWidth="1"/>
    <col min="7175" max="7175" width="11.875" style="600" customWidth="1"/>
    <col min="7176" max="7176" width="10" style="600" customWidth="1"/>
    <col min="7177" max="7177" width="9.625" style="600" customWidth="1"/>
    <col min="7178" max="7178" width="12.5" style="600" customWidth="1"/>
    <col min="7179" max="7179" width="11.5" style="600" bestFit="1" customWidth="1"/>
    <col min="7180" max="7180" width="23.125" style="600" bestFit="1" customWidth="1"/>
    <col min="7181" max="7424" width="11" style="600"/>
    <col min="7425" max="7425" width="26" style="600" customWidth="1"/>
    <col min="7426" max="7426" width="10.75" style="600" customWidth="1"/>
    <col min="7427" max="7427" width="6.875" style="600" bestFit="1" customWidth="1"/>
    <col min="7428" max="7429" width="8" style="600" bestFit="1" customWidth="1"/>
    <col min="7430" max="7430" width="5.375" style="600" bestFit="1" customWidth="1"/>
    <col min="7431" max="7431" width="11.875" style="600" customWidth="1"/>
    <col min="7432" max="7432" width="10" style="600" customWidth="1"/>
    <col min="7433" max="7433" width="9.625" style="600" customWidth="1"/>
    <col min="7434" max="7434" width="12.5" style="600" customWidth="1"/>
    <col min="7435" max="7435" width="11.5" style="600" bestFit="1" customWidth="1"/>
    <col min="7436" max="7436" width="23.125" style="600" bestFit="1" customWidth="1"/>
    <col min="7437" max="7680" width="11" style="600"/>
    <col min="7681" max="7681" width="26" style="600" customWidth="1"/>
    <col min="7682" max="7682" width="10.75" style="600" customWidth="1"/>
    <col min="7683" max="7683" width="6.875" style="600" bestFit="1" customWidth="1"/>
    <col min="7684" max="7685" width="8" style="600" bestFit="1" customWidth="1"/>
    <col min="7686" max="7686" width="5.375" style="600" bestFit="1" customWidth="1"/>
    <col min="7687" max="7687" width="11.875" style="600" customWidth="1"/>
    <col min="7688" max="7688" width="10" style="600" customWidth="1"/>
    <col min="7689" max="7689" width="9.625" style="600" customWidth="1"/>
    <col min="7690" max="7690" width="12.5" style="600" customWidth="1"/>
    <col min="7691" max="7691" width="11.5" style="600" bestFit="1" customWidth="1"/>
    <col min="7692" max="7692" width="23.125" style="600" bestFit="1" customWidth="1"/>
    <col min="7693" max="7936" width="11" style="600"/>
    <col min="7937" max="7937" width="26" style="600" customWidth="1"/>
    <col min="7938" max="7938" width="10.75" style="600" customWidth="1"/>
    <col min="7939" max="7939" width="6.875" style="600" bestFit="1" customWidth="1"/>
    <col min="7940" max="7941" width="8" style="600" bestFit="1" customWidth="1"/>
    <col min="7942" max="7942" width="5.375" style="600" bestFit="1" customWidth="1"/>
    <col min="7943" max="7943" width="11.875" style="600" customWidth="1"/>
    <col min="7944" max="7944" width="10" style="600" customWidth="1"/>
    <col min="7945" max="7945" width="9.625" style="600" customWidth="1"/>
    <col min="7946" max="7946" width="12.5" style="600" customWidth="1"/>
    <col min="7947" max="7947" width="11.5" style="600" bestFit="1" customWidth="1"/>
    <col min="7948" max="7948" width="23.125" style="600" bestFit="1" customWidth="1"/>
    <col min="7949" max="8192" width="11" style="600"/>
    <col min="8193" max="8193" width="26" style="600" customWidth="1"/>
    <col min="8194" max="8194" width="10.75" style="600" customWidth="1"/>
    <col min="8195" max="8195" width="6.875" style="600" bestFit="1" customWidth="1"/>
    <col min="8196" max="8197" width="8" style="600" bestFit="1" customWidth="1"/>
    <col min="8198" max="8198" width="5.375" style="600" bestFit="1" customWidth="1"/>
    <col min="8199" max="8199" width="11.875" style="600" customWidth="1"/>
    <col min="8200" max="8200" width="10" style="600" customWidth="1"/>
    <col min="8201" max="8201" width="9.625" style="600" customWidth="1"/>
    <col min="8202" max="8202" width="12.5" style="600" customWidth="1"/>
    <col min="8203" max="8203" width="11.5" style="600" bestFit="1" customWidth="1"/>
    <col min="8204" max="8204" width="23.125" style="600" bestFit="1" customWidth="1"/>
    <col min="8205" max="8448" width="11" style="600"/>
    <col min="8449" max="8449" width="26" style="600" customWidth="1"/>
    <col min="8450" max="8450" width="10.75" style="600" customWidth="1"/>
    <col min="8451" max="8451" width="6.875" style="600" bestFit="1" customWidth="1"/>
    <col min="8452" max="8453" width="8" style="600" bestFit="1" customWidth="1"/>
    <col min="8454" max="8454" width="5.375" style="600" bestFit="1" customWidth="1"/>
    <col min="8455" max="8455" width="11.875" style="600" customWidth="1"/>
    <col min="8456" max="8456" width="10" style="600" customWidth="1"/>
    <col min="8457" max="8457" width="9.625" style="600" customWidth="1"/>
    <col min="8458" max="8458" width="12.5" style="600" customWidth="1"/>
    <col min="8459" max="8459" width="11.5" style="600" bestFit="1" customWidth="1"/>
    <col min="8460" max="8460" width="23.125" style="600" bestFit="1" customWidth="1"/>
    <col min="8461" max="8704" width="11" style="600"/>
    <col min="8705" max="8705" width="26" style="600" customWidth="1"/>
    <col min="8706" max="8706" width="10.75" style="600" customWidth="1"/>
    <col min="8707" max="8707" width="6.875" style="600" bestFit="1" customWidth="1"/>
    <col min="8708" max="8709" width="8" style="600" bestFit="1" customWidth="1"/>
    <col min="8710" max="8710" width="5.375" style="600" bestFit="1" customWidth="1"/>
    <col min="8711" max="8711" width="11.875" style="600" customWidth="1"/>
    <col min="8712" max="8712" width="10" style="600" customWidth="1"/>
    <col min="8713" max="8713" width="9.625" style="600" customWidth="1"/>
    <col min="8714" max="8714" width="12.5" style="600" customWidth="1"/>
    <col min="8715" max="8715" width="11.5" style="600" bestFit="1" customWidth="1"/>
    <col min="8716" max="8716" width="23.125" style="600" bestFit="1" customWidth="1"/>
    <col min="8717" max="8960" width="11" style="600"/>
    <col min="8961" max="8961" width="26" style="600" customWidth="1"/>
    <col min="8962" max="8962" width="10.75" style="600" customWidth="1"/>
    <col min="8963" max="8963" width="6.875" style="600" bestFit="1" customWidth="1"/>
    <col min="8964" max="8965" width="8" style="600" bestFit="1" customWidth="1"/>
    <col min="8966" max="8966" width="5.375" style="600" bestFit="1" customWidth="1"/>
    <col min="8967" max="8967" width="11.875" style="600" customWidth="1"/>
    <col min="8968" max="8968" width="10" style="600" customWidth="1"/>
    <col min="8969" max="8969" width="9.625" style="600" customWidth="1"/>
    <col min="8970" max="8970" width="12.5" style="600" customWidth="1"/>
    <col min="8971" max="8971" width="11.5" style="600" bestFit="1" customWidth="1"/>
    <col min="8972" max="8972" width="23.125" style="600" bestFit="1" customWidth="1"/>
    <col min="8973" max="9216" width="11" style="600"/>
    <col min="9217" max="9217" width="26" style="600" customWidth="1"/>
    <col min="9218" max="9218" width="10.75" style="600" customWidth="1"/>
    <col min="9219" max="9219" width="6.875" style="600" bestFit="1" customWidth="1"/>
    <col min="9220" max="9221" width="8" style="600" bestFit="1" customWidth="1"/>
    <col min="9222" max="9222" width="5.375" style="600" bestFit="1" customWidth="1"/>
    <col min="9223" max="9223" width="11.875" style="600" customWidth="1"/>
    <col min="9224" max="9224" width="10" style="600" customWidth="1"/>
    <col min="9225" max="9225" width="9.625" style="600" customWidth="1"/>
    <col min="9226" max="9226" width="12.5" style="600" customWidth="1"/>
    <col min="9227" max="9227" width="11.5" style="600" bestFit="1" customWidth="1"/>
    <col min="9228" max="9228" width="23.125" style="600" bestFit="1" customWidth="1"/>
    <col min="9229" max="9472" width="11" style="600"/>
    <col min="9473" max="9473" width="26" style="600" customWidth="1"/>
    <col min="9474" max="9474" width="10.75" style="600" customWidth="1"/>
    <col min="9475" max="9475" width="6.875" style="600" bestFit="1" customWidth="1"/>
    <col min="9476" max="9477" width="8" style="600" bestFit="1" customWidth="1"/>
    <col min="9478" max="9478" width="5.375" style="600" bestFit="1" customWidth="1"/>
    <col min="9479" max="9479" width="11.875" style="600" customWidth="1"/>
    <col min="9480" max="9480" width="10" style="600" customWidth="1"/>
    <col min="9481" max="9481" width="9.625" style="600" customWidth="1"/>
    <col min="9482" max="9482" width="12.5" style="600" customWidth="1"/>
    <col min="9483" max="9483" width="11.5" style="600" bestFit="1" customWidth="1"/>
    <col min="9484" max="9484" width="23.125" style="600" bestFit="1" customWidth="1"/>
    <col min="9485" max="9728" width="11" style="600"/>
    <col min="9729" max="9729" width="26" style="600" customWidth="1"/>
    <col min="9730" max="9730" width="10.75" style="600" customWidth="1"/>
    <col min="9731" max="9731" width="6.875" style="600" bestFit="1" customWidth="1"/>
    <col min="9732" max="9733" width="8" style="600" bestFit="1" customWidth="1"/>
    <col min="9734" max="9734" width="5.375" style="600" bestFit="1" customWidth="1"/>
    <col min="9735" max="9735" width="11.875" style="600" customWidth="1"/>
    <col min="9736" max="9736" width="10" style="600" customWidth="1"/>
    <col min="9737" max="9737" width="9.625" style="600" customWidth="1"/>
    <col min="9738" max="9738" width="12.5" style="600" customWidth="1"/>
    <col min="9739" max="9739" width="11.5" style="600" bestFit="1" customWidth="1"/>
    <col min="9740" max="9740" width="23.125" style="600" bestFit="1" customWidth="1"/>
    <col min="9741" max="9984" width="11" style="600"/>
    <col min="9985" max="9985" width="26" style="600" customWidth="1"/>
    <col min="9986" max="9986" width="10.75" style="600" customWidth="1"/>
    <col min="9987" max="9987" width="6.875" style="600" bestFit="1" customWidth="1"/>
    <col min="9988" max="9989" width="8" style="600" bestFit="1" customWidth="1"/>
    <col min="9990" max="9990" width="5.375" style="600" bestFit="1" customWidth="1"/>
    <col min="9991" max="9991" width="11.875" style="600" customWidth="1"/>
    <col min="9992" max="9992" width="10" style="600" customWidth="1"/>
    <col min="9993" max="9993" width="9.625" style="600" customWidth="1"/>
    <col min="9994" max="9994" width="12.5" style="600" customWidth="1"/>
    <col min="9995" max="9995" width="11.5" style="600" bestFit="1" customWidth="1"/>
    <col min="9996" max="9996" width="23.125" style="600" bestFit="1" customWidth="1"/>
    <col min="9997" max="10240" width="11" style="600"/>
    <col min="10241" max="10241" width="26" style="600" customWidth="1"/>
    <col min="10242" max="10242" width="10.75" style="600" customWidth="1"/>
    <col min="10243" max="10243" width="6.875" style="600" bestFit="1" customWidth="1"/>
    <col min="10244" max="10245" width="8" style="600" bestFit="1" customWidth="1"/>
    <col min="10246" max="10246" width="5.375" style="600" bestFit="1" customWidth="1"/>
    <col min="10247" max="10247" width="11.875" style="600" customWidth="1"/>
    <col min="10248" max="10248" width="10" style="600" customWidth="1"/>
    <col min="10249" max="10249" width="9.625" style="600" customWidth="1"/>
    <col min="10250" max="10250" width="12.5" style="600" customWidth="1"/>
    <col min="10251" max="10251" width="11.5" style="600" bestFit="1" customWidth="1"/>
    <col min="10252" max="10252" width="23.125" style="600" bestFit="1" customWidth="1"/>
    <col min="10253" max="10496" width="11" style="600"/>
    <col min="10497" max="10497" width="26" style="600" customWidth="1"/>
    <col min="10498" max="10498" width="10.75" style="600" customWidth="1"/>
    <col min="10499" max="10499" width="6.875" style="600" bestFit="1" customWidth="1"/>
    <col min="10500" max="10501" width="8" style="600" bestFit="1" customWidth="1"/>
    <col min="10502" max="10502" width="5.375" style="600" bestFit="1" customWidth="1"/>
    <col min="10503" max="10503" width="11.875" style="600" customWidth="1"/>
    <col min="10504" max="10504" width="10" style="600" customWidth="1"/>
    <col min="10505" max="10505" width="9.625" style="600" customWidth="1"/>
    <col min="10506" max="10506" width="12.5" style="600" customWidth="1"/>
    <col min="10507" max="10507" width="11.5" style="600" bestFit="1" customWidth="1"/>
    <col min="10508" max="10508" width="23.125" style="600" bestFit="1" customWidth="1"/>
    <col min="10509" max="10752" width="11" style="600"/>
    <col min="10753" max="10753" width="26" style="600" customWidth="1"/>
    <col min="10754" max="10754" width="10.75" style="600" customWidth="1"/>
    <col min="10755" max="10755" width="6.875" style="600" bestFit="1" customWidth="1"/>
    <col min="10756" max="10757" width="8" style="600" bestFit="1" customWidth="1"/>
    <col min="10758" max="10758" width="5.375" style="600" bestFit="1" customWidth="1"/>
    <col min="10759" max="10759" width="11.875" style="600" customWidth="1"/>
    <col min="10760" max="10760" width="10" style="600" customWidth="1"/>
    <col min="10761" max="10761" width="9.625" style="600" customWidth="1"/>
    <col min="10762" max="10762" width="12.5" style="600" customWidth="1"/>
    <col min="10763" max="10763" width="11.5" style="600" bestFit="1" customWidth="1"/>
    <col min="10764" max="10764" width="23.125" style="600" bestFit="1" customWidth="1"/>
    <col min="10765" max="11008" width="11" style="600"/>
    <col min="11009" max="11009" width="26" style="600" customWidth="1"/>
    <col min="11010" max="11010" width="10.75" style="600" customWidth="1"/>
    <col min="11011" max="11011" width="6.875" style="600" bestFit="1" customWidth="1"/>
    <col min="11012" max="11013" width="8" style="600" bestFit="1" customWidth="1"/>
    <col min="11014" max="11014" width="5.375" style="600" bestFit="1" customWidth="1"/>
    <col min="11015" max="11015" width="11.875" style="600" customWidth="1"/>
    <col min="11016" max="11016" width="10" style="600" customWidth="1"/>
    <col min="11017" max="11017" width="9.625" style="600" customWidth="1"/>
    <col min="11018" max="11018" width="12.5" style="600" customWidth="1"/>
    <col min="11019" max="11019" width="11.5" style="600" bestFit="1" customWidth="1"/>
    <col min="11020" max="11020" width="23.125" style="600" bestFit="1" customWidth="1"/>
    <col min="11021" max="11264" width="11" style="600"/>
    <col min="11265" max="11265" width="26" style="600" customWidth="1"/>
    <col min="11266" max="11266" width="10.75" style="600" customWidth="1"/>
    <col min="11267" max="11267" width="6.875" style="600" bestFit="1" customWidth="1"/>
    <col min="11268" max="11269" width="8" style="600" bestFit="1" customWidth="1"/>
    <col min="11270" max="11270" width="5.375" style="600" bestFit="1" customWidth="1"/>
    <col min="11271" max="11271" width="11.875" style="600" customWidth="1"/>
    <col min="11272" max="11272" width="10" style="600" customWidth="1"/>
    <col min="11273" max="11273" width="9.625" style="600" customWidth="1"/>
    <col min="11274" max="11274" width="12.5" style="600" customWidth="1"/>
    <col min="11275" max="11275" width="11.5" style="600" bestFit="1" customWidth="1"/>
    <col min="11276" max="11276" width="23.125" style="600" bestFit="1" customWidth="1"/>
    <col min="11277" max="11520" width="11" style="600"/>
    <col min="11521" max="11521" width="26" style="600" customWidth="1"/>
    <col min="11522" max="11522" width="10.75" style="600" customWidth="1"/>
    <col min="11523" max="11523" width="6.875" style="600" bestFit="1" customWidth="1"/>
    <col min="11524" max="11525" width="8" style="600" bestFit="1" customWidth="1"/>
    <col min="11526" max="11526" width="5.375" style="600" bestFit="1" customWidth="1"/>
    <col min="11527" max="11527" width="11.875" style="600" customWidth="1"/>
    <col min="11528" max="11528" width="10" style="600" customWidth="1"/>
    <col min="11529" max="11529" width="9.625" style="600" customWidth="1"/>
    <col min="11530" max="11530" width="12.5" style="600" customWidth="1"/>
    <col min="11531" max="11531" width="11.5" style="600" bestFit="1" customWidth="1"/>
    <col min="11532" max="11532" width="23.125" style="600" bestFit="1" customWidth="1"/>
    <col min="11533" max="11776" width="11" style="600"/>
    <col min="11777" max="11777" width="26" style="600" customWidth="1"/>
    <col min="11778" max="11778" width="10.75" style="600" customWidth="1"/>
    <col min="11779" max="11779" width="6.875" style="600" bestFit="1" customWidth="1"/>
    <col min="11780" max="11781" width="8" style="600" bestFit="1" customWidth="1"/>
    <col min="11782" max="11782" width="5.375" style="600" bestFit="1" customWidth="1"/>
    <col min="11783" max="11783" width="11.875" style="600" customWidth="1"/>
    <col min="11784" max="11784" width="10" style="600" customWidth="1"/>
    <col min="11785" max="11785" width="9.625" style="600" customWidth="1"/>
    <col min="11786" max="11786" width="12.5" style="600" customWidth="1"/>
    <col min="11787" max="11787" width="11.5" style="600" bestFit="1" customWidth="1"/>
    <col min="11788" max="11788" width="23.125" style="600" bestFit="1" customWidth="1"/>
    <col min="11789" max="12032" width="11" style="600"/>
    <col min="12033" max="12033" width="26" style="600" customWidth="1"/>
    <col min="12034" max="12034" width="10.75" style="600" customWidth="1"/>
    <col min="12035" max="12035" width="6.875" style="600" bestFit="1" customWidth="1"/>
    <col min="12036" max="12037" width="8" style="600" bestFit="1" customWidth="1"/>
    <col min="12038" max="12038" width="5.375" style="600" bestFit="1" customWidth="1"/>
    <col min="12039" max="12039" width="11.875" style="600" customWidth="1"/>
    <col min="12040" max="12040" width="10" style="600" customWidth="1"/>
    <col min="12041" max="12041" width="9.625" style="600" customWidth="1"/>
    <col min="12042" max="12042" width="12.5" style="600" customWidth="1"/>
    <col min="12043" max="12043" width="11.5" style="600" bestFit="1" customWidth="1"/>
    <col min="12044" max="12044" width="23.125" style="600" bestFit="1" customWidth="1"/>
    <col min="12045" max="12288" width="11" style="600"/>
    <col min="12289" max="12289" width="26" style="600" customWidth="1"/>
    <col min="12290" max="12290" width="10.75" style="600" customWidth="1"/>
    <col min="12291" max="12291" width="6.875" style="600" bestFit="1" customWidth="1"/>
    <col min="12292" max="12293" width="8" style="600" bestFit="1" customWidth="1"/>
    <col min="12294" max="12294" width="5.375" style="600" bestFit="1" customWidth="1"/>
    <col min="12295" max="12295" width="11.875" style="600" customWidth="1"/>
    <col min="12296" max="12296" width="10" style="600" customWidth="1"/>
    <col min="12297" max="12297" width="9.625" style="600" customWidth="1"/>
    <col min="12298" max="12298" width="12.5" style="600" customWidth="1"/>
    <col min="12299" max="12299" width="11.5" style="600" bestFit="1" customWidth="1"/>
    <col min="12300" max="12300" width="23.125" style="600" bestFit="1" customWidth="1"/>
    <col min="12301" max="12544" width="11" style="600"/>
    <col min="12545" max="12545" width="26" style="600" customWidth="1"/>
    <col min="12546" max="12546" width="10.75" style="600" customWidth="1"/>
    <col min="12547" max="12547" width="6.875" style="600" bestFit="1" customWidth="1"/>
    <col min="12548" max="12549" width="8" style="600" bestFit="1" customWidth="1"/>
    <col min="12550" max="12550" width="5.375" style="600" bestFit="1" customWidth="1"/>
    <col min="12551" max="12551" width="11.875" style="600" customWidth="1"/>
    <col min="12552" max="12552" width="10" style="600" customWidth="1"/>
    <col min="12553" max="12553" width="9.625" style="600" customWidth="1"/>
    <col min="12554" max="12554" width="12.5" style="600" customWidth="1"/>
    <col min="12555" max="12555" width="11.5" style="600" bestFit="1" customWidth="1"/>
    <col min="12556" max="12556" width="23.125" style="600" bestFit="1" customWidth="1"/>
    <col min="12557" max="12800" width="11" style="600"/>
    <col min="12801" max="12801" width="26" style="600" customWidth="1"/>
    <col min="12802" max="12802" width="10.75" style="600" customWidth="1"/>
    <col min="12803" max="12803" width="6.875" style="600" bestFit="1" customWidth="1"/>
    <col min="12804" max="12805" width="8" style="600" bestFit="1" customWidth="1"/>
    <col min="12806" max="12806" width="5.375" style="600" bestFit="1" customWidth="1"/>
    <col min="12807" max="12807" width="11.875" style="600" customWidth="1"/>
    <col min="12808" max="12808" width="10" style="600" customWidth="1"/>
    <col min="12809" max="12809" width="9.625" style="600" customWidth="1"/>
    <col min="12810" max="12810" width="12.5" style="600" customWidth="1"/>
    <col min="12811" max="12811" width="11.5" style="600" bestFit="1" customWidth="1"/>
    <col min="12812" max="12812" width="23.125" style="600" bestFit="1" customWidth="1"/>
    <col min="12813" max="13056" width="11" style="600"/>
    <col min="13057" max="13057" width="26" style="600" customWidth="1"/>
    <col min="13058" max="13058" width="10.75" style="600" customWidth="1"/>
    <col min="13059" max="13059" width="6.875" style="600" bestFit="1" customWidth="1"/>
    <col min="13060" max="13061" width="8" style="600" bestFit="1" customWidth="1"/>
    <col min="13062" max="13062" width="5.375" style="600" bestFit="1" customWidth="1"/>
    <col min="13063" max="13063" width="11.875" style="600" customWidth="1"/>
    <col min="13064" max="13064" width="10" style="600" customWidth="1"/>
    <col min="13065" max="13065" width="9.625" style="600" customWidth="1"/>
    <col min="13066" max="13066" width="12.5" style="600" customWidth="1"/>
    <col min="13067" max="13067" width="11.5" style="600" bestFit="1" customWidth="1"/>
    <col min="13068" max="13068" width="23.125" style="600" bestFit="1" customWidth="1"/>
    <col min="13069" max="13312" width="11" style="600"/>
    <col min="13313" max="13313" width="26" style="600" customWidth="1"/>
    <col min="13314" max="13314" width="10.75" style="600" customWidth="1"/>
    <col min="13315" max="13315" width="6.875" style="600" bestFit="1" customWidth="1"/>
    <col min="13316" max="13317" width="8" style="600" bestFit="1" customWidth="1"/>
    <col min="13318" max="13318" width="5.375" style="600" bestFit="1" customWidth="1"/>
    <col min="13319" max="13319" width="11.875" style="600" customWidth="1"/>
    <col min="13320" max="13320" width="10" style="600" customWidth="1"/>
    <col min="13321" max="13321" width="9.625" style="600" customWidth="1"/>
    <col min="13322" max="13322" width="12.5" style="600" customWidth="1"/>
    <col min="13323" max="13323" width="11.5" style="600" bestFit="1" customWidth="1"/>
    <col min="13324" max="13324" width="23.125" style="600" bestFit="1" customWidth="1"/>
    <col min="13325" max="13568" width="11" style="600"/>
    <col min="13569" max="13569" width="26" style="600" customWidth="1"/>
    <col min="13570" max="13570" width="10.75" style="600" customWidth="1"/>
    <col min="13571" max="13571" width="6.875" style="600" bestFit="1" customWidth="1"/>
    <col min="13572" max="13573" width="8" style="600" bestFit="1" customWidth="1"/>
    <col min="13574" max="13574" width="5.375" style="600" bestFit="1" customWidth="1"/>
    <col min="13575" max="13575" width="11.875" style="600" customWidth="1"/>
    <col min="13576" max="13576" width="10" style="600" customWidth="1"/>
    <col min="13577" max="13577" width="9.625" style="600" customWidth="1"/>
    <col min="13578" max="13578" width="12.5" style="600" customWidth="1"/>
    <col min="13579" max="13579" width="11.5" style="600" bestFit="1" customWidth="1"/>
    <col min="13580" max="13580" width="23.125" style="600" bestFit="1" customWidth="1"/>
    <col min="13581" max="13824" width="11" style="600"/>
    <col min="13825" max="13825" width="26" style="600" customWidth="1"/>
    <col min="13826" max="13826" width="10.75" style="600" customWidth="1"/>
    <col min="13827" max="13827" width="6.875" style="600" bestFit="1" customWidth="1"/>
    <col min="13828" max="13829" width="8" style="600" bestFit="1" customWidth="1"/>
    <col min="13830" max="13830" width="5.375" style="600" bestFit="1" customWidth="1"/>
    <col min="13831" max="13831" width="11.875" style="600" customWidth="1"/>
    <col min="13832" max="13832" width="10" style="600" customWidth="1"/>
    <col min="13833" max="13833" width="9.625" style="600" customWidth="1"/>
    <col min="13834" max="13834" width="12.5" style="600" customWidth="1"/>
    <col min="13835" max="13835" width="11.5" style="600" bestFit="1" customWidth="1"/>
    <col min="13836" max="13836" width="23.125" style="600" bestFit="1" customWidth="1"/>
    <col min="13837" max="14080" width="11" style="600"/>
    <col min="14081" max="14081" width="26" style="600" customWidth="1"/>
    <col min="14082" max="14082" width="10.75" style="600" customWidth="1"/>
    <col min="14083" max="14083" width="6.875" style="600" bestFit="1" customWidth="1"/>
    <col min="14084" max="14085" width="8" style="600" bestFit="1" customWidth="1"/>
    <col min="14086" max="14086" width="5.375" style="600" bestFit="1" customWidth="1"/>
    <col min="14087" max="14087" width="11.875" style="600" customWidth="1"/>
    <col min="14088" max="14088" width="10" style="600" customWidth="1"/>
    <col min="14089" max="14089" width="9.625" style="600" customWidth="1"/>
    <col min="14090" max="14090" width="12.5" style="600" customWidth="1"/>
    <col min="14091" max="14091" width="11.5" style="600" bestFit="1" customWidth="1"/>
    <col min="14092" max="14092" width="23.125" style="600" bestFit="1" customWidth="1"/>
    <col min="14093" max="14336" width="11" style="600"/>
    <col min="14337" max="14337" width="26" style="600" customWidth="1"/>
    <col min="14338" max="14338" width="10.75" style="600" customWidth="1"/>
    <col min="14339" max="14339" width="6.875" style="600" bestFit="1" customWidth="1"/>
    <col min="14340" max="14341" width="8" style="600" bestFit="1" customWidth="1"/>
    <col min="14342" max="14342" width="5.375" style="600" bestFit="1" customWidth="1"/>
    <col min="14343" max="14343" width="11.875" style="600" customWidth="1"/>
    <col min="14344" max="14344" width="10" style="600" customWidth="1"/>
    <col min="14345" max="14345" width="9.625" style="600" customWidth="1"/>
    <col min="14346" max="14346" width="12.5" style="600" customWidth="1"/>
    <col min="14347" max="14347" width="11.5" style="600" bestFit="1" customWidth="1"/>
    <col min="14348" max="14348" width="23.125" style="600" bestFit="1" customWidth="1"/>
    <col min="14349" max="14592" width="11" style="600"/>
    <col min="14593" max="14593" width="26" style="600" customWidth="1"/>
    <col min="14594" max="14594" width="10.75" style="600" customWidth="1"/>
    <col min="14595" max="14595" width="6.875" style="600" bestFit="1" customWidth="1"/>
    <col min="14596" max="14597" width="8" style="600" bestFit="1" customWidth="1"/>
    <col min="14598" max="14598" width="5.375" style="600" bestFit="1" customWidth="1"/>
    <col min="14599" max="14599" width="11.875" style="600" customWidth="1"/>
    <col min="14600" max="14600" width="10" style="600" customWidth="1"/>
    <col min="14601" max="14601" width="9.625" style="600" customWidth="1"/>
    <col min="14602" max="14602" width="12.5" style="600" customWidth="1"/>
    <col min="14603" max="14603" width="11.5" style="600" bestFit="1" customWidth="1"/>
    <col min="14604" max="14604" width="23.125" style="600" bestFit="1" customWidth="1"/>
    <col min="14605" max="14848" width="11" style="600"/>
    <col min="14849" max="14849" width="26" style="600" customWidth="1"/>
    <col min="14850" max="14850" width="10.75" style="600" customWidth="1"/>
    <col min="14851" max="14851" width="6.875" style="600" bestFit="1" customWidth="1"/>
    <col min="14852" max="14853" width="8" style="600" bestFit="1" customWidth="1"/>
    <col min="14854" max="14854" width="5.375" style="600" bestFit="1" customWidth="1"/>
    <col min="14855" max="14855" width="11.875" style="600" customWidth="1"/>
    <col min="14856" max="14856" width="10" style="600" customWidth="1"/>
    <col min="14857" max="14857" width="9.625" style="600" customWidth="1"/>
    <col min="14858" max="14858" width="12.5" style="600" customWidth="1"/>
    <col min="14859" max="14859" width="11.5" style="600" bestFit="1" customWidth="1"/>
    <col min="14860" max="14860" width="23.125" style="600" bestFit="1" customWidth="1"/>
    <col min="14861" max="15104" width="11" style="600"/>
    <col min="15105" max="15105" width="26" style="600" customWidth="1"/>
    <col min="15106" max="15106" width="10.75" style="600" customWidth="1"/>
    <col min="15107" max="15107" width="6.875" style="600" bestFit="1" customWidth="1"/>
    <col min="15108" max="15109" width="8" style="600" bestFit="1" customWidth="1"/>
    <col min="15110" max="15110" width="5.375" style="600" bestFit="1" customWidth="1"/>
    <col min="15111" max="15111" width="11.875" style="600" customWidth="1"/>
    <col min="15112" max="15112" width="10" style="600" customWidth="1"/>
    <col min="15113" max="15113" width="9.625" style="600" customWidth="1"/>
    <col min="15114" max="15114" width="12.5" style="600" customWidth="1"/>
    <col min="15115" max="15115" width="11.5" style="600" bestFit="1" customWidth="1"/>
    <col min="15116" max="15116" width="23.125" style="600" bestFit="1" customWidth="1"/>
    <col min="15117" max="15360" width="11" style="600"/>
    <col min="15361" max="15361" width="26" style="600" customWidth="1"/>
    <col min="15362" max="15362" width="10.75" style="600" customWidth="1"/>
    <col min="15363" max="15363" width="6.875" style="600" bestFit="1" customWidth="1"/>
    <col min="15364" max="15365" width="8" style="600" bestFit="1" customWidth="1"/>
    <col min="15366" max="15366" width="5.375" style="600" bestFit="1" customWidth="1"/>
    <col min="15367" max="15367" width="11.875" style="600" customWidth="1"/>
    <col min="15368" max="15368" width="10" style="600" customWidth="1"/>
    <col min="15369" max="15369" width="9.625" style="600" customWidth="1"/>
    <col min="15370" max="15370" width="12.5" style="600" customWidth="1"/>
    <col min="15371" max="15371" width="11.5" style="600" bestFit="1" customWidth="1"/>
    <col min="15372" max="15372" width="23.125" style="600" bestFit="1" customWidth="1"/>
    <col min="15373" max="15616" width="11" style="600"/>
    <col min="15617" max="15617" width="26" style="600" customWidth="1"/>
    <col min="15618" max="15618" width="10.75" style="600" customWidth="1"/>
    <col min="15619" max="15619" width="6.875" style="600" bestFit="1" customWidth="1"/>
    <col min="15620" max="15621" width="8" style="600" bestFit="1" customWidth="1"/>
    <col min="15622" max="15622" width="5.375" style="600" bestFit="1" customWidth="1"/>
    <col min="15623" max="15623" width="11.875" style="600" customWidth="1"/>
    <col min="15624" max="15624" width="10" style="600" customWidth="1"/>
    <col min="15625" max="15625" width="9.625" style="600" customWidth="1"/>
    <col min="15626" max="15626" width="12.5" style="600" customWidth="1"/>
    <col min="15627" max="15627" width="11.5" style="600" bestFit="1" customWidth="1"/>
    <col min="15628" max="15628" width="23.125" style="600" bestFit="1" customWidth="1"/>
    <col min="15629" max="15872" width="11" style="600"/>
    <col min="15873" max="15873" width="26" style="600" customWidth="1"/>
    <col min="15874" max="15874" width="10.75" style="600" customWidth="1"/>
    <col min="15875" max="15875" width="6.875" style="600" bestFit="1" customWidth="1"/>
    <col min="15876" max="15877" width="8" style="600" bestFit="1" customWidth="1"/>
    <col min="15878" max="15878" width="5.375" style="600" bestFit="1" customWidth="1"/>
    <col min="15879" max="15879" width="11.875" style="600" customWidth="1"/>
    <col min="15880" max="15880" width="10" style="600" customWidth="1"/>
    <col min="15881" max="15881" width="9.625" style="600" customWidth="1"/>
    <col min="15882" max="15882" width="12.5" style="600" customWidth="1"/>
    <col min="15883" max="15883" width="11.5" style="600" bestFit="1" customWidth="1"/>
    <col min="15884" max="15884" width="23.125" style="600" bestFit="1" customWidth="1"/>
    <col min="15885" max="16128" width="11" style="600"/>
    <col min="16129" max="16129" width="26" style="600" customWidth="1"/>
    <col min="16130" max="16130" width="10.75" style="600" customWidth="1"/>
    <col min="16131" max="16131" width="6.875" style="600" bestFit="1" customWidth="1"/>
    <col min="16132" max="16133" width="8" style="600" bestFit="1" customWidth="1"/>
    <col min="16134" max="16134" width="5.375" style="600" bestFit="1" customWidth="1"/>
    <col min="16135" max="16135" width="11.875" style="600" customWidth="1"/>
    <col min="16136" max="16136" width="10" style="600" customWidth="1"/>
    <col min="16137" max="16137" width="9.625" style="600" customWidth="1"/>
    <col min="16138" max="16138" width="12.5" style="600" customWidth="1"/>
    <col min="16139" max="16139" width="11.5" style="600" bestFit="1" customWidth="1"/>
    <col min="16140" max="16140" width="23.125" style="600" bestFit="1" customWidth="1"/>
    <col min="16141" max="16384" width="11" style="600"/>
  </cols>
  <sheetData>
    <row r="1" spans="1:26" ht="53.25" customHeight="1">
      <c r="A1" s="598" t="s">
        <v>410</v>
      </c>
      <c r="B1" s="599">
        <v>8</v>
      </c>
      <c r="C1" s="845" t="s">
        <v>440</v>
      </c>
      <c r="D1" s="845"/>
      <c r="E1" s="845"/>
      <c r="F1" s="845"/>
      <c r="G1" s="845"/>
      <c r="H1" s="845"/>
      <c r="I1" s="845"/>
      <c r="J1" s="846" t="s">
        <v>854</v>
      </c>
      <c r="K1" s="846"/>
      <c r="L1" s="844" t="s">
        <v>441</v>
      </c>
      <c r="M1" s="844"/>
      <c r="N1" s="844"/>
      <c r="O1" s="844"/>
      <c r="P1" s="844"/>
      <c r="Q1" s="844"/>
      <c r="S1" s="601"/>
      <c r="T1" s="843" t="s">
        <v>435</v>
      </c>
      <c r="U1" s="843"/>
      <c r="V1" s="602"/>
      <c r="W1" s="603"/>
      <c r="X1" s="603"/>
      <c r="Y1" s="839" t="s">
        <v>855</v>
      </c>
      <c r="Z1" s="840"/>
    </row>
    <row r="2" spans="1:26" ht="93.75" customHeight="1">
      <c r="A2" s="604" t="s">
        <v>411</v>
      </c>
      <c r="B2" s="604" t="s">
        <v>412</v>
      </c>
      <c r="C2" s="604" t="s">
        <v>413</v>
      </c>
      <c r="D2" s="604" t="s">
        <v>414</v>
      </c>
      <c r="E2" s="604" t="s">
        <v>415</v>
      </c>
      <c r="F2" s="604" t="s">
        <v>416</v>
      </c>
      <c r="G2" s="605" t="s">
        <v>427</v>
      </c>
      <c r="H2" s="606" t="s">
        <v>425</v>
      </c>
      <c r="I2" s="605" t="s">
        <v>428</v>
      </c>
      <c r="J2" s="606" t="s">
        <v>426</v>
      </c>
      <c r="K2" s="606" t="s">
        <v>429</v>
      </c>
      <c r="L2" s="606" t="s">
        <v>430</v>
      </c>
      <c r="M2" s="606" t="s">
        <v>438</v>
      </c>
      <c r="N2" s="606" t="s">
        <v>439</v>
      </c>
      <c r="O2" s="604" t="s">
        <v>417</v>
      </c>
      <c r="P2" s="604" t="s">
        <v>842</v>
      </c>
      <c r="Q2" s="604" t="s">
        <v>418</v>
      </c>
      <c r="R2" s="607"/>
      <c r="S2" s="608" t="s">
        <v>437</v>
      </c>
      <c r="T2" s="609">
        <v>4.1666666666666664E-2</v>
      </c>
      <c r="U2" s="610" t="s">
        <v>843</v>
      </c>
      <c r="V2" s="611"/>
      <c r="W2" s="612" t="s">
        <v>841</v>
      </c>
      <c r="X2" s="613">
        <v>1</v>
      </c>
      <c r="Y2" s="614">
        <v>4.1666666666666664E-2</v>
      </c>
      <c r="Z2" s="615">
        <v>4.1666666666666664E-2</v>
      </c>
    </row>
    <row r="3" spans="1:26">
      <c r="A3" s="616">
        <v>1321648522</v>
      </c>
      <c r="B3" s="617">
        <v>43101</v>
      </c>
      <c r="C3" s="618">
        <v>0.25</v>
      </c>
      <c r="D3" s="618">
        <v>0.25</v>
      </c>
      <c r="E3" s="618">
        <v>0.29166666666666702</v>
      </c>
      <c r="F3" s="619">
        <v>0.70833333333333304</v>
      </c>
      <c r="G3" s="620">
        <v>8</v>
      </c>
      <c r="H3" s="621">
        <v>0</v>
      </c>
      <c r="I3" s="622">
        <v>3</v>
      </c>
      <c r="J3" s="621">
        <v>0</v>
      </c>
      <c r="K3" s="621">
        <v>0</v>
      </c>
      <c r="L3" s="621">
        <v>0</v>
      </c>
      <c r="M3" s="623">
        <v>0</v>
      </c>
      <c r="N3" s="623">
        <v>0</v>
      </c>
      <c r="O3" s="624">
        <f>SUM(G3:N3)</f>
        <v>11</v>
      </c>
      <c r="P3" s="625">
        <f>IF(OR(ISBLANK(D3),ISBLANK(E3)),0, IF(MINUTE(E3-D3)=0,HOUR(E3)-HOUR(D3),MINUTE(E3-D3)))</f>
        <v>1</v>
      </c>
      <c r="Q3" s="626">
        <f>IF(P3=1,(O3-1)*60,(((O3)*60)-P3))</f>
        <v>600</v>
      </c>
      <c r="S3" s="627">
        <v>43459</v>
      </c>
      <c r="T3" s="609">
        <v>8.3333333333333301E-2</v>
      </c>
      <c r="U3" s="610" t="s">
        <v>843</v>
      </c>
      <c r="V3" s="628"/>
      <c r="W3" s="629">
        <f>IF(OR(ISBLANK(D3),ISBLANK(E3)),"NULL",D3+VALUE(0&amp;$X$2&amp;":00"))</f>
        <v>0.29166666666666669</v>
      </c>
      <c r="X3" s="630"/>
      <c r="Y3" s="614">
        <v>5.5555555555555552E-2</v>
      </c>
      <c r="Z3" s="615">
        <v>8.3333333333333301E-2</v>
      </c>
    </row>
    <row r="4" spans="1:26">
      <c r="A4" s="616">
        <v>1323384207</v>
      </c>
      <c r="B4" s="617">
        <v>43102</v>
      </c>
      <c r="C4" s="618">
        <v>0.29166666666666702</v>
      </c>
      <c r="D4" s="618">
        <v>0.30555555555555602</v>
      </c>
      <c r="E4" s="618">
        <v>0.34722222222222199</v>
      </c>
      <c r="F4" s="619">
        <v>0.66666666666666696</v>
      </c>
      <c r="G4" s="620">
        <v>8</v>
      </c>
      <c r="H4" s="621">
        <v>0</v>
      </c>
      <c r="I4" s="622">
        <v>1</v>
      </c>
      <c r="J4" s="621">
        <v>0</v>
      </c>
      <c r="K4" s="621">
        <v>0</v>
      </c>
      <c r="L4" s="621">
        <v>0</v>
      </c>
      <c r="M4" s="623">
        <v>0</v>
      </c>
      <c r="N4" s="623">
        <v>0</v>
      </c>
      <c r="O4" s="624">
        <f t="shared" ref="O4:O67" si="0">SUM(G4:N4)</f>
        <v>9</v>
      </c>
      <c r="P4" s="625">
        <f t="shared" ref="P4:P67" si="1">IF(OR(ISBLANK(D4),ISBLANK(E4)),0, IF(MINUTE(E4-D4)=0,HOUR(E4)-HOUR(D4),MINUTE(E4-D4)))</f>
        <v>1</v>
      </c>
      <c r="Q4" s="626">
        <f t="shared" ref="Q4:Q67" si="2">IF(P4=1,(O4-1)*60,(((O4)*60)-P4))</f>
        <v>480</v>
      </c>
      <c r="R4" s="631"/>
      <c r="S4" s="627">
        <v>43466</v>
      </c>
      <c r="T4" s="609">
        <v>0.125</v>
      </c>
      <c r="U4" s="610" t="s">
        <v>843</v>
      </c>
      <c r="V4" s="632"/>
      <c r="W4" s="629">
        <f t="shared" ref="W4:W67" si="3">IF(OR(ISBLANK(D4),ISBLANK(E4)),"NULL",D4+VALUE(0&amp;$X$2&amp;":00"))</f>
        <v>0.34722222222222271</v>
      </c>
      <c r="X4" s="630"/>
      <c r="Y4" s="614">
        <v>6.9444444444444503E-2</v>
      </c>
      <c r="Z4" s="615">
        <v>0.125</v>
      </c>
    </row>
    <row r="5" spans="1:26">
      <c r="A5" s="616">
        <v>1237462775</v>
      </c>
      <c r="B5" s="617">
        <v>43103</v>
      </c>
      <c r="C5" s="618">
        <v>0.33333333333333298</v>
      </c>
      <c r="D5" s="618">
        <v>0.34722222222222199</v>
      </c>
      <c r="E5" s="618">
        <v>0.375</v>
      </c>
      <c r="F5" s="619">
        <v>0.70833333333333304</v>
      </c>
      <c r="G5" s="620">
        <v>8</v>
      </c>
      <c r="H5" s="621">
        <v>0</v>
      </c>
      <c r="I5" s="622">
        <v>1</v>
      </c>
      <c r="J5" s="621">
        <v>0</v>
      </c>
      <c r="K5" s="621">
        <v>0</v>
      </c>
      <c r="L5" s="621">
        <v>0</v>
      </c>
      <c r="M5" s="623">
        <v>0</v>
      </c>
      <c r="N5" s="623">
        <v>0</v>
      </c>
      <c r="O5" s="624">
        <f t="shared" si="0"/>
        <v>9</v>
      </c>
      <c r="P5" s="625">
        <f t="shared" si="1"/>
        <v>40</v>
      </c>
      <c r="Q5" s="626">
        <f t="shared" si="2"/>
        <v>500</v>
      </c>
      <c r="R5" s="631"/>
      <c r="S5" s="633">
        <v>43472</v>
      </c>
      <c r="T5" s="609">
        <v>0.16666666666666699</v>
      </c>
      <c r="U5" s="610" t="s">
        <v>843</v>
      </c>
      <c r="V5" s="634"/>
      <c r="W5" s="629">
        <f t="shared" si="3"/>
        <v>0.38888888888888867</v>
      </c>
      <c r="X5" s="630"/>
      <c r="Y5" s="614">
        <v>8.3333333333333398E-2</v>
      </c>
      <c r="Z5" s="615">
        <v>0.16666666666666699</v>
      </c>
    </row>
    <row r="6" spans="1:26">
      <c r="A6" s="616">
        <v>1247550875</v>
      </c>
      <c r="B6" s="617">
        <v>43104</v>
      </c>
      <c r="C6" s="618">
        <v>0.375</v>
      </c>
      <c r="D6" s="618">
        <v>0.38888888888888901</v>
      </c>
      <c r="E6" s="618">
        <v>0.43055555555555602</v>
      </c>
      <c r="F6" s="619">
        <v>0.75</v>
      </c>
      <c r="G6" s="620">
        <v>8</v>
      </c>
      <c r="H6" s="621">
        <v>0</v>
      </c>
      <c r="I6" s="622">
        <v>1</v>
      </c>
      <c r="J6" s="621">
        <v>0</v>
      </c>
      <c r="K6" s="621">
        <v>0</v>
      </c>
      <c r="L6" s="621">
        <v>0</v>
      </c>
      <c r="M6" s="623">
        <v>0</v>
      </c>
      <c r="N6" s="623">
        <v>0</v>
      </c>
      <c r="O6" s="624">
        <f t="shared" si="0"/>
        <v>9</v>
      </c>
      <c r="P6" s="625">
        <f t="shared" si="1"/>
        <v>1</v>
      </c>
      <c r="Q6" s="626">
        <f t="shared" si="2"/>
        <v>480</v>
      </c>
      <c r="R6" s="631"/>
      <c r="S6" s="627">
        <v>43549</v>
      </c>
      <c r="T6" s="609">
        <v>0.20833333333333301</v>
      </c>
      <c r="U6" s="610" t="s">
        <v>843</v>
      </c>
      <c r="V6" s="635"/>
      <c r="W6" s="629">
        <f t="shared" si="3"/>
        <v>0.43055555555555569</v>
      </c>
      <c r="X6" s="630"/>
      <c r="Y6" s="614">
        <v>9.7222222222222293E-2</v>
      </c>
      <c r="Z6" s="615">
        <v>0.20833333333333301</v>
      </c>
    </row>
    <row r="7" spans="1:26">
      <c r="A7" s="616">
        <v>1247550875</v>
      </c>
      <c r="B7" s="617">
        <v>43105</v>
      </c>
      <c r="C7" s="618">
        <v>0.41666666666666702</v>
      </c>
      <c r="D7" s="618">
        <v>0.43055555555555602</v>
      </c>
      <c r="E7" s="618">
        <v>0.47222222222222199</v>
      </c>
      <c r="F7" s="619">
        <v>0.79166666666666696</v>
      </c>
      <c r="G7" s="620">
        <v>8</v>
      </c>
      <c r="H7" s="621">
        <v>0</v>
      </c>
      <c r="I7" s="622">
        <v>1</v>
      </c>
      <c r="J7" s="621">
        <v>0</v>
      </c>
      <c r="K7" s="621">
        <v>0</v>
      </c>
      <c r="L7" s="621">
        <v>0</v>
      </c>
      <c r="M7" s="623">
        <v>0</v>
      </c>
      <c r="N7" s="623">
        <v>0</v>
      </c>
      <c r="O7" s="624">
        <f t="shared" si="0"/>
        <v>9</v>
      </c>
      <c r="P7" s="625">
        <f t="shared" si="1"/>
        <v>1</v>
      </c>
      <c r="Q7" s="626">
        <f t="shared" si="2"/>
        <v>480</v>
      </c>
      <c r="R7" s="631"/>
      <c r="S7" s="627">
        <v>43573</v>
      </c>
      <c r="T7" s="609">
        <v>0.24930555555555556</v>
      </c>
      <c r="U7" s="610" t="s">
        <v>843</v>
      </c>
      <c r="V7" s="636" t="s">
        <v>434</v>
      </c>
      <c r="W7" s="629">
        <f t="shared" si="3"/>
        <v>0.47222222222222271</v>
      </c>
      <c r="X7" s="630"/>
      <c r="Y7" s="614">
        <v>0.11111111111111099</v>
      </c>
      <c r="Z7" s="615">
        <v>0.25</v>
      </c>
    </row>
    <row r="8" spans="1:26">
      <c r="A8" s="616">
        <v>1311966071</v>
      </c>
      <c r="B8" s="617">
        <v>43106</v>
      </c>
      <c r="C8" s="618">
        <v>0.45833333333333298</v>
      </c>
      <c r="D8" s="618">
        <v>0.47222222222222199</v>
      </c>
      <c r="E8" s="618">
        <v>0.51388888888888895</v>
      </c>
      <c r="F8" s="619">
        <v>0.83333333333333304</v>
      </c>
      <c r="G8" s="620">
        <v>8</v>
      </c>
      <c r="H8" s="621">
        <v>0</v>
      </c>
      <c r="I8" s="622">
        <v>1</v>
      </c>
      <c r="J8" s="621">
        <v>0</v>
      </c>
      <c r="K8" s="621">
        <v>0</v>
      </c>
      <c r="L8" s="621">
        <v>0</v>
      </c>
      <c r="M8" s="623">
        <v>0</v>
      </c>
      <c r="N8" s="623">
        <v>0</v>
      </c>
      <c r="O8" s="624">
        <f t="shared" si="0"/>
        <v>9</v>
      </c>
      <c r="P8" s="625">
        <f t="shared" si="1"/>
        <v>1</v>
      </c>
      <c r="Q8" s="626">
        <f t="shared" si="2"/>
        <v>480</v>
      </c>
      <c r="R8" s="631"/>
      <c r="S8" s="627">
        <v>43574</v>
      </c>
      <c r="T8" s="637">
        <v>0.25</v>
      </c>
      <c r="U8" s="638" t="s">
        <v>844</v>
      </c>
      <c r="V8" s="639" t="s">
        <v>431</v>
      </c>
      <c r="W8" s="629">
        <f t="shared" si="3"/>
        <v>0.51388888888888862</v>
      </c>
      <c r="X8" s="630"/>
      <c r="Y8" s="614">
        <v>0.125</v>
      </c>
      <c r="Z8" s="615">
        <v>0.29166666666666702</v>
      </c>
    </row>
    <row r="9" spans="1:26">
      <c r="A9" s="616">
        <v>1317424267</v>
      </c>
      <c r="B9" s="617">
        <v>43107</v>
      </c>
      <c r="C9" s="618">
        <v>0.5</v>
      </c>
      <c r="D9" s="618">
        <v>0.51388888888888895</v>
      </c>
      <c r="E9" s="618">
        <v>0.55555555555555602</v>
      </c>
      <c r="F9" s="619">
        <v>0.875</v>
      </c>
      <c r="G9" s="620">
        <v>0</v>
      </c>
      <c r="H9" s="621">
        <v>0</v>
      </c>
      <c r="I9" s="622">
        <v>0</v>
      </c>
      <c r="J9" s="621">
        <v>0</v>
      </c>
      <c r="K9" s="621">
        <v>8</v>
      </c>
      <c r="L9" s="621">
        <v>0</v>
      </c>
      <c r="M9" s="623">
        <v>1</v>
      </c>
      <c r="N9" s="623">
        <v>0</v>
      </c>
      <c r="O9" s="624">
        <f t="shared" si="0"/>
        <v>9</v>
      </c>
      <c r="P9" s="625">
        <f t="shared" si="1"/>
        <v>1</v>
      </c>
      <c r="Q9" s="626">
        <f t="shared" si="2"/>
        <v>480</v>
      </c>
      <c r="R9" s="631"/>
      <c r="S9" s="627">
        <v>43586</v>
      </c>
      <c r="T9" s="637">
        <v>0.29166666666666702</v>
      </c>
      <c r="U9" s="638" t="s">
        <v>844</v>
      </c>
      <c r="V9" s="640"/>
      <c r="W9" s="629">
        <f t="shared" si="3"/>
        <v>0.55555555555555558</v>
      </c>
      <c r="X9" s="630"/>
      <c r="Y9" s="614">
        <v>0.13888888888888901</v>
      </c>
      <c r="Z9" s="615">
        <v>0.33333333333333298</v>
      </c>
    </row>
    <row r="10" spans="1:26">
      <c r="A10" s="616">
        <v>1315211554</v>
      </c>
      <c r="B10" s="617">
        <v>43108</v>
      </c>
      <c r="C10" s="618">
        <v>0.54166666666666696</v>
      </c>
      <c r="D10" s="618">
        <v>0.55555555555555602</v>
      </c>
      <c r="E10" s="618">
        <v>0.59722222222222199</v>
      </c>
      <c r="F10" s="619">
        <v>0.91666666666666696</v>
      </c>
      <c r="G10" s="620">
        <v>8</v>
      </c>
      <c r="H10" s="621">
        <v>0</v>
      </c>
      <c r="I10" s="622">
        <v>0</v>
      </c>
      <c r="J10" s="621">
        <v>1</v>
      </c>
      <c r="K10" s="621">
        <v>0</v>
      </c>
      <c r="L10" s="621">
        <v>0</v>
      </c>
      <c r="M10" s="623">
        <v>0</v>
      </c>
      <c r="N10" s="623">
        <v>0</v>
      </c>
      <c r="O10" s="624">
        <f t="shared" si="0"/>
        <v>9</v>
      </c>
      <c r="P10" s="625">
        <f t="shared" si="1"/>
        <v>1</v>
      </c>
      <c r="Q10" s="626">
        <f t="shared" si="2"/>
        <v>480</v>
      </c>
      <c r="R10" s="631"/>
      <c r="S10" s="627">
        <v>43619</v>
      </c>
      <c r="T10" s="637">
        <v>0.33333333333333298</v>
      </c>
      <c r="U10" s="638" t="s">
        <v>844</v>
      </c>
      <c r="V10" s="640"/>
      <c r="W10" s="629">
        <f t="shared" si="3"/>
        <v>0.59722222222222265</v>
      </c>
      <c r="X10" s="630"/>
      <c r="Y10" s="614">
        <v>0.15277777777777801</v>
      </c>
      <c r="Z10" s="615">
        <v>0.375</v>
      </c>
    </row>
    <row r="11" spans="1:26">
      <c r="A11" s="616">
        <v>1241318672</v>
      </c>
      <c r="B11" s="617">
        <v>43109</v>
      </c>
      <c r="C11" s="618">
        <v>0.58333333333333304</v>
      </c>
      <c r="D11" s="618">
        <v>0.59722222222222199</v>
      </c>
      <c r="E11" s="618">
        <v>0.63888888888888895</v>
      </c>
      <c r="F11" s="619">
        <v>0.95833333333333304</v>
      </c>
      <c r="G11" s="620">
        <v>7</v>
      </c>
      <c r="H11" s="621">
        <v>1</v>
      </c>
      <c r="I11" s="622">
        <v>0</v>
      </c>
      <c r="J11" s="621">
        <v>1</v>
      </c>
      <c r="K11" s="621">
        <v>0</v>
      </c>
      <c r="L11" s="621">
        <v>0</v>
      </c>
      <c r="M11" s="623">
        <v>0</v>
      </c>
      <c r="N11" s="623">
        <v>0</v>
      </c>
      <c r="O11" s="624">
        <f t="shared" si="0"/>
        <v>9</v>
      </c>
      <c r="P11" s="625">
        <f t="shared" si="1"/>
        <v>1</v>
      </c>
      <c r="Q11" s="626">
        <f t="shared" si="2"/>
        <v>480</v>
      </c>
      <c r="R11" s="631"/>
      <c r="S11" s="627">
        <v>43640</v>
      </c>
      <c r="T11" s="637">
        <v>0.375</v>
      </c>
      <c r="U11" s="638" t="s">
        <v>844</v>
      </c>
      <c r="V11" s="640"/>
      <c r="W11" s="629">
        <f t="shared" si="3"/>
        <v>0.63888888888888862</v>
      </c>
      <c r="X11" s="630"/>
      <c r="Y11" s="614">
        <v>0.16666666666666699</v>
      </c>
      <c r="Z11" s="615">
        <v>0.41666666666666702</v>
      </c>
    </row>
    <row r="12" spans="1:26">
      <c r="A12" s="616">
        <v>1324063080</v>
      </c>
      <c r="B12" s="617">
        <v>43110</v>
      </c>
      <c r="C12" s="618">
        <v>0.625</v>
      </c>
      <c r="D12" s="618">
        <v>0.63888888888888895</v>
      </c>
      <c r="E12" s="618">
        <v>0.68055555555555602</v>
      </c>
      <c r="F12" s="619">
        <v>0</v>
      </c>
      <c r="G12" s="620">
        <v>6</v>
      </c>
      <c r="H12" s="621">
        <v>2</v>
      </c>
      <c r="I12" s="622">
        <v>0</v>
      </c>
      <c r="J12" s="621">
        <v>1</v>
      </c>
      <c r="K12" s="621">
        <v>0</v>
      </c>
      <c r="L12" s="621">
        <v>0</v>
      </c>
      <c r="M12" s="623">
        <v>0</v>
      </c>
      <c r="N12" s="623">
        <v>0</v>
      </c>
      <c r="O12" s="624">
        <f t="shared" si="0"/>
        <v>9</v>
      </c>
      <c r="P12" s="625">
        <f t="shared" si="1"/>
        <v>1</v>
      </c>
      <c r="Q12" s="626">
        <f t="shared" si="2"/>
        <v>480</v>
      </c>
      <c r="S12" s="627">
        <v>43647</v>
      </c>
      <c r="T12" s="637">
        <v>0.41666666666666702</v>
      </c>
      <c r="U12" s="638" t="s">
        <v>844</v>
      </c>
      <c r="V12" s="640"/>
      <c r="W12" s="629">
        <f t="shared" si="3"/>
        <v>0.68055555555555558</v>
      </c>
      <c r="X12" s="630"/>
      <c r="Y12" s="614">
        <v>0.180555555555556</v>
      </c>
      <c r="Z12" s="615">
        <v>0.45833333333333298</v>
      </c>
    </row>
    <row r="13" spans="1:26">
      <c r="A13" s="641">
        <v>1259425899</v>
      </c>
      <c r="B13" s="642">
        <v>43111</v>
      </c>
      <c r="C13" s="643">
        <v>0.70833333333333304</v>
      </c>
      <c r="D13" s="618">
        <v>0.93055555555555547</v>
      </c>
      <c r="E13" s="643">
        <v>0.95833333333333337</v>
      </c>
      <c r="F13" s="644">
        <v>4.1666666666666664E-2</v>
      </c>
      <c r="G13" s="620">
        <v>4</v>
      </c>
      <c r="H13" s="621">
        <v>4</v>
      </c>
      <c r="I13" s="622">
        <v>0</v>
      </c>
      <c r="J13" s="621">
        <v>0</v>
      </c>
      <c r="K13" s="621">
        <v>0</v>
      </c>
      <c r="L13" s="621">
        <v>0</v>
      </c>
      <c r="M13" s="623">
        <v>0</v>
      </c>
      <c r="N13" s="623">
        <v>0</v>
      </c>
      <c r="O13" s="624">
        <f t="shared" si="0"/>
        <v>8</v>
      </c>
      <c r="P13" s="625">
        <f>IF(OR(ISBLANK(D13),ISBLANK(E13)),0, IF(MINUTE(E13-D13)=0,HOUR(E13)-HOUR(D13),MINUTE(E13-D13)))</f>
        <v>40</v>
      </c>
      <c r="Q13" s="626">
        <f t="shared" si="2"/>
        <v>440</v>
      </c>
      <c r="S13" s="633">
        <v>43666</v>
      </c>
      <c r="T13" s="637">
        <v>0.45833333333333298</v>
      </c>
      <c r="U13" s="638" t="s">
        <v>844</v>
      </c>
      <c r="V13" s="640"/>
      <c r="W13" s="629">
        <f t="shared" si="3"/>
        <v>0.9722222222222221</v>
      </c>
      <c r="X13" s="630"/>
      <c r="Y13" s="614">
        <v>0.194444444444445</v>
      </c>
      <c r="Z13" s="615">
        <v>0.5</v>
      </c>
    </row>
    <row r="14" spans="1:26">
      <c r="A14" s="616">
        <v>1285748000</v>
      </c>
      <c r="B14" s="642">
        <v>43112</v>
      </c>
      <c r="C14" s="643">
        <v>0.70833333333333304</v>
      </c>
      <c r="D14" s="618">
        <v>0.93055555555555547</v>
      </c>
      <c r="E14" s="643">
        <v>0.95833333333333337</v>
      </c>
      <c r="F14" s="644">
        <v>4.1666666666666664E-2</v>
      </c>
      <c r="G14" s="620">
        <v>4</v>
      </c>
      <c r="H14" s="621">
        <v>4</v>
      </c>
      <c r="I14" s="622">
        <v>0</v>
      </c>
      <c r="J14" s="621">
        <v>0</v>
      </c>
      <c r="K14" s="621">
        <v>0</v>
      </c>
      <c r="L14" s="621">
        <v>0</v>
      </c>
      <c r="M14" s="620">
        <v>0</v>
      </c>
      <c r="N14" s="620">
        <v>0</v>
      </c>
      <c r="O14" s="624">
        <f t="shared" si="0"/>
        <v>8</v>
      </c>
      <c r="P14" s="625">
        <f>IF(OR(ISBLANK(D14),ISBLANK(E14)),0, IF(MINUTE(E14-D14)=0,HOUR(E14)-HOUR(D14),MINUTE(E14-D14)))</f>
        <v>40</v>
      </c>
      <c r="Q14" s="626">
        <f t="shared" si="2"/>
        <v>440</v>
      </c>
      <c r="S14" s="633">
        <v>43684</v>
      </c>
      <c r="T14" s="637">
        <v>0.5</v>
      </c>
      <c r="U14" s="638" t="s">
        <v>844</v>
      </c>
      <c r="V14" s="640"/>
      <c r="W14" s="629">
        <f t="shared" si="3"/>
        <v>0.9722222222222221</v>
      </c>
      <c r="X14" s="630"/>
      <c r="Y14" s="614">
        <v>0.20833333333333401</v>
      </c>
      <c r="Z14" s="615">
        <v>0.54166666666666696</v>
      </c>
    </row>
    <row r="15" spans="1:26">
      <c r="A15" s="616">
        <v>1285748000</v>
      </c>
      <c r="B15" s="645">
        <v>43447</v>
      </c>
      <c r="C15" s="646">
        <v>8.3333333333333301E-2</v>
      </c>
      <c r="D15" s="646">
        <v>0.375</v>
      </c>
      <c r="E15" s="646">
        <v>0.40277777777777801</v>
      </c>
      <c r="F15" s="646">
        <v>0.41666666666666702</v>
      </c>
      <c r="G15" s="620">
        <v>4</v>
      </c>
      <c r="H15" s="621">
        <v>4</v>
      </c>
      <c r="I15" s="622">
        <v>0</v>
      </c>
      <c r="J15" s="621">
        <v>0</v>
      </c>
      <c r="K15" s="621">
        <v>0</v>
      </c>
      <c r="L15" s="621">
        <v>0</v>
      </c>
      <c r="M15" s="620">
        <v>0</v>
      </c>
      <c r="N15" s="620">
        <v>0</v>
      </c>
      <c r="O15" s="624">
        <f t="shared" si="0"/>
        <v>8</v>
      </c>
      <c r="P15" s="625">
        <f t="shared" si="1"/>
        <v>40</v>
      </c>
      <c r="Q15" s="626">
        <f t="shared" si="2"/>
        <v>440</v>
      </c>
      <c r="S15" s="633">
        <v>43696</v>
      </c>
      <c r="T15" s="637">
        <v>0.54166666666666696</v>
      </c>
      <c r="U15" s="638" t="s">
        <v>844</v>
      </c>
      <c r="V15" s="640"/>
      <c r="W15" s="629">
        <f t="shared" si="3"/>
        <v>0.41666666666666669</v>
      </c>
      <c r="X15" s="630"/>
      <c r="Y15" s="614">
        <v>0.22222222222222299</v>
      </c>
      <c r="Z15" s="615">
        <v>0.58333333333333304</v>
      </c>
    </row>
    <row r="16" spans="1:26">
      <c r="A16" s="647">
        <v>1237462775</v>
      </c>
      <c r="B16" s="648">
        <v>43390</v>
      </c>
      <c r="C16" s="618">
        <v>0.125</v>
      </c>
      <c r="D16" s="646">
        <v>0.13888888888888901</v>
      </c>
      <c r="E16" s="646">
        <v>0.16666666666666699</v>
      </c>
      <c r="F16" s="646">
        <v>0.375</v>
      </c>
      <c r="G16" s="620">
        <v>3</v>
      </c>
      <c r="H16" s="621">
        <v>3</v>
      </c>
      <c r="I16" s="622">
        <v>0</v>
      </c>
      <c r="J16" s="621">
        <v>0</v>
      </c>
      <c r="K16" s="621">
        <v>0</v>
      </c>
      <c r="L16" s="621">
        <v>0</v>
      </c>
      <c r="M16" s="620">
        <v>0</v>
      </c>
      <c r="N16" s="620">
        <v>0</v>
      </c>
      <c r="O16" s="624">
        <f t="shared" si="0"/>
        <v>6</v>
      </c>
      <c r="P16" s="625">
        <f t="shared" si="1"/>
        <v>40</v>
      </c>
      <c r="Q16" s="626">
        <f t="shared" si="2"/>
        <v>320</v>
      </c>
      <c r="S16" s="633">
        <v>43752</v>
      </c>
      <c r="T16" s="637">
        <v>0.58333333333333304</v>
      </c>
      <c r="U16" s="638" t="s">
        <v>844</v>
      </c>
      <c r="V16" s="640"/>
      <c r="W16" s="629">
        <f t="shared" si="3"/>
        <v>0.18055555555555566</v>
      </c>
      <c r="X16" s="630"/>
      <c r="Y16" s="614">
        <v>0.23611111111111099</v>
      </c>
      <c r="Z16" s="615">
        <v>0.625</v>
      </c>
    </row>
    <row r="17" spans="1:26">
      <c r="A17" s="647">
        <v>1323384207</v>
      </c>
      <c r="B17" s="648">
        <v>43127</v>
      </c>
      <c r="C17" s="618">
        <v>0.25</v>
      </c>
      <c r="D17" s="646">
        <v>0.375</v>
      </c>
      <c r="E17" s="646">
        <v>0.41666666666666702</v>
      </c>
      <c r="F17" s="646">
        <v>0.54166666666666696</v>
      </c>
      <c r="G17" s="620">
        <v>7</v>
      </c>
      <c r="H17" s="621">
        <v>0</v>
      </c>
      <c r="I17" s="622">
        <v>0</v>
      </c>
      <c r="J17" s="621">
        <v>0</v>
      </c>
      <c r="K17" s="621">
        <v>0</v>
      </c>
      <c r="L17" s="621">
        <v>0</v>
      </c>
      <c r="M17" s="620">
        <v>0</v>
      </c>
      <c r="N17" s="620">
        <v>0</v>
      </c>
      <c r="O17" s="624">
        <f t="shared" si="0"/>
        <v>7</v>
      </c>
      <c r="P17" s="625">
        <f t="shared" si="1"/>
        <v>1</v>
      </c>
      <c r="Q17" s="626">
        <f t="shared" si="2"/>
        <v>360</v>
      </c>
      <c r="S17" s="633">
        <v>43773</v>
      </c>
      <c r="T17" s="637">
        <v>0.625</v>
      </c>
      <c r="U17" s="638" t="s">
        <v>844</v>
      </c>
      <c r="V17" s="640"/>
      <c r="W17" s="629">
        <f t="shared" si="3"/>
        <v>0.41666666666666669</v>
      </c>
      <c r="X17" s="630"/>
      <c r="Y17" s="614">
        <v>0.25</v>
      </c>
      <c r="Z17" s="615">
        <v>0.66666666666666696</v>
      </c>
    </row>
    <row r="18" spans="1:26">
      <c r="A18" s="647"/>
      <c r="B18" s="649"/>
      <c r="C18" s="618"/>
      <c r="D18" s="646"/>
      <c r="E18" s="646"/>
      <c r="F18" s="646"/>
      <c r="G18" s="620"/>
      <c r="H18" s="621"/>
      <c r="I18" s="622"/>
      <c r="J18" s="621"/>
      <c r="K18" s="621"/>
      <c r="L18" s="621"/>
      <c r="M18" s="620"/>
      <c r="N18" s="620"/>
      <c r="O18" s="624">
        <f t="shared" si="0"/>
        <v>0</v>
      </c>
      <c r="P18" s="625">
        <f t="shared" si="1"/>
        <v>0</v>
      </c>
      <c r="Q18" s="626">
        <f t="shared" si="2"/>
        <v>0</v>
      </c>
      <c r="S18" s="633">
        <v>43780</v>
      </c>
      <c r="T18" s="637">
        <v>0.66666666666666696</v>
      </c>
      <c r="U18" s="638" t="s">
        <v>844</v>
      </c>
      <c r="V18" s="640"/>
      <c r="W18" s="629" t="str">
        <f t="shared" si="3"/>
        <v>NULL</v>
      </c>
      <c r="X18" s="630"/>
      <c r="Y18" s="614">
        <v>0.26388888888888901</v>
      </c>
      <c r="Z18" s="615">
        <v>0.70833333333333304</v>
      </c>
    </row>
    <row r="19" spans="1:26">
      <c r="A19" s="647"/>
      <c r="B19" s="649"/>
      <c r="C19" s="618"/>
      <c r="D19" s="646"/>
      <c r="E19" s="646"/>
      <c r="F19" s="646"/>
      <c r="G19" s="620"/>
      <c r="H19" s="621"/>
      <c r="I19" s="622"/>
      <c r="J19" s="621"/>
      <c r="K19" s="621"/>
      <c r="L19" s="621"/>
      <c r="M19" s="620"/>
      <c r="N19" s="620"/>
      <c r="O19" s="624">
        <f t="shared" si="0"/>
        <v>0</v>
      </c>
      <c r="P19" s="625">
        <f t="shared" si="1"/>
        <v>0</v>
      </c>
      <c r="Q19" s="626">
        <f t="shared" si="2"/>
        <v>0</v>
      </c>
      <c r="S19" s="633">
        <v>43824</v>
      </c>
      <c r="T19" s="637">
        <v>0.70833333333333304</v>
      </c>
      <c r="U19" s="638" t="s">
        <v>844</v>
      </c>
      <c r="V19" s="640"/>
      <c r="W19" s="629" t="str">
        <f t="shared" si="3"/>
        <v>NULL</v>
      </c>
      <c r="X19" s="630"/>
      <c r="Y19" s="614">
        <v>0.27777777777777801</v>
      </c>
      <c r="Z19" s="615">
        <v>0.75</v>
      </c>
    </row>
    <row r="20" spans="1:26">
      <c r="A20" s="647"/>
      <c r="B20" s="649"/>
      <c r="C20" s="618"/>
      <c r="D20" s="646"/>
      <c r="E20" s="646"/>
      <c r="F20" s="646"/>
      <c r="G20" s="620"/>
      <c r="H20" s="621"/>
      <c r="I20" s="622"/>
      <c r="J20" s="621"/>
      <c r="K20" s="621"/>
      <c r="L20" s="621"/>
      <c r="M20" s="620"/>
      <c r="N20" s="620"/>
      <c r="O20" s="624">
        <f t="shared" si="0"/>
        <v>0</v>
      </c>
      <c r="P20" s="625">
        <f t="shared" si="1"/>
        <v>0</v>
      </c>
      <c r="Q20" s="626">
        <f t="shared" si="2"/>
        <v>0</v>
      </c>
      <c r="S20" s="650"/>
      <c r="T20" s="637">
        <v>0.75</v>
      </c>
      <c r="U20" s="638" t="s">
        <v>844</v>
      </c>
      <c r="V20" s="640"/>
      <c r="W20" s="629" t="str">
        <f t="shared" si="3"/>
        <v>NULL</v>
      </c>
      <c r="X20" s="630"/>
      <c r="Y20" s="614">
        <v>0.29166666666666702</v>
      </c>
      <c r="Z20" s="615">
        <v>0.79166666666666696</v>
      </c>
    </row>
    <row r="21" spans="1:26">
      <c r="A21" s="647"/>
      <c r="B21" s="649"/>
      <c r="C21" s="618"/>
      <c r="D21" s="646"/>
      <c r="E21" s="646"/>
      <c r="F21" s="646"/>
      <c r="G21" s="620"/>
      <c r="H21" s="621"/>
      <c r="I21" s="622"/>
      <c r="J21" s="621"/>
      <c r="K21" s="621"/>
      <c r="L21" s="621"/>
      <c r="M21" s="620"/>
      <c r="N21" s="620"/>
      <c r="O21" s="624">
        <f t="shared" si="0"/>
        <v>0</v>
      </c>
      <c r="P21" s="625">
        <f t="shared" si="1"/>
        <v>0</v>
      </c>
      <c r="Q21" s="626">
        <f t="shared" si="2"/>
        <v>0</v>
      </c>
      <c r="S21" s="650"/>
      <c r="T21" s="637">
        <v>0.79166666666666696</v>
      </c>
      <c r="U21" s="638" t="s">
        <v>844</v>
      </c>
      <c r="V21" s="640"/>
      <c r="W21" s="629" t="str">
        <f t="shared" si="3"/>
        <v>NULL</v>
      </c>
      <c r="X21" s="630"/>
      <c r="Y21" s="614">
        <v>0.30555555555555602</v>
      </c>
      <c r="Z21" s="615">
        <v>0.83333333333333304</v>
      </c>
    </row>
    <row r="22" spans="1:26">
      <c r="A22" s="647"/>
      <c r="B22" s="649"/>
      <c r="C22" s="618"/>
      <c r="D22" s="646"/>
      <c r="E22" s="646"/>
      <c r="F22" s="646"/>
      <c r="G22" s="620"/>
      <c r="H22" s="621"/>
      <c r="I22" s="622"/>
      <c r="J22" s="621"/>
      <c r="K22" s="621"/>
      <c r="L22" s="621"/>
      <c r="M22" s="620"/>
      <c r="N22" s="620"/>
      <c r="O22" s="624">
        <f t="shared" si="0"/>
        <v>0</v>
      </c>
      <c r="P22" s="625">
        <f t="shared" si="1"/>
        <v>0</v>
      </c>
      <c r="Q22" s="626">
        <f t="shared" si="2"/>
        <v>0</v>
      </c>
      <c r="S22" s="650"/>
      <c r="T22" s="637">
        <v>0.83333333333333304</v>
      </c>
      <c r="U22" s="638" t="s">
        <v>844</v>
      </c>
      <c r="V22" s="640"/>
      <c r="W22" s="629" t="str">
        <f t="shared" si="3"/>
        <v>NULL</v>
      </c>
      <c r="X22" s="630"/>
      <c r="Y22" s="614">
        <v>0.31944444444444497</v>
      </c>
      <c r="Z22" s="615">
        <v>0.875</v>
      </c>
    </row>
    <row r="23" spans="1:26">
      <c r="A23" s="647"/>
      <c r="B23" s="649"/>
      <c r="C23" s="618"/>
      <c r="D23" s="618"/>
      <c r="E23" s="646"/>
      <c r="F23" s="646"/>
      <c r="G23" s="620"/>
      <c r="H23" s="621"/>
      <c r="I23" s="622"/>
      <c r="J23" s="621"/>
      <c r="K23" s="621"/>
      <c r="L23" s="621"/>
      <c r="M23" s="620"/>
      <c r="N23" s="620"/>
      <c r="O23" s="624">
        <f t="shared" si="0"/>
        <v>0</v>
      </c>
      <c r="P23" s="625">
        <f t="shared" si="1"/>
        <v>0</v>
      </c>
      <c r="Q23" s="626">
        <f t="shared" si="2"/>
        <v>0</v>
      </c>
      <c r="S23" s="650"/>
      <c r="T23" s="637">
        <v>0.87430555555555556</v>
      </c>
      <c r="U23" s="638" t="s">
        <v>844</v>
      </c>
      <c r="V23" s="636" t="s">
        <v>432</v>
      </c>
      <c r="W23" s="629" t="str">
        <f t="shared" si="3"/>
        <v>NULL</v>
      </c>
      <c r="X23" s="630"/>
      <c r="Y23" s="614">
        <v>0.33333333333333398</v>
      </c>
      <c r="Z23" s="615">
        <v>0.91666666666666696</v>
      </c>
    </row>
    <row r="24" spans="1:26">
      <c r="A24" s="647"/>
      <c r="B24" s="649"/>
      <c r="C24" s="618"/>
      <c r="D24" s="646"/>
      <c r="E24" s="646"/>
      <c r="F24" s="646"/>
      <c r="G24" s="620"/>
      <c r="H24" s="621"/>
      <c r="I24" s="622"/>
      <c r="J24" s="621"/>
      <c r="K24" s="621"/>
      <c r="L24" s="621"/>
      <c r="M24" s="620"/>
      <c r="N24" s="620"/>
      <c r="O24" s="624">
        <f t="shared" si="0"/>
        <v>0</v>
      </c>
      <c r="P24" s="625">
        <f t="shared" si="1"/>
        <v>0</v>
      </c>
      <c r="Q24" s="626">
        <f t="shared" si="2"/>
        <v>0</v>
      </c>
      <c r="S24" s="650"/>
      <c r="T24" s="609">
        <v>0.875</v>
      </c>
      <c r="U24" s="610" t="s">
        <v>843</v>
      </c>
      <c r="V24" s="651" t="s">
        <v>433</v>
      </c>
      <c r="W24" s="629" t="str">
        <f t="shared" si="3"/>
        <v>NULL</v>
      </c>
      <c r="X24" s="630"/>
      <c r="Y24" s="614">
        <v>0.34722222222222299</v>
      </c>
      <c r="Z24" s="615">
        <v>0.95833333333333304</v>
      </c>
    </row>
    <row r="25" spans="1:26">
      <c r="A25" s="647"/>
      <c r="B25" s="649"/>
      <c r="C25" s="618"/>
      <c r="D25" s="646"/>
      <c r="E25" s="646"/>
      <c r="F25" s="646"/>
      <c r="G25" s="620"/>
      <c r="H25" s="621"/>
      <c r="I25" s="622"/>
      <c r="J25" s="621"/>
      <c r="K25" s="621"/>
      <c r="L25" s="621"/>
      <c r="M25" s="620"/>
      <c r="N25" s="620"/>
      <c r="O25" s="624">
        <f t="shared" si="0"/>
        <v>0</v>
      </c>
      <c r="P25" s="625">
        <f t="shared" si="1"/>
        <v>0</v>
      </c>
      <c r="Q25" s="626">
        <f t="shared" si="2"/>
        <v>0</v>
      </c>
      <c r="S25" s="650"/>
      <c r="T25" s="609">
        <v>0.91666666666666696</v>
      </c>
      <c r="U25" s="610" t="s">
        <v>843</v>
      </c>
      <c r="V25" s="652"/>
      <c r="W25" s="629" t="str">
        <f t="shared" si="3"/>
        <v>NULL</v>
      </c>
      <c r="X25" s="630"/>
      <c r="Y25" s="614">
        <v>0.36111111111111099</v>
      </c>
      <c r="Z25" s="615">
        <v>1</v>
      </c>
    </row>
    <row r="26" spans="1:26">
      <c r="A26" s="647"/>
      <c r="B26" s="649"/>
      <c r="C26" s="618"/>
      <c r="D26" s="646"/>
      <c r="E26" s="646"/>
      <c r="F26" s="646"/>
      <c r="G26" s="620"/>
      <c r="H26" s="621"/>
      <c r="I26" s="622"/>
      <c r="J26" s="621"/>
      <c r="K26" s="621"/>
      <c r="L26" s="621"/>
      <c r="M26" s="620"/>
      <c r="N26" s="620"/>
      <c r="O26" s="624">
        <f t="shared" si="0"/>
        <v>0</v>
      </c>
      <c r="P26" s="625">
        <f t="shared" si="1"/>
        <v>0</v>
      </c>
      <c r="Q26" s="626">
        <f t="shared" si="2"/>
        <v>0</v>
      </c>
      <c r="S26" s="650"/>
      <c r="T26" s="609">
        <v>0.95833333333333304</v>
      </c>
      <c r="U26" s="610" t="s">
        <v>843</v>
      </c>
      <c r="V26" s="653"/>
      <c r="W26" s="629" t="str">
        <f t="shared" si="3"/>
        <v>NULL</v>
      </c>
      <c r="X26" s="630"/>
      <c r="Y26" s="614">
        <v>0.375</v>
      </c>
      <c r="Z26" s="654"/>
    </row>
    <row r="27" spans="1:26">
      <c r="A27" s="647"/>
      <c r="B27" s="649"/>
      <c r="C27" s="618"/>
      <c r="D27" s="646"/>
      <c r="E27" s="646"/>
      <c r="F27" s="646"/>
      <c r="G27" s="620"/>
      <c r="H27" s="621"/>
      <c r="I27" s="622"/>
      <c r="J27" s="621"/>
      <c r="K27" s="621"/>
      <c r="L27" s="621"/>
      <c r="M27" s="620"/>
      <c r="N27" s="620"/>
      <c r="O27" s="624">
        <f t="shared" si="0"/>
        <v>0</v>
      </c>
      <c r="P27" s="625">
        <f t="shared" si="1"/>
        <v>0</v>
      </c>
      <c r="Q27" s="626">
        <f t="shared" si="2"/>
        <v>0</v>
      </c>
      <c r="S27" s="650"/>
      <c r="T27" s="609">
        <v>0</v>
      </c>
      <c r="U27" s="610" t="s">
        <v>843</v>
      </c>
      <c r="V27" s="655"/>
      <c r="W27" s="629" t="str">
        <f t="shared" si="3"/>
        <v>NULL</v>
      </c>
      <c r="X27" s="630"/>
      <c r="Y27" s="614">
        <v>0.38888888888888901</v>
      </c>
      <c r="Z27" s="654"/>
    </row>
    <row r="28" spans="1:26">
      <c r="A28" s="647"/>
      <c r="B28" s="649"/>
      <c r="C28" s="618"/>
      <c r="D28" s="646"/>
      <c r="E28" s="646"/>
      <c r="F28" s="646"/>
      <c r="G28" s="620"/>
      <c r="H28" s="621"/>
      <c r="I28" s="622"/>
      <c r="J28" s="621"/>
      <c r="K28" s="621"/>
      <c r="L28" s="621"/>
      <c r="M28" s="620"/>
      <c r="N28" s="620"/>
      <c r="O28" s="624">
        <f t="shared" si="0"/>
        <v>0</v>
      </c>
      <c r="P28" s="625">
        <f t="shared" si="1"/>
        <v>0</v>
      </c>
      <c r="Q28" s="626">
        <f t="shared" si="2"/>
        <v>0</v>
      </c>
      <c r="S28" s="650"/>
      <c r="T28" s="663"/>
      <c r="U28" s="663"/>
      <c r="V28" s="630"/>
      <c r="W28" s="629" t="str">
        <f t="shared" si="3"/>
        <v>NULL</v>
      </c>
      <c r="X28" s="630"/>
      <c r="Y28" s="614">
        <v>0.40277777777777801</v>
      </c>
      <c r="Z28" s="654"/>
    </row>
    <row r="29" spans="1:26">
      <c r="A29" s="647"/>
      <c r="B29" s="649"/>
      <c r="C29" s="618"/>
      <c r="D29" s="646"/>
      <c r="E29" s="646"/>
      <c r="F29" s="646"/>
      <c r="G29" s="620"/>
      <c r="H29" s="621"/>
      <c r="I29" s="622"/>
      <c r="J29" s="621"/>
      <c r="K29" s="621"/>
      <c r="L29" s="621"/>
      <c r="M29" s="620"/>
      <c r="N29" s="620"/>
      <c r="O29" s="624">
        <f t="shared" si="0"/>
        <v>0</v>
      </c>
      <c r="P29" s="625">
        <f t="shared" si="1"/>
        <v>0</v>
      </c>
      <c r="Q29" s="626">
        <f t="shared" si="2"/>
        <v>0</v>
      </c>
      <c r="S29" s="650"/>
      <c r="T29" s="663"/>
      <c r="U29" s="663"/>
      <c r="V29" s="630"/>
      <c r="W29" s="629" t="str">
        <f t="shared" si="3"/>
        <v>NULL</v>
      </c>
      <c r="X29" s="630"/>
      <c r="Y29" s="614">
        <v>0.41666666666666702</v>
      </c>
      <c r="Z29" s="654"/>
    </row>
    <row r="30" spans="1:26">
      <c r="A30" s="647"/>
      <c r="B30" s="649"/>
      <c r="C30" s="618"/>
      <c r="D30" s="646"/>
      <c r="E30" s="646"/>
      <c r="F30" s="646"/>
      <c r="G30" s="620"/>
      <c r="H30" s="620"/>
      <c r="I30" s="620"/>
      <c r="J30" s="620"/>
      <c r="K30" s="620"/>
      <c r="L30" s="620"/>
      <c r="M30" s="623"/>
      <c r="N30" s="623"/>
      <c r="O30" s="624">
        <f t="shared" si="0"/>
        <v>0</v>
      </c>
      <c r="P30" s="625">
        <f t="shared" si="1"/>
        <v>0</v>
      </c>
      <c r="Q30" s="626">
        <f t="shared" si="2"/>
        <v>0</v>
      </c>
      <c r="S30" s="650"/>
      <c r="T30" s="663"/>
      <c r="U30" s="663"/>
      <c r="V30" s="630"/>
      <c r="W30" s="629" t="str">
        <f t="shared" si="3"/>
        <v>NULL</v>
      </c>
      <c r="X30" s="630"/>
      <c r="Y30" s="614">
        <v>0.43055555555555602</v>
      </c>
      <c r="Z30" s="654"/>
    </row>
    <row r="31" spans="1:26">
      <c r="A31" s="647"/>
      <c r="B31" s="649"/>
      <c r="C31" s="618"/>
      <c r="D31" s="646"/>
      <c r="E31" s="646"/>
      <c r="F31" s="646"/>
      <c r="G31" s="620"/>
      <c r="H31" s="620"/>
      <c r="I31" s="620"/>
      <c r="J31" s="620"/>
      <c r="K31" s="620"/>
      <c r="L31" s="623"/>
      <c r="M31" s="623"/>
      <c r="N31" s="623"/>
      <c r="O31" s="624">
        <f t="shared" si="0"/>
        <v>0</v>
      </c>
      <c r="P31" s="625">
        <f t="shared" si="1"/>
        <v>0</v>
      </c>
      <c r="Q31" s="626">
        <f t="shared" si="2"/>
        <v>0</v>
      </c>
      <c r="S31" s="650"/>
      <c r="T31" s="663"/>
      <c r="U31" s="663"/>
      <c r="V31" s="630"/>
      <c r="W31" s="629" t="str">
        <f t="shared" si="3"/>
        <v>NULL</v>
      </c>
      <c r="X31" s="630"/>
      <c r="Y31" s="614">
        <v>0.44444444444444497</v>
      </c>
      <c r="Z31" s="654"/>
    </row>
    <row r="32" spans="1:26">
      <c r="A32" s="647"/>
      <c r="B32" s="649"/>
      <c r="C32" s="618"/>
      <c r="D32" s="646"/>
      <c r="E32" s="646"/>
      <c r="F32" s="646"/>
      <c r="G32" s="620"/>
      <c r="H32" s="620"/>
      <c r="I32" s="620"/>
      <c r="J32" s="620"/>
      <c r="K32" s="620"/>
      <c r="L32" s="623"/>
      <c r="M32" s="623"/>
      <c r="N32" s="623"/>
      <c r="O32" s="624">
        <f t="shared" si="0"/>
        <v>0</v>
      </c>
      <c r="P32" s="625">
        <f t="shared" si="1"/>
        <v>0</v>
      </c>
      <c r="Q32" s="626">
        <f t="shared" si="2"/>
        <v>0</v>
      </c>
      <c r="S32" s="650"/>
      <c r="T32" s="841" t="s">
        <v>18</v>
      </c>
      <c r="U32" s="841"/>
      <c r="V32" s="630"/>
      <c r="W32" s="629" t="str">
        <f t="shared" si="3"/>
        <v>NULL</v>
      </c>
      <c r="X32" s="630"/>
      <c r="Y32" s="614">
        <v>0.45833333333333398</v>
      </c>
      <c r="Z32" s="654"/>
    </row>
    <row r="33" spans="1:26">
      <c r="A33" s="647"/>
      <c r="B33" s="649"/>
      <c r="C33" s="618"/>
      <c r="D33" s="646"/>
      <c r="E33" s="646"/>
      <c r="F33" s="646"/>
      <c r="G33" s="620"/>
      <c r="H33" s="620"/>
      <c r="I33" s="620"/>
      <c r="J33" s="620"/>
      <c r="K33" s="620"/>
      <c r="L33" s="623"/>
      <c r="M33" s="623"/>
      <c r="N33" s="623"/>
      <c r="O33" s="624">
        <f t="shared" si="0"/>
        <v>0</v>
      </c>
      <c r="P33" s="625">
        <f t="shared" si="1"/>
        <v>0</v>
      </c>
      <c r="Q33" s="626">
        <f t="shared" si="2"/>
        <v>0</v>
      </c>
      <c r="S33" s="650"/>
      <c r="T33" s="842" t="s">
        <v>17</v>
      </c>
      <c r="U33" s="842"/>
      <c r="V33" s="630"/>
      <c r="W33" s="629" t="str">
        <f t="shared" si="3"/>
        <v>NULL</v>
      </c>
      <c r="X33" s="630"/>
      <c r="Y33" s="614">
        <v>0.47222222222222299</v>
      </c>
      <c r="Z33" s="654"/>
    </row>
    <row r="34" spans="1:26">
      <c r="A34" s="647"/>
      <c r="B34" s="649"/>
      <c r="C34" s="618"/>
      <c r="D34" s="646"/>
      <c r="E34" s="646"/>
      <c r="F34" s="646"/>
      <c r="G34" s="620"/>
      <c r="H34" s="620"/>
      <c r="I34" s="620"/>
      <c r="J34" s="620"/>
      <c r="K34" s="620"/>
      <c r="L34" s="623"/>
      <c r="M34" s="623"/>
      <c r="N34" s="623"/>
      <c r="O34" s="624">
        <f t="shared" si="0"/>
        <v>0</v>
      </c>
      <c r="P34" s="625">
        <f t="shared" si="1"/>
        <v>0</v>
      </c>
      <c r="Q34" s="626">
        <f t="shared" si="2"/>
        <v>0</v>
      </c>
      <c r="S34" s="650"/>
      <c r="T34" s="842" t="s">
        <v>1029</v>
      </c>
      <c r="U34" s="842"/>
      <c r="V34" s="630"/>
      <c r="W34" s="629" t="str">
        <f t="shared" si="3"/>
        <v>NULL</v>
      </c>
      <c r="X34" s="630"/>
      <c r="Y34" s="614">
        <v>0.48611111111111099</v>
      </c>
      <c r="Z34" s="654"/>
    </row>
    <row r="35" spans="1:26">
      <c r="A35" s="647"/>
      <c r="B35" s="649"/>
      <c r="C35" s="618"/>
      <c r="D35" s="646"/>
      <c r="E35" s="646"/>
      <c r="F35" s="646"/>
      <c r="G35" s="620"/>
      <c r="H35" s="620"/>
      <c r="I35" s="620"/>
      <c r="J35" s="620"/>
      <c r="K35" s="620"/>
      <c r="L35" s="623"/>
      <c r="M35" s="623"/>
      <c r="N35" s="623"/>
      <c r="O35" s="624">
        <f t="shared" si="0"/>
        <v>0</v>
      </c>
      <c r="P35" s="625">
        <f t="shared" si="1"/>
        <v>0</v>
      </c>
      <c r="Q35" s="626">
        <f t="shared" si="2"/>
        <v>0</v>
      </c>
      <c r="S35" s="650"/>
      <c r="T35" s="842" t="s">
        <v>1030</v>
      </c>
      <c r="U35" s="842"/>
      <c r="V35" s="630"/>
      <c r="W35" s="629" t="str">
        <f t="shared" si="3"/>
        <v>NULL</v>
      </c>
      <c r="X35" s="630"/>
      <c r="Y35" s="614">
        <v>0.5</v>
      </c>
      <c r="Z35" s="654"/>
    </row>
    <row r="36" spans="1:26">
      <c r="A36" s="647"/>
      <c r="B36" s="649"/>
      <c r="C36" s="618"/>
      <c r="D36" s="646"/>
      <c r="E36" s="646"/>
      <c r="F36" s="646"/>
      <c r="G36" s="620"/>
      <c r="H36" s="620"/>
      <c r="I36" s="620"/>
      <c r="J36" s="620"/>
      <c r="K36" s="620"/>
      <c r="L36" s="623"/>
      <c r="M36" s="623"/>
      <c r="N36" s="623"/>
      <c r="O36" s="624">
        <f t="shared" si="0"/>
        <v>0</v>
      </c>
      <c r="P36" s="625">
        <f t="shared" si="1"/>
        <v>0</v>
      </c>
      <c r="Q36" s="626">
        <f t="shared" si="2"/>
        <v>0</v>
      </c>
      <c r="S36" s="650"/>
      <c r="T36" s="630"/>
      <c r="U36" s="630"/>
      <c r="V36" s="630"/>
      <c r="W36" s="629" t="str">
        <f t="shared" si="3"/>
        <v>NULL</v>
      </c>
      <c r="X36" s="630"/>
      <c r="Y36" s="614">
        <v>0.51388888888888895</v>
      </c>
      <c r="Z36" s="654"/>
    </row>
    <row r="37" spans="1:26">
      <c r="A37" s="647"/>
      <c r="B37" s="649"/>
      <c r="C37" s="618"/>
      <c r="D37" s="646"/>
      <c r="E37" s="646"/>
      <c r="F37" s="646"/>
      <c r="G37" s="620"/>
      <c r="H37" s="620"/>
      <c r="I37" s="620"/>
      <c r="J37" s="620"/>
      <c r="K37" s="620"/>
      <c r="L37" s="623"/>
      <c r="M37" s="623"/>
      <c r="N37" s="623"/>
      <c r="O37" s="624">
        <f t="shared" si="0"/>
        <v>0</v>
      </c>
      <c r="P37" s="625">
        <f t="shared" si="1"/>
        <v>0</v>
      </c>
      <c r="Q37" s="626">
        <f t="shared" si="2"/>
        <v>0</v>
      </c>
      <c r="S37" s="650"/>
      <c r="T37" s="630"/>
      <c r="U37" s="630"/>
      <c r="V37" s="630"/>
      <c r="W37" s="629" t="str">
        <f t="shared" si="3"/>
        <v>NULL</v>
      </c>
      <c r="X37" s="630"/>
      <c r="Y37" s="614">
        <v>0.52777777777777801</v>
      </c>
      <c r="Z37" s="654"/>
    </row>
    <row r="38" spans="1:26">
      <c r="A38" s="647"/>
      <c r="B38" s="649"/>
      <c r="C38" s="618"/>
      <c r="D38" s="618"/>
      <c r="E38" s="618"/>
      <c r="F38" s="618"/>
      <c r="G38" s="623"/>
      <c r="H38" s="623"/>
      <c r="I38" s="623"/>
      <c r="J38" s="623"/>
      <c r="K38" s="623"/>
      <c r="L38" s="623"/>
      <c r="M38" s="623"/>
      <c r="N38" s="623"/>
      <c r="O38" s="624">
        <f t="shared" si="0"/>
        <v>0</v>
      </c>
      <c r="P38" s="625">
        <f t="shared" si="1"/>
        <v>0</v>
      </c>
      <c r="Q38" s="626">
        <f t="shared" si="2"/>
        <v>0</v>
      </c>
      <c r="S38" s="650"/>
      <c r="T38" s="630"/>
      <c r="U38" s="630"/>
      <c r="V38" s="630"/>
      <c r="W38" s="629" t="str">
        <f t="shared" si="3"/>
        <v>NULL</v>
      </c>
      <c r="X38" s="630"/>
      <c r="Y38" s="614">
        <v>0.54166666666666696</v>
      </c>
      <c r="Z38" s="654"/>
    </row>
    <row r="39" spans="1:26">
      <c r="A39" s="647"/>
      <c r="B39" s="649"/>
      <c r="C39" s="618"/>
      <c r="D39" s="618"/>
      <c r="E39" s="618"/>
      <c r="F39" s="618"/>
      <c r="G39" s="623"/>
      <c r="H39" s="623"/>
      <c r="I39" s="623"/>
      <c r="J39" s="623"/>
      <c r="K39" s="623"/>
      <c r="L39" s="623"/>
      <c r="M39" s="623"/>
      <c r="N39" s="623"/>
      <c r="O39" s="624">
        <f t="shared" si="0"/>
        <v>0</v>
      </c>
      <c r="P39" s="625">
        <f t="shared" si="1"/>
        <v>0</v>
      </c>
      <c r="Q39" s="626">
        <f t="shared" si="2"/>
        <v>0</v>
      </c>
      <c r="S39" s="650"/>
      <c r="T39" s="630"/>
      <c r="U39" s="630"/>
      <c r="V39" s="630"/>
      <c r="W39" s="629" t="str">
        <f t="shared" si="3"/>
        <v>NULL</v>
      </c>
      <c r="X39" s="630"/>
      <c r="Y39" s="614">
        <v>0.55555555555555602</v>
      </c>
      <c r="Z39" s="654"/>
    </row>
    <row r="40" spans="1:26">
      <c r="A40" s="647"/>
      <c r="B40" s="649"/>
      <c r="C40" s="618"/>
      <c r="D40" s="618"/>
      <c r="E40" s="618"/>
      <c r="F40" s="618"/>
      <c r="G40" s="656"/>
      <c r="H40" s="656"/>
      <c r="I40" s="656"/>
      <c r="J40" s="656"/>
      <c r="K40" s="656"/>
      <c r="L40" s="656"/>
      <c r="M40" s="656"/>
      <c r="N40" s="656"/>
      <c r="O40" s="624">
        <f t="shared" si="0"/>
        <v>0</v>
      </c>
      <c r="P40" s="625">
        <f t="shared" si="1"/>
        <v>0</v>
      </c>
      <c r="Q40" s="626">
        <f t="shared" si="2"/>
        <v>0</v>
      </c>
      <c r="S40" s="650"/>
      <c r="T40" s="630"/>
      <c r="U40" s="630"/>
      <c r="V40" s="630"/>
      <c r="W40" s="629" t="str">
        <f t="shared" si="3"/>
        <v>NULL</v>
      </c>
      <c r="X40" s="630"/>
      <c r="Y40" s="614">
        <v>0.56944444444444497</v>
      </c>
      <c r="Z40" s="654"/>
    </row>
    <row r="41" spans="1:26">
      <c r="A41" s="647"/>
      <c r="B41" s="649"/>
      <c r="C41" s="618"/>
      <c r="D41" s="618"/>
      <c r="E41" s="618"/>
      <c r="F41" s="618"/>
      <c r="G41" s="656"/>
      <c r="H41" s="656"/>
      <c r="I41" s="656"/>
      <c r="J41" s="656"/>
      <c r="K41" s="656"/>
      <c r="L41" s="656"/>
      <c r="M41" s="656"/>
      <c r="N41" s="656"/>
      <c r="O41" s="624">
        <f t="shared" si="0"/>
        <v>0</v>
      </c>
      <c r="P41" s="625">
        <f t="shared" si="1"/>
        <v>0</v>
      </c>
      <c r="Q41" s="626">
        <f t="shared" si="2"/>
        <v>0</v>
      </c>
      <c r="S41" s="650"/>
      <c r="T41" s="630"/>
      <c r="U41" s="630"/>
      <c r="V41" s="630"/>
      <c r="W41" s="629" t="str">
        <f t="shared" si="3"/>
        <v>NULL</v>
      </c>
      <c r="X41" s="630"/>
      <c r="Y41" s="614">
        <v>0.58333333333333404</v>
      </c>
      <c r="Z41" s="654"/>
    </row>
    <row r="42" spans="1:26">
      <c r="A42" s="647"/>
      <c r="B42" s="649"/>
      <c r="C42" s="618"/>
      <c r="D42" s="618"/>
      <c r="E42" s="618"/>
      <c r="F42" s="618"/>
      <c r="G42" s="656"/>
      <c r="H42" s="656"/>
      <c r="I42" s="656"/>
      <c r="J42" s="656"/>
      <c r="K42" s="656"/>
      <c r="L42" s="656"/>
      <c r="M42" s="656"/>
      <c r="N42" s="656"/>
      <c r="O42" s="624">
        <f t="shared" si="0"/>
        <v>0</v>
      </c>
      <c r="P42" s="625">
        <f t="shared" si="1"/>
        <v>0</v>
      </c>
      <c r="Q42" s="626">
        <f t="shared" si="2"/>
        <v>0</v>
      </c>
      <c r="S42" s="650"/>
      <c r="T42" s="630"/>
      <c r="U42" s="630"/>
      <c r="V42" s="630"/>
      <c r="W42" s="629" t="str">
        <f t="shared" si="3"/>
        <v>NULL</v>
      </c>
      <c r="X42" s="630"/>
      <c r="Y42" s="614">
        <v>0.59722222222222299</v>
      </c>
      <c r="Z42" s="654"/>
    </row>
    <row r="43" spans="1:26">
      <c r="A43" s="647"/>
      <c r="B43" s="649"/>
      <c r="C43" s="618"/>
      <c r="D43" s="618"/>
      <c r="E43" s="618"/>
      <c r="F43" s="618"/>
      <c r="G43" s="656"/>
      <c r="H43" s="656"/>
      <c r="I43" s="656"/>
      <c r="J43" s="656"/>
      <c r="K43" s="656"/>
      <c r="L43" s="656"/>
      <c r="M43" s="656"/>
      <c r="N43" s="656"/>
      <c r="O43" s="624">
        <f t="shared" si="0"/>
        <v>0</v>
      </c>
      <c r="P43" s="625">
        <f t="shared" si="1"/>
        <v>0</v>
      </c>
      <c r="Q43" s="626">
        <f t="shared" si="2"/>
        <v>0</v>
      </c>
      <c r="S43" s="650"/>
      <c r="T43" s="630"/>
      <c r="U43" s="630"/>
      <c r="V43" s="630"/>
      <c r="W43" s="629" t="str">
        <f t="shared" si="3"/>
        <v>NULL</v>
      </c>
      <c r="X43" s="630"/>
      <c r="Y43" s="614">
        <v>0.61111111111111105</v>
      </c>
      <c r="Z43" s="654"/>
    </row>
    <row r="44" spans="1:26">
      <c r="A44" s="647"/>
      <c r="B44" s="649"/>
      <c r="C44" s="618"/>
      <c r="D44" s="618"/>
      <c r="E44" s="618"/>
      <c r="F44" s="618"/>
      <c r="G44" s="656"/>
      <c r="H44" s="656"/>
      <c r="I44" s="656"/>
      <c r="J44" s="656"/>
      <c r="K44" s="656"/>
      <c r="L44" s="656"/>
      <c r="M44" s="656"/>
      <c r="N44" s="656"/>
      <c r="O44" s="624">
        <f t="shared" si="0"/>
        <v>0</v>
      </c>
      <c r="P44" s="625">
        <f t="shared" si="1"/>
        <v>0</v>
      </c>
      <c r="Q44" s="626">
        <f t="shared" si="2"/>
        <v>0</v>
      </c>
      <c r="S44" s="650"/>
      <c r="T44" s="630"/>
      <c r="U44" s="630"/>
      <c r="V44" s="630"/>
      <c r="W44" s="629" t="str">
        <f t="shared" si="3"/>
        <v>NULL</v>
      </c>
      <c r="X44" s="630"/>
      <c r="Y44" s="614">
        <v>0.625</v>
      </c>
      <c r="Z44" s="654"/>
    </row>
    <row r="45" spans="1:26">
      <c r="A45" s="647"/>
      <c r="B45" s="649"/>
      <c r="C45" s="618"/>
      <c r="D45" s="618"/>
      <c r="E45" s="618"/>
      <c r="F45" s="618"/>
      <c r="G45" s="656"/>
      <c r="H45" s="656"/>
      <c r="I45" s="656"/>
      <c r="J45" s="656"/>
      <c r="K45" s="656"/>
      <c r="L45" s="656"/>
      <c r="M45" s="656"/>
      <c r="N45" s="656"/>
      <c r="O45" s="624">
        <f t="shared" si="0"/>
        <v>0</v>
      </c>
      <c r="P45" s="625">
        <f t="shared" si="1"/>
        <v>0</v>
      </c>
      <c r="Q45" s="626">
        <f t="shared" si="2"/>
        <v>0</v>
      </c>
      <c r="S45" s="650"/>
      <c r="T45" s="630"/>
      <c r="U45" s="630"/>
      <c r="V45" s="630"/>
      <c r="W45" s="629" t="str">
        <f t="shared" si="3"/>
        <v>NULL</v>
      </c>
      <c r="X45" s="630"/>
      <c r="Y45" s="614">
        <v>0.63888888888888895</v>
      </c>
      <c r="Z45" s="654"/>
    </row>
    <row r="46" spans="1:26">
      <c r="A46" s="647"/>
      <c r="B46" s="649"/>
      <c r="C46" s="618"/>
      <c r="D46" s="618"/>
      <c r="E46" s="618"/>
      <c r="F46" s="618"/>
      <c r="G46" s="656"/>
      <c r="H46" s="656"/>
      <c r="I46" s="656"/>
      <c r="J46" s="656"/>
      <c r="K46" s="656"/>
      <c r="L46" s="656"/>
      <c r="M46" s="656"/>
      <c r="N46" s="656"/>
      <c r="O46" s="624">
        <f t="shared" si="0"/>
        <v>0</v>
      </c>
      <c r="P46" s="625">
        <f t="shared" si="1"/>
        <v>0</v>
      </c>
      <c r="Q46" s="626">
        <f t="shared" si="2"/>
        <v>0</v>
      </c>
      <c r="S46" s="650"/>
      <c r="T46" s="630"/>
      <c r="U46" s="630"/>
      <c r="V46" s="630"/>
      <c r="W46" s="629" t="str">
        <f t="shared" si="3"/>
        <v>NULL</v>
      </c>
      <c r="X46" s="630"/>
      <c r="Y46" s="614">
        <v>0.65277777777777801</v>
      </c>
      <c r="Z46" s="654"/>
    </row>
    <row r="47" spans="1:26">
      <c r="A47" s="647"/>
      <c r="B47" s="649"/>
      <c r="C47" s="618"/>
      <c r="D47" s="618"/>
      <c r="E47" s="618"/>
      <c r="F47" s="618"/>
      <c r="G47" s="656"/>
      <c r="H47" s="656"/>
      <c r="I47" s="656"/>
      <c r="J47" s="656"/>
      <c r="K47" s="656"/>
      <c r="L47" s="656"/>
      <c r="M47" s="656"/>
      <c r="N47" s="656"/>
      <c r="O47" s="624">
        <f t="shared" si="0"/>
        <v>0</v>
      </c>
      <c r="P47" s="625">
        <f t="shared" si="1"/>
        <v>0</v>
      </c>
      <c r="Q47" s="626">
        <f t="shared" si="2"/>
        <v>0</v>
      </c>
      <c r="S47" s="650"/>
      <c r="T47" s="630"/>
      <c r="U47" s="630"/>
      <c r="V47" s="630"/>
      <c r="W47" s="629" t="str">
        <f t="shared" si="3"/>
        <v>NULL</v>
      </c>
      <c r="X47" s="630"/>
      <c r="Y47" s="614">
        <v>0.66666666666666696</v>
      </c>
      <c r="Z47" s="654"/>
    </row>
    <row r="48" spans="1:26">
      <c r="A48" s="647"/>
      <c r="B48" s="649"/>
      <c r="C48" s="618"/>
      <c r="D48" s="618"/>
      <c r="E48" s="618"/>
      <c r="F48" s="618"/>
      <c r="G48" s="656"/>
      <c r="H48" s="656"/>
      <c r="I48" s="656"/>
      <c r="J48" s="656"/>
      <c r="K48" s="656"/>
      <c r="L48" s="656"/>
      <c r="M48" s="656"/>
      <c r="N48" s="656"/>
      <c r="O48" s="624">
        <f t="shared" si="0"/>
        <v>0</v>
      </c>
      <c r="P48" s="625">
        <f t="shared" si="1"/>
        <v>0</v>
      </c>
      <c r="Q48" s="626">
        <f t="shared" si="2"/>
        <v>0</v>
      </c>
      <c r="S48" s="650"/>
      <c r="T48" s="630"/>
      <c r="U48" s="630"/>
      <c r="V48" s="630"/>
      <c r="W48" s="629" t="str">
        <f t="shared" si="3"/>
        <v>NULL</v>
      </c>
      <c r="X48" s="630"/>
      <c r="Y48" s="614">
        <v>0.68055555555555602</v>
      </c>
      <c r="Z48" s="654"/>
    </row>
    <row r="49" spans="1:26">
      <c r="A49" s="647"/>
      <c r="B49" s="649"/>
      <c r="C49" s="618"/>
      <c r="D49" s="618"/>
      <c r="E49" s="618"/>
      <c r="F49" s="618"/>
      <c r="G49" s="656"/>
      <c r="H49" s="656"/>
      <c r="I49" s="656"/>
      <c r="J49" s="656"/>
      <c r="K49" s="656"/>
      <c r="L49" s="656"/>
      <c r="M49" s="656"/>
      <c r="N49" s="656"/>
      <c r="O49" s="624">
        <f t="shared" si="0"/>
        <v>0</v>
      </c>
      <c r="P49" s="625">
        <f t="shared" si="1"/>
        <v>0</v>
      </c>
      <c r="Q49" s="626">
        <f t="shared" si="2"/>
        <v>0</v>
      </c>
      <c r="S49" s="650"/>
      <c r="T49" s="630"/>
      <c r="U49" s="630"/>
      <c r="V49" s="630"/>
      <c r="W49" s="629" t="str">
        <f t="shared" si="3"/>
        <v>NULL</v>
      </c>
      <c r="X49" s="630"/>
      <c r="Y49" s="614">
        <v>0.69444444444444497</v>
      </c>
      <c r="Z49" s="654"/>
    </row>
    <row r="50" spans="1:26">
      <c r="A50" s="647"/>
      <c r="B50" s="649"/>
      <c r="C50" s="618"/>
      <c r="D50" s="618"/>
      <c r="E50" s="618"/>
      <c r="F50" s="618"/>
      <c r="G50" s="656"/>
      <c r="H50" s="656"/>
      <c r="I50" s="656"/>
      <c r="J50" s="656"/>
      <c r="K50" s="656"/>
      <c r="L50" s="656"/>
      <c r="M50" s="656"/>
      <c r="N50" s="656"/>
      <c r="O50" s="624">
        <f t="shared" si="0"/>
        <v>0</v>
      </c>
      <c r="P50" s="625">
        <f t="shared" si="1"/>
        <v>0</v>
      </c>
      <c r="Q50" s="626">
        <f t="shared" si="2"/>
        <v>0</v>
      </c>
      <c r="S50" s="650"/>
      <c r="T50" s="630"/>
      <c r="U50" s="630"/>
      <c r="V50" s="630"/>
      <c r="W50" s="629" t="str">
        <f t="shared" si="3"/>
        <v>NULL</v>
      </c>
      <c r="X50" s="630"/>
      <c r="Y50" s="614">
        <v>0.70833333333333404</v>
      </c>
      <c r="Z50" s="654"/>
    </row>
    <row r="51" spans="1:26">
      <c r="A51" s="647"/>
      <c r="B51" s="649"/>
      <c r="C51" s="618"/>
      <c r="D51" s="618"/>
      <c r="E51" s="618"/>
      <c r="F51" s="618"/>
      <c r="G51" s="656"/>
      <c r="H51" s="656"/>
      <c r="I51" s="656"/>
      <c r="J51" s="656"/>
      <c r="K51" s="656"/>
      <c r="L51" s="656"/>
      <c r="M51" s="656"/>
      <c r="N51" s="656"/>
      <c r="O51" s="624">
        <f t="shared" si="0"/>
        <v>0</v>
      </c>
      <c r="P51" s="625">
        <f t="shared" si="1"/>
        <v>0</v>
      </c>
      <c r="Q51" s="626">
        <f t="shared" si="2"/>
        <v>0</v>
      </c>
      <c r="S51" s="650"/>
      <c r="T51" s="630"/>
      <c r="U51" s="630"/>
      <c r="V51" s="630"/>
      <c r="W51" s="629" t="str">
        <f t="shared" si="3"/>
        <v>NULL</v>
      </c>
      <c r="X51" s="630"/>
      <c r="Y51" s="614">
        <v>0.72222222222222199</v>
      </c>
      <c r="Z51" s="654"/>
    </row>
    <row r="52" spans="1:26">
      <c r="A52" s="647"/>
      <c r="B52" s="649"/>
      <c r="C52" s="618"/>
      <c r="D52" s="618"/>
      <c r="E52" s="618"/>
      <c r="F52" s="618"/>
      <c r="G52" s="656"/>
      <c r="H52" s="656"/>
      <c r="I52" s="656"/>
      <c r="J52" s="656"/>
      <c r="K52" s="656"/>
      <c r="L52" s="656"/>
      <c r="M52" s="656"/>
      <c r="N52" s="656"/>
      <c r="O52" s="624">
        <f t="shared" si="0"/>
        <v>0</v>
      </c>
      <c r="P52" s="625">
        <f t="shared" si="1"/>
        <v>0</v>
      </c>
      <c r="Q52" s="626">
        <f t="shared" si="2"/>
        <v>0</v>
      </c>
      <c r="S52" s="650"/>
      <c r="T52" s="630"/>
      <c r="U52" s="630"/>
      <c r="V52" s="630"/>
      <c r="W52" s="629" t="str">
        <f t="shared" si="3"/>
        <v>NULL</v>
      </c>
      <c r="X52" s="630"/>
      <c r="Y52" s="614">
        <v>0.73611111111111105</v>
      </c>
      <c r="Z52" s="654"/>
    </row>
    <row r="53" spans="1:26">
      <c r="A53" s="647"/>
      <c r="B53" s="649"/>
      <c r="C53" s="618"/>
      <c r="D53" s="618"/>
      <c r="E53" s="618"/>
      <c r="F53" s="618"/>
      <c r="G53" s="656"/>
      <c r="H53" s="656"/>
      <c r="I53" s="656"/>
      <c r="J53" s="656"/>
      <c r="K53" s="656"/>
      <c r="L53" s="656"/>
      <c r="M53" s="656"/>
      <c r="N53" s="656"/>
      <c r="O53" s="624">
        <f t="shared" si="0"/>
        <v>0</v>
      </c>
      <c r="P53" s="625">
        <f t="shared" si="1"/>
        <v>0</v>
      </c>
      <c r="Q53" s="626">
        <f t="shared" si="2"/>
        <v>0</v>
      </c>
      <c r="S53" s="650"/>
      <c r="T53" s="630"/>
      <c r="U53" s="630"/>
      <c r="V53" s="630"/>
      <c r="W53" s="629" t="str">
        <f t="shared" si="3"/>
        <v>NULL</v>
      </c>
      <c r="X53" s="630"/>
      <c r="Y53" s="614">
        <v>0.75</v>
      </c>
      <c r="Z53" s="654"/>
    </row>
    <row r="54" spans="1:26">
      <c r="A54" s="647"/>
      <c r="B54" s="649"/>
      <c r="C54" s="618"/>
      <c r="D54" s="618"/>
      <c r="E54" s="618"/>
      <c r="F54" s="618"/>
      <c r="G54" s="656"/>
      <c r="H54" s="656"/>
      <c r="I54" s="656"/>
      <c r="J54" s="656"/>
      <c r="K54" s="656"/>
      <c r="L54" s="656"/>
      <c r="M54" s="656"/>
      <c r="N54" s="656"/>
      <c r="O54" s="624">
        <f t="shared" si="0"/>
        <v>0</v>
      </c>
      <c r="P54" s="625">
        <f t="shared" si="1"/>
        <v>0</v>
      </c>
      <c r="Q54" s="626">
        <f t="shared" si="2"/>
        <v>0</v>
      </c>
      <c r="S54" s="650"/>
      <c r="T54" s="630"/>
      <c r="U54" s="630"/>
      <c r="V54" s="630"/>
      <c r="W54" s="629" t="str">
        <f t="shared" si="3"/>
        <v>NULL</v>
      </c>
      <c r="X54" s="630"/>
      <c r="Y54" s="614">
        <v>0.76388888888888895</v>
      </c>
      <c r="Z54" s="654"/>
    </row>
    <row r="55" spans="1:26">
      <c r="A55" s="647"/>
      <c r="B55" s="649"/>
      <c r="C55" s="618"/>
      <c r="D55" s="618"/>
      <c r="E55" s="618"/>
      <c r="F55" s="618"/>
      <c r="G55" s="656"/>
      <c r="H55" s="656"/>
      <c r="I55" s="656"/>
      <c r="J55" s="656"/>
      <c r="K55" s="656"/>
      <c r="L55" s="656"/>
      <c r="M55" s="656"/>
      <c r="N55" s="656"/>
      <c r="O55" s="624">
        <f t="shared" si="0"/>
        <v>0</v>
      </c>
      <c r="P55" s="625">
        <f t="shared" si="1"/>
        <v>0</v>
      </c>
      <c r="Q55" s="626">
        <f t="shared" si="2"/>
        <v>0</v>
      </c>
      <c r="S55" s="650"/>
      <c r="T55" s="630"/>
      <c r="U55" s="630"/>
      <c r="V55" s="630"/>
      <c r="W55" s="629" t="str">
        <f t="shared" si="3"/>
        <v>NULL</v>
      </c>
      <c r="X55" s="630"/>
      <c r="Y55" s="614">
        <v>0.77777777777777801</v>
      </c>
      <c r="Z55" s="654"/>
    </row>
    <row r="56" spans="1:26">
      <c r="A56" s="647"/>
      <c r="B56" s="649"/>
      <c r="C56" s="618"/>
      <c r="D56" s="618"/>
      <c r="E56" s="618"/>
      <c r="F56" s="618"/>
      <c r="G56" s="656"/>
      <c r="H56" s="656"/>
      <c r="I56" s="656"/>
      <c r="J56" s="656"/>
      <c r="K56" s="656"/>
      <c r="L56" s="656"/>
      <c r="M56" s="656"/>
      <c r="N56" s="656"/>
      <c r="O56" s="624">
        <f t="shared" si="0"/>
        <v>0</v>
      </c>
      <c r="P56" s="625">
        <f t="shared" si="1"/>
        <v>0</v>
      </c>
      <c r="Q56" s="626">
        <f t="shared" si="2"/>
        <v>0</v>
      </c>
      <c r="S56" s="650"/>
      <c r="T56" s="630"/>
      <c r="U56" s="630"/>
      <c r="V56" s="630"/>
      <c r="W56" s="629" t="str">
        <f t="shared" si="3"/>
        <v>NULL</v>
      </c>
      <c r="X56" s="630"/>
      <c r="Y56" s="614">
        <v>0.79166666666666696</v>
      </c>
      <c r="Z56" s="654"/>
    </row>
    <row r="57" spans="1:26">
      <c r="A57" s="647"/>
      <c r="B57" s="649"/>
      <c r="C57" s="618"/>
      <c r="D57" s="618"/>
      <c r="E57" s="618"/>
      <c r="F57" s="618"/>
      <c r="G57" s="656"/>
      <c r="H57" s="656"/>
      <c r="I57" s="656"/>
      <c r="J57" s="656"/>
      <c r="K57" s="656"/>
      <c r="L57" s="656"/>
      <c r="M57" s="656"/>
      <c r="N57" s="656"/>
      <c r="O57" s="624">
        <f t="shared" si="0"/>
        <v>0</v>
      </c>
      <c r="P57" s="625">
        <f t="shared" si="1"/>
        <v>0</v>
      </c>
      <c r="Q57" s="626">
        <f t="shared" si="2"/>
        <v>0</v>
      </c>
      <c r="S57" s="650"/>
      <c r="T57" s="630"/>
      <c r="U57" s="630"/>
      <c r="V57" s="630"/>
      <c r="W57" s="629" t="str">
        <f t="shared" si="3"/>
        <v>NULL</v>
      </c>
      <c r="X57" s="630"/>
      <c r="Y57" s="614">
        <v>0.80555555555555602</v>
      </c>
      <c r="Z57" s="654"/>
    </row>
    <row r="58" spans="1:26">
      <c r="A58" s="647"/>
      <c r="B58" s="649"/>
      <c r="C58" s="618"/>
      <c r="D58" s="618"/>
      <c r="E58" s="618"/>
      <c r="F58" s="618"/>
      <c r="G58" s="656"/>
      <c r="H58" s="656"/>
      <c r="I58" s="656"/>
      <c r="J58" s="656"/>
      <c r="K58" s="656"/>
      <c r="L58" s="656"/>
      <c r="M58" s="656"/>
      <c r="N58" s="656"/>
      <c r="O58" s="624">
        <f t="shared" si="0"/>
        <v>0</v>
      </c>
      <c r="P58" s="625">
        <f t="shared" si="1"/>
        <v>0</v>
      </c>
      <c r="Q58" s="626">
        <f t="shared" si="2"/>
        <v>0</v>
      </c>
      <c r="S58" s="650"/>
      <c r="T58" s="630"/>
      <c r="U58" s="630"/>
      <c r="V58" s="630"/>
      <c r="W58" s="629" t="str">
        <f t="shared" si="3"/>
        <v>NULL</v>
      </c>
      <c r="X58" s="630"/>
      <c r="Y58" s="614">
        <v>0.81944444444444497</v>
      </c>
      <c r="Z58" s="654"/>
    </row>
    <row r="59" spans="1:26">
      <c r="A59" s="647"/>
      <c r="B59" s="649"/>
      <c r="C59" s="618"/>
      <c r="D59" s="618"/>
      <c r="E59" s="618"/>
      <c r="F59" s="618"/>
      <c r="G59" s="656"/>
      <c r="H59" s="656"/>
      <c r="I59" s="656"/>
      <c r="J59" s="656"/>
      <c r="K59" s="656"/>
      <c r="L59" s="656"/>
      <c r="M59" s="656"/>
      <c r="N59" s="656"/>
      <c r="O59" s="624">
        <f t="shared" si="0"/>
        <v>0</v>
      </c>
      <c r="P59" s="625">
        <f t="shared" si="1"/>
        <v>0</v>
      </c>
      <c r="Q59" s="626">
        <f t="shared" si="2"/>
        <v>0</v>
      </c>
      <c r="S59" s="650"/>
      <c r="T59" s="630"/>
      <c r="U59" s="630"/>
      <c r="V59" s="630"/>
      <c r="W59" s="629" t="str">
        <f t="shared" si="3"/>
        <v>NULL</v>
      </c>
      <c r="X59" s="630"/>
      <c r="Y59" s="614">
        <v>0.83333333333333404</v>
      </c>
      <c r="Z59" s="654"/>
    </row>
    <row r="60" spans="1:26">
      <c r="A60" s="647"/>
      <c r="B60" s="649"/>
      <c r="C60" s="618"/>
      <c r="D60" s="618"/>
      <c r="E60" s="618"/>
      <c r="F60" s="618"/>
      <c r="G60" s="656"/>
      <c r="H60" s="656"/>
      <c r="I60" s="656"/>
      <c r="J60" s="656"/>
      <c r="K60" s="656"/>
      <c r="L60" s="656"/>
      <c r="M60" s="656"/>
      <c r="N60" s="656"/>
      <c r="O60" s="624">
        <f t="shared" si="0"/>
        <v>0</v>
      </c>
      <c r="P60" s="625">
        <f t="shared" si="1"/>
        <v>0</v>
      </c>
      <c r="Q60" s="626">
        <f t="shared" si="2"/>
        <v>0</v>
      </c>
      <c r="S60" s="650"/>
      <c r="T60" s="630"/>
      <c r="U60" s="630"/>
      <c r="V60" s="630"/>
      <c r="W60" s="629" t="str">
        <f t="shared" si="3"/>
        <v>NULL</v>
      </c>
      <c r="X60" s="630"/>
      <c r="Y60" s="614">
        <v>0.84722222222222199</v>
      </c>
      <c r="Z60" s="654"/>
    </row>
    <row r="61" spans="1:26">
      <c r="A61" s="647"/>
      <c r="B61" s="649"/>
      <c r="C61" s="618"/>
      <c r="D61" s="618"/>
      <c r="E61" s="618"/>
      <c r="F61" s="618"/>
      <c r="G61" s="656"/>
      <c r="H61" s="656"/>
      <c r="I61" s="656"/>
      <c r="J61" s="656"/>
      <c r="K61" s="656"/>
      <c r="L61" s="656"/>
      <c r="M61" s="656"/>
      <c r="N61" s="656"/>
      <c r="O61" s="624">
        <f t="shared" si="0"/>
        <v>0</v>
      </c>
      <c r="P61" s="625">
        <f t="shared" si="1"/>
        <v>0</v>
      </c>
      <c r="Q61" s="626">
        <f t="shared" si="2"/>
        <v>0</v>
      </c>
      <c r="S61" s="650"/>
      <c r="T61" s="630"/>
      <c r="U61" s="630"/>
      <c r="V61" s="630"/>
      <c r="W61" s="629" t="str">
        <f t="shared" si="3"/>
        <v>NULL</v>
      </c>
      <c r="X61" s="630"/>
      <c r="Y61" s="614">
        <v>0.86111111111111105</v>
      </c>
      <c r="Z61" s="654"/>
    </row>
    <row r="62" spans="1:26">
      <c r="A62" s="647"/>
      <c r="B62" s="649"/>
      <c r="C62" s="618"/>
      <c r="D62" s="618"/>
      <c r="E62" s="618"/>
      <c r="F62" s="618"/>
      <c r="G62" s="656"/>
      <c r="H62" s="656"/>
      <c r="I62" s="656"/>
      <c r="J62" s="656"/>
      <c r="K62" s="656"/>
      <c r="L62" s="656"/>
      <c r="M62" s="656"/>
      <c r="N62" s="656"/>
      <c r="O62" s="624">
        <f t="shared" si="0"/>
        <v>0</v>
      </c>
      <c r="P62" s="625">
        <f t="shared" si="1"/>
        <v>0</v>
      </c>
      <c r="Q62" s="626">
        <f t="shared" si="2"/>
        <v>0</v>
      </c>
      <c r="S62" s="650"/>
      <c r="T62" s="630"/>
      <c r="U62" s="630"/>
      <c r="V62" s="630"/>
      <c r="W62" s="629" t="str">
        <f t="shared" si="3"/>
        <v>NULL</v>
      </c>
      <c r="X62" s="630"/>
      <c r="Y62" s="614">
        <v>0.875</v>
      </c>
      <c r="Z62" s="654"/>
    </row>
    <row r="63" spans="1:26">
      <c r="A63" s="647"/>
      <c r="B63" s="649"/>
      <c r="C63" s="618"/>
      <c r="D63" s="618"/>
      <c r="E63" s="618"/>
      <c r="F63" s="618"/>
      <c r="G63" s="656"/>
      <c r="H63" s="656"/>
      <c r="I63" s="656"/>
      <c r="J63" s="656"/>
      <c r="K63" s="656"/>
      <c r="L63" s="656"/>
      <c r="M63" s="656"/>
      <c r="N63" s="656"/>
      <c r="O63" s="624">
        <f t="shared" si="0"/>
        <v>0</v>
      </c>
      <c r="P63" s="625">
        <f t="shared" si="1"/>
        <v>0</v>
      </c>
      <c r="Q63" s="626">
        <f t="shared" si="2"/>
        <v>0</v>
      </c>
      <c r="S63" s="650"/>
      <c r="T63" s="630"/>
      <c r="U63" s="630"/>
      <c r="V63" s="630"/>
      <c r="W63" s="629" t="str">
        <f t="shared" si="3"/>
        <v>NULL</v>
      </c>
      <c r="X63" s="630"/>
      <c r="Y63" s="614">
        <v>0.88888888888888895</v>
      </c>
      <c r="Z63" s="654"/>
    </row>
    <row r="64" spans="1:26">
      <c r="A64" s="647"/>
      <c r="B64" s="649"/>
      <c r="C64" s="618"/>
      <c r="D64" s="618"/>
      <c r="E64" s="618"/>
      <c r="F64" s="618"/>
      <c r="G64" s="656"/>
      <c r="H64" s="656"/>
      <c r="I64" s="656"/>
      <c r="J64" s="656"/>
      <c r="K64" s="656"/>
      <c r="L64" s="656"/>
      <c r="M64" s="656"/>
      <c r="N64" s="656"/>
      <c r="O64" s="624">
        <f t="shared" si="0"/>
        <v>0</v>
      </c>
      <c r="P64" s="625">
        <f t="shared" si="1"/>
        <v>0</v>
      </c>
      <c r="Q64" s="626">
        <f t="shared" si="2"/>
        <v>0</v>
      </c>
      <c r="S64" s="650"/>
      <c r="T64" s="630"/>
      <c r="U64" s="630"/>
      <c r="V64" s="630"/>
      <c r="W64" s="629" t="str">
        <f t="shared" si="3"/>
        <v>NULL</v>
      </c>
      <c r="X64" s="630"/>
      <c r="Y64" s="614">
        <v>0.90277777777777801</v>
      </c>
      <c r="Z64" s="654"/>
    </row>
    <row r="65" spans="1:26">
      <c r="A65" s="647"/>
      <c r="B65" s="649"/>
      <c r="C65" s="618"/>
      <c r="D65" s="618"/>
      <c r="E65" s="618"/>
      <c r="F65" s="618"/>
      <c r="G65" s="656"/>
      <c r="H65" s="656"/>
      <c r="I65" s="656"/>
      <c r="J65" s="656"/>
      <c r="K65" s="656"/>
      <c r="L65" s="656"/>
      <c r="M65" s="656"/>
      <c r="N65" s="656"/>
      <c r="O65" s="624">
        <f t="shared" si="0"/>
        <v>0</v>
      </c>
      <c r="P65" s="625">
        <f t="shared" si="1"/>
        <v>0</v>
      </c>
      <c r="Q65" s="626">
        <f t="shared" si="2"/>
        <v>0</v>
      </c>
      <c r="S65" s="650"/>
      <c r="T65" s="630"/>
      <c r="U65" s="630"/>
      <c r="V65" s="630"/>
      <c r="W65" s="629" t="str">
        <f t="shared" si="3"/>
        <v>NULL</v>
      </c>
      <c r="X65" s="630"/>
      <c r="Y65" s="614">
        <v>0.91666666666666696</v>
      </c>
      <c r="Z65" s="654"/>
    </row>
    <row r="66" spans="1:26">
      <c r="A66" s="647"/>
      <c r="B66" s="649"/>
      <c r="C66" s="618"/>
      <c r="D66" s="618"/>
      <c r="E66" s="618"/>
      <c r="F66" s="618"/>
      <c r="G66" s="656"/>
      <c r="H66" s="656"/>
      <c r="I66" s="656"/>
      <c r="J66" s="656"/>
      <c r="K66" s="656"/>
      <c r="L66" s="656"/>
      <c r="M66" s="656"/>
      <c r="N66" s="656"/>
      <c r="O66" s="624">
        <f t="shared" si="0"/>
        <v>0</v>
      </c>
      <c r="P66" s="625">
        <f t="shared" si="1"/>
        <v>0</v>
      </c>
      <c r="Q66" s="626">
        <f t="shared" si="2"/>
        <v>0</v>
      </c>
      <c r="S66" s="650"/>
      <c r="T66" s="630"/>
      <c r="U66" s="630"/>
      <c r="V66" s="630"/>
      <c r="W66" s="629" t="str">
        <f t="shared" si="3"/>
        <v>NULL</v>
      </c>
      <c r="X66" s="630"/>
      <c r="Y66" s="614">
        <v>0.93055555555555602</v>
      </c>
      <c r="Z66" s="654"/>
    </row>
    <row r="67" spans="1:26">
      <c r="A67" s="647"/>
      <c r="B67" s="649"/>
      <c r="C67" s="618"/>
      <c r="D67" s="618"/>
      <c r="E67" s="618"/>
      <c r="F67" s="618"/>
      <c r="G67" s="656"/>
      <c r="H67" s="656"/>
      <c r="I67" s="656"/>
      <c r="J67" s="656"/>
      <c r="K67" s="656"/>
      <c r="L67" s="656"/>
      <c r="M67" s="656"/>
      <c r="N67" s="656"/>
      <c r="O67" s="624">
        <f t="shared" si="0"/>
        <v>0</v>
      </c>
      <c r="P67" s="625">
        <f t="shared" si="1"/>
        <v>0</v>
      </c>
      <c r="Q67" s="626">
        <f t="shared" si="2"/>
        <v>0</v>
      </c>
      <c r="S67" s="650"/>
      <c r="T67" s="630"/>
      <c r="U67" s="630"/>
      <c r="V67" s="630"/>
      <c r="W67" s="629" t="str">
        <f t="shared" si="3"/>
        <v>NULL</v>
      </c>
      <c r="X67" s="630"/>
      <c r="Y67" s="614">
        <v>0.94444444444444497</v>
      </c>
      <c r="Z67" s="654"/>
    </row>
    <row r="68" spans="1:26">
      <c r="A68" s="647"/>
      <c r="B68" s="649"/>
      <c r="C68" s="618"/>
      <c r="D68" s="618"/>
      <c r="E68" s="618"/>
      <c r="F68" s="618"/>
      <c r="G68" s="656"/>
      <c r="H68" s="656"/>
      <c r="I68" s="656"/>
      <c r="J68" s="656"/>
      <c r="K68" s="656"/>
      <c r="L68" s="656"/>
      <c r="M68" s="656"/>
      <c r="N68" s="656"/>
      <c r="O68" s="624">
        <f t="shared" ref="O68:O131" si="4">SUM(G68:N68)</f>
        <v>0</v>
      </c>
      <c r="P68" s="625">
        <f t="shared" ref="P68:P131" si="5">IF(OR(ISBLANK(D68),ISBLANK(E68)),0, IF(MINUTE(E68-D68)=0,HOUR(E68)-HOUR(D68),MINUTE(E68-D68)))</f>
        <v>0</v>
      </c>
      <c r="Q68" s="626">
        <f t="shared" ref="Q68:Q131" si="6">IF(P68=1,(O68-1)*60,(((O68)*60)-P68))</f>
        <v>0</v>
      </c>
      <c r="S68" s="650"/>
      <c r="T68" s="630"/>
      <c r="U68" s="630"/>
      <c r="V68" s="630"/>
      <c r="W68" s="629" t="str">
        <f t="shared" ref="W68:W131" si="7">IF(OR(ISBLANK(D68),ISBLANK(E68)),"NULL",D68+VALUE(0&amp;$X$2&amp;":00"))</f>
        <v>NULL</v>
      </c>
      <c r="X68" s="630"/>
      <c r="Y68" s="614">
        <v>0.95833333333333404</v>
      </c>
      <c r="Z68" s="654"/>
    </row>
    <row r="69" spans="1:26">
      <c r="A69" s="647"/>
      <c r="B69" s="649"/>
      <c r="C69" s="618"/>
      <c r="D69" s="618"/>
      <c r="E69" s="618"/>
      <c r="F69" s="618"/>
      <c r="G69" s="656"/>
      <c r="H69" s="656"/>
      <c r="I69" s="656"/>
      <c r="J69" s="656"/>
      <c r="K69" s="656"/>
      <c r="L69" s="656"/>
      <c r="M69" s="656"/>
      <c r="N69" s="656"/>
      <c r="O69" s="624">
        <f t="shared" si="4"/>
        <v>0</v>
      </c>
      <c r="P69" s="625">
        <f t="shared" si="5"/>
        <v>0</v>
      </c>
      <c r="Q69" s="626">
        <f t="shared" si="6"/>
        <v>0</v>
      </c>
      <c r="S69" s="650"/>
      <c r="T69" s="630"/>
      <c r="U69" s="630"/>
      <c r="V69" s="630"/>
      <c r="W69" s="629" t="str">
        <f t="shared" si="7"/>
        <v>NULL</v>
      </c>
      <c r="X69" s="630"/>
      <c r="Y69" s="614">
        <v>0.97222222222222199</v>
      </c>
      <c r="Z69" s="654"/>
    </row>
    <row r="70" spans="1:26">
      <c r="A70" s="647"/>
      <c r="B70" s="649"/>
      <c r="C70" s="618"/>
      <c r="D70" s="618"/>
      <c r="E70" s="618"/>
      <c r="F70" s="618"/>
      <c r="G70" s="656"/>
      <c r="H70" s="656"/>
      <c r="I70" s="656"/>
      <c r="J70" s="656"/>
      <c r="K70" s="656"/>
      <c r="L70" s="656"/>
      <c r="M70" s="656"/>
      <c r="N70" s="656"/>
      <c r="O70" s="624">
        <f t="shared" si="4"/>
        <v>0</v>
      </c>
      <c r="P70" s="625">
        <f t="shared" si="5"/>
        <v>0</v>
      </c>
      <c r="Q70" s="626">
        <f t="shared" si="6"/>
        <v>0</v>
      </c>
      <c r="S70" s="650"/>
      <c r="T70" s="630"/>
      <c r="U70" s="630"/>
      <c r="V70" s="630"/>
      <c r="W70" s="629" t="str">
        <f t="shared" si="7"/>
        <v>NULL</v>
      </c>
      <c r="X70" s="630"/>
      <c r="Y70" s="614">
        <v>0.98611111111111105</v>
      </c>
      <c r="Z70" s="654"/>
    </row>
    <row r="71" spans="1:26">
      <c r="A71" s="647"/>
      <c r="B71" s="649"/>
      <c r="C71" s="618"/>
      <c r="D71" s="618"/>
      <c r="E71" s="618"/>
      <c r="F71" s="618"/>
      <c r="G71" s="656"/>
      <c r="H71" s="656"/>
      <c r="I71" s="656"/>
      <c r="J71" s="656"/>
      <c r="K71" s="656"/>
      <c r="L71" s="656"/>
      <c r="M71" s="656"/>
      <c r="N71" s="656"/>
      <c r="O71" s="624">
        <f t="shared" si="4"/>
        <v>0</v>
      </c>
      <c r="P71" s="625">
        <f t="shared" si="5"/>
        <v>0</v>
      </c>
      <c r="Q71" s="626">
        <f t="shared" si="6"/>
        <v>0</v>
      </c>
      <c r="S71" s="650"/>
      <c r="T71" s="630"/>
      <c r="U71" s="630"/>
      <c r="V71" s="630"/>
      <c r="W71" s="629" t="str">
        <f t="shared" si="7"/>
        <v>NULL</v>
      </c>
      <c r="X71" s="630"/>
      <c r="Y71" s="614">
        <v>1</v>
      </c>
      <c r="Z71" s="654"/>
    </row>
    <row r="72" spans="1:26">
      <c r="A72" s="647"/>
      <c r="B72" s="649"/>
      <c r="C72" s="618"/>
      <c r="D72" s="618"/>
      <c r="E72" s="618"/>
      <c r="F72" s="618"/>
      <c r="G72" s="656"/>
      <c r="H72" s="656"/>
      <c r="I72" s="656"/>
      <c r="J72" s="656"/>
      <c r="K72" s="656"/>
      <c r="L72" s="656"/>
      <c r="M72" s="656"/>
      <c r="N72" s="656"/>
      <c r="O72" s="624">
        <f t="shared" si="4"/>
        <v>0</v>
      </c>
      <c r="P72" s="625">
        <f t="shared" si="5"/>
        <v>0</v>
      </c>
      <c r="Q72" s="626">
        <f t="shared" si="6"/>
        <v>0</v>
      </c>
      <c r="S72" s="650"/>
      <c r="T72" s="630"/>
      <c r="U72" s="630"/>
      <c r="V72" s="630"/>
      <c r="W72" s="629" t="str">
        <f t="shared" si="7"/>
        <v>NULL</v>
      </c>
      <c r="X72" s="630"/>
      <c r="Y72" s="614">
        <v>1.0138888888888899</v>
      </c>
      <c r="Z72" s="654"/>
    </row>
    <row r="73" spans="1:26">
      <c r="A73" s="647"/>
      <c r="B73" s="649"/>
      <c r="C73" s="618"/>
      <c r="D73" s="618"/>
      <c r="E73" s="618"/>
      <c r="F73" s="618"/>
      <c r="G73" s="656"/>
      <c r="H73" s="656"/>
      <c r="I73" s="656"/>
      <c r="J73" s="656"/>
      <c r="K73" s="656"/>
      <c r="L73" s="656"/>
      <c r="M73" s="656"/>
      <c r="N73" s="656"/>
      <c r="O73" s="624">
        <f t="shared" si="4"/>
        <v>0</v>
      </c>
      <c r="P73" s="625">
        <f t="shared" si="5"/>
        <v>0</v>
      </c>
      <c r="Q73" s="626">
        <f t="shared" si="6"/>
        <v>0</v>
      </c>
      <c r="S73" s="650"/>
      <c r="T73" s="630"/>
      <c r="U73" s="630"/>
      <c r="V73" s="630"/>
      <c r="W73" s="629" t="str">
        <f t="shared" si="7"/>
        <v>NULL</v>
      </c>
      <c r="X73" s="630"/>
      <c r="Y73" s="614">
        <v>1.0277777777777799</v>
      </c>
      <c r="Z73" s="654"/>
    </row>
    <row r="74" spans="1:26">
      <c r="A74" s="647"/>
      <c r="B74" s="649"/>
      <c r="C74" s="618"/>
      <c r="D74" s="618"/>
      <c r="E74" s="618"/>
      <c r="F74" s="618"/>
      <c r="G74" s="656"/>
      <c r="H74" s="656"/>
      <c r="I74" s="656"/>
      <c r="J74" s="656"/>
      <c r="K74" s="656"/>
      <c r="L74" s="656"/>
      <c r="M74" s="656"/>
      <c r="N74" s="656"/>
      <c r="O74" s="624">
        <f t="shared" si="4"/>
        <v>0</v>
      </c>
      <c r="P74" s="625">
        <f t="shared" si="5"/>
        <v>0</v>
      </c>
      <c r="Q74" s="626">
        <f t="shared" si="6"/>
        <v>0</v>
      </c>
      <c r="S74" s="650"/>
      <c r="T74" s="630"/>
      <c r="U74" s="630"/>
      <c r="V74" s="630"/>
      <c r="W74" s="629" t="str">
        <f t="shared" si="7"/>
        <v>NULL</v>
      </c>
      <c r="X74" s="630"/>
      <c r="Y74" s="630"/>
      <c r="Z74" s="654"/>
    </row>
    <row r="75" spans="1:26">
      <c r="A75" s="647"/>
      <c r="B75" s="649"/>
      <c r="C75" s="618"/>
      <c r="D75" s="618"/>
      <c r="E75" s="618"/>
      <c r="F75" s="618"/>
      <c r="G75" s="656"/>
      <c r="H75" s="656"/>
      <c r="I75" s="656"/>
      <c r="J75" s="656"/>
      <c r="K75" s="656"/>
      <c r="L75" s="656"/>
      <c r="M75" s="656"/>
      <c r="N75" s="656"/>
      <c r="O75" s="624">
        <f t="shared" si="4"/>
        <v>0</v>
      </c>
      <c r="P75" s="625">
        <f t="shared" si="5"/>
        <v>0</v>
      </c>
      <c r="Q75" s="626">
        <f t="shared" si="6"/>
        <v>0</v>
      </c>
      <c r="S75" s="650"/>
      <c r="T75" s="630"/>
      <c r="U75" s="630"/>
      <c r="V75" s="630"/>
      <c r="W75" s="629" t="str">
        <f t="shared" si="7"/>
        <v>NULL</v>
      </c>
      <c r="X75" s="630"/>
      <c r="Y75" s="630"/>
      <c r="Z75" s="654"/>
    </row>
    <row r="76" spans="1:26">
      <c r="A76" s="647"/>
      <c r="B76" s="649"/>
      <c r="C76" s="618"/>
      <c r="D76" s="618"/>
      <c r="E76" s="618"/>
      <c r="F76" s="618"/>
      <c r="G76" s="656"/>
      <c r="H76" s="656"/>
      <c r="I76" s="656"/>
      <c r="J76" s="656"/>
      <c r="K76" s="656"/>
      <c r="L76" s="656"/>
      <c r="M76" s="656"/>
      <c r="N76" s="656"/>
      <c r="O76" s="624">
        <f t="shared" si="4"/>
        <v>0</v>
      </c>
      <c r="P76" s="625">
        <f t="shared" si="5"/>
        <v>0</v>
      </c>
      <c r="Q76" s="626">
        <f t="shared" si="6"/>
        <v>0</v>
      </c>
      <c r="S76" s="650"/>
      <c r="T76" s="630"/>
      <c r="U76" s="630"/>
      <c r="V76" s="630"/>
      <c r="W76" s="629" t="str">
        <f t="shared" si="7"/>
        <v>NULL</v>
      </c>
      <c r="X76" s="630"/>
      <c r="Y76" s="630"/>
      <c r="Z76" s="654"/>
    </row>
    <row r="77" spans="1:26">
      <c r="A77" s="647"/>
      <c r="B77" s="649"/>
      <c r="C77" s="618"/>
      <c r="D77" s="618"/>
      <c r="E77" s="618"/>
      <c r="F77" s="618"/>
      <c r="G77" s="656"/>
      <c r="H77" s="656"/>
      <c r="I77" s="656"/>
      <c r="J77" s="656"/>
      <c r="K77" s="656"/>
      <c r="L77" s="656"/>
      <c r="M77" s="656"/>
      <c r="N77" s="656"/>
      <c r="O77" s="624">
        <f t="shared" si="4"/>
        <v>0</v>
      </c>
      <c r="P77" s="625">
        <f t="shared" si="5"/>
        <v>0</v>
      </c>
      <c r="Q77" s="626">
        <f t="shared" si="6"/>
        <v>0</v>
      </c>
      <c r="S77" s="650"/>
      <c r="T77" s="630"/>
      <c r="U77" s="630"/>
      <c r="V77" s="630"/>
      <c r="W77" s="629" t="str">
        <f t="shared" si="7"/>
        <v>NULL</v>
      </c>
      <c r="X77" s="630"/>
      <c r="Y77" s="630"/>
      <c r="Z77" s="654"/>
    </row>
    <row r="78" spans="1:26">
      <c r="A78" s="647"/>
      <c r="B78" s="649"/>
      <c r="C78" s="618"/>
      <c r="D78" s="618"/>
      <c r="E78" s="618"/>
      <c r="F78" s="618"/>
      <c r="G78" s="656"/>
      <c r="H78" s="656"/>
      <c r="I78" s="656"/>
      <c r="J78" s="656"/>
      <c r="K78" s="656"/>
      <c r="L78" s="656"/>
      <c r="M78" s="656"/>
      <c r="N78" s="656"/>
      <c r="O78" s="624">
        <f t="shared" si="4"/>
        <v>0</v>
      </c>
      <c r="P78" s="625">
        <f t="shared" si="5"/>
        <v>0</v>
      </c>
      <c r="Q78" s="626">
        <f t="shared" si="6"/>
        <v>0</v>
      </c>
      <c r="S78" s="650"/>
      <c r="T78" s="630"/>
      <c r="U78" s="630"/>
      <c r="V78" s="630"/>
      <c r="W78" s="629" t="str">
        <f t="shared" si="7"/>
        <v>NULL</v>
      </c>
      <c r="X78" s="630"/>
      <c r="Y78" s="630"/>
      <c r="Z78" s="654"/>
    </row>
    <row r="79" spans="1:26">
      <c r="A79" s="647"/>
      <c r="B79" s="649"/>
      <c r="C79" s="618"/>
      <c r="D79" s="618"/>
      <c r="E79" s="618"/>
      <c r="F79" s="618"/>
      <c r="G79" s="656"/>
      <c r="H79" s="656"/>
      <c r="I79" s="656"/>
      <c r="J79" s="656"/>
      <c r="K79" s="656"/>
      <c r="L79" s="656"/>
      <c r="M79" s="656"/>
      <c r="N79" s="656"/>
      <c r="O79" s="624">
        <f t="shared" si="4"/>
        <v>0</v>
      </c>
      <c r="P79" s="625">
        <f t="shared" si="5"/>
        <v>0</v>
      </c>
      <c r="Q79" s="626">
        <f t="shared" si="6"/>
        <v>0</v>
      </c>
      <c r="S79" s="650"/>
      <c r="T79" s="630"/>
      <c r="U79" s="630"/>
      <c r="V79" s="630"/>
      <c r="W79" s="629" t="str">
        <f t="shared" si="7"/>
        <v>NULL</v>
      </c>
      <c r="X79" s="630"/>
      <c r="Y79" s="630"/>
      <c r="Z79" s="654"/>
    </row>
    <row r="80" spans="1:26">
      <c r="A80" s="647"/>
      <c r="B80" s="649"/>
      <c r="C80" s="618"/>
      <c r="D80" s="618"/>
      <c r="E80" s="618"/>
      <c r="F80" s="618"/>
      <c r="G80" s="656"/>
      <c r="H80" s="656"/>
      <c r="I80" s="656"/>
      <c r="J80" s="656"/>
      <c r="K80" s="656"/>
      <c r="L80" s="656"/>
      <c r="M80" s="656"/>
      <c r="N80" s="656"/>
      <c r="O80" s="624">
        <f t="shared" si="4"/>
        <v>0</v>
      </c>
      <c r="P80" s="625">
        <f t="shared" si="5"/>
        <v>0</v>
      </c>
      <c r="Q80" s="626">
        <f t="shared" si="6"/>
        <v>0</v>
      </c>
      <c r="S80" s="650"/>
      <c r="T80" s="630"/>
      <c r="U80" s="630"/>
      <c r="V80" s="630"/>
      <c r="W80" s="629" t="str">
        <f t="shared" si="7"/>
        <v>NULL</v>
      </c>
      <c r="X80" s="630"/>
      <c r="Y80" s="630"/>
      <c r="Z80" s="654"/>
    </row>
    <row r="81" spans="1:26">
      <c r="A81" s="647"/>
      <c r="B81" s="649"/>
      <c r="C81" s="618"/>
      <c r="D81" s="618"/>
      <c r="E81" s="618"/>
      <c r="F81" s="618"/>
      <c r="G81" s="656"/>
      <c r="H81" s="656"/>
      <c r="I81" s="656"/>
      <c r="J81" s="656"/>
      <c r="K81" s="656"/>
      <c r="L81" s="656"/>
      <c r="M81" s="656"/>
      <c r="N81" s="656"/>
      <c r="O81" s="624">
        <f t="shared" si="4"/>
        <v>0</v>
      </c>
      <c r="P81" s="625">
        <f t="shared" si="5"/>
        <v>0</v>
      </c>
      <c r="Q81" s="626">
        <f t="shared" si="6"/>
        <v>0</v>
      </c>
      <c r="S81" s="650"/>
      <c r="T81" s="630"/>
      <c r="U81" s="630"/>
      <c r="V81" s="630"/>
      <c r="W81" s="629" t="str">
        <f t="shared" si="7"/>
        <v>NULL</v>
      </c>
      <c r="X81" s="630"/>
      <c r="Y81" s="630"/>
      <c r="Z81" s="654"/>
    </row>
    <row r="82" spans="1:26">
      <c r="A82" s="647"/>
      <c r="B82" s="649"/>
      <c r="C82" s="618"/>
      <c r="D82" s="618"/>
      <c r="E82" s="618"/>
      <c r="F82" s="618"/>
      <c r="G82" s="656"/>
      <c r="H82" s="656"/>
      <c r="I82" s="656"/>
      <c r="J82" s="656"/>
      <c r="K82" s="656"/>
      <c r="L82" s="656"/>
      <c r="M82" s="656"/>
      <c r="N82" s="656"/>
      <c r="O82" s="624">
        <f t="shared" si="4"/>
        <v>0</v>
      </c>
      <c r="P82" s="625">
        <f t="shared" si="5"/>
        <v>0</v>
      </c>
      <c r="Q82" s="626">
        <f t="shared" si="6"/>
        <v>0</v>
      </c>
      <c r="S82" s="650"/>
      <c r="T82" s="630"/>
      <c r="U82" s="630"/>
      <c r="V82" s="630"/>
      <c r="W82" s="629" t="str">
        <f t="shared" si="7"/>
        <v>NULL</v>
      </c>
      <c r="X82" s="630"/>
      <c r="Y82" s="630"/>
      <c r="Z82" s="654"/>
    </row>
    <row r="83" spans="1:26">
      <c r="A83" s="647"/>
      <c r="B83" s="649"/>
      <c r="C83" s="618"/>
      <c r="D83" s="618"/>
      <c r="E83" s="618"/>
      <c r="F83" s="618"/>
      <c r="G83" s="656"/>
      <c r="H83" s="656"/>
      <c r="I83" s="656"/>
      <c r="J83" s="656"/>
      <c r="K83" s="656"/>
      <c r="L83" s="656"/>
      <c r="M83" s="656"/>
      <c r="N83" s="656"/>
      <c r="O83" s="624">
        <f t="shared" si="4"/>
        <v>0</v>
      </c>
      <c r="P83" s="625">
        <f t="shared" si="5"/>
        <v>0</v>
      </c>
      <c r="Q83" s="626">
        <f t="shared" si="6"/>
        <v>0</v>
      </c>
      <c r="S83" s="650"/>
      <c r="T83" s="630"/>
      <c r="U83" s="630"/>
      <c r="V83" s="630"/>
      <c r="W83" s="629" t="str">
        <f t="shared" si="7"/>
        <v>NULL</v>
      </c>
      <c r="X83" s="630"/>
      <c r="Y83" s="630"/>
      <c r="Z83" s="654"/>
    </row>
    <row r="84" spans="1:26">
      <c r="A84" s="647"/>
      <c r="B84" s="649"/>
      <c r="C84" s="618"/>
      <c r="D84" s="618"/>
      <c r="E84" s="618"/>
      <c r="F84" s="618"/>
      <c r="G84" s="656"/>
      <c r="H84" s="656"/>
      <c r="I84" s="656"/>
      <c r="J84" s="656"/>
      <c r="K84" s="656"/>
      <c r="L84" s="656"/>
      <c r="M84" s="656"/>
      <c r="N84" s="656"/>
      <c r="O84" s="624">
        <f t="shared" si="4"/>
        <v>0</v>
      </c>
      <c r="P84" s="625">
        <f t="shared" si="5"/>
        <v>0</v>
      </c>
      <c r="Q84" s="626">
        <f t="shared" si="6"/>
        <v>0</v>
      </c>
      <c r="S84" s="650"/>
      <c r="T84" s="630"/>
      <c r="U84" s="630"/>
      <c r="V84" s="630"/>
      <c r="W84" s="629" t="str">
        <f t="shared" si="7"/>
        <v>NULL</v>
      </c>
      <c r="X84" s="630"/>
      <c r="Y84" s="630"/>
      <c r="Z84" s="654"/>
    </row>
    <row r="85" spans="1:26">
      <c r="A85" s="647"/>
      <c r="B85" s="649"/>
      <c r="C85" s="618"/>
      <c r="D85" s="618"/>
      <c r="E85" s="618"/>
      <c r="F85" s="618"/>
      <c r="G85" s="656"/>
      <c r="H85" s="656"/>
      <c r="I85" s="656"/>
      <c r="J85" s="656"/>
      <c r="K85" s="656"/>
      <c r="L85" s="656"/>
      <c r="M85" s="656"/>
      <c r="N85" s="656"/>
      <c r="O85" s="624">
        <f t="shared" si="4"/>
        <v>0</v>
      </c>
      <c r="P85" s="625">
        <f t="shared" si="5"/>
        <v>0</v>
      </c>
      <c r="Q85" s="626">
        <f t="shared" si="6"/>
        <v>0</v>
      </c>
      <c r="S85" s="650"/>
      <c r="T85" s="630"/>
      <c r="U85" s="630"/>
      <c r="V85" s="630"/>
      <c r="W85" s="629" t="str">
        <f t="shared" si="7"/>
        <v>NULL</v>
      </c>
      <c r="X85" s="630"/>
      <c r="Y85" s="630"/>
      <c r="Z85" s="654"/>
    </row>
    <row r="86" spans="1:26">
      <c r="A86" s="647"/>
      <c r="B86" s="649"/>
      <c r="C86" s="618"/>
      <c r="D86" s="618"/>
      <c r="E86" s="618"/>
      <c r="F86" s="618"/>
      <c r="G86" s="656"/>
      <c r="H86" s="656"/>
      <c r="I86" s="656"/>
      <c r="J86" s="656"/>
      <c r="K86" s="656"/>
      <c r="L86" s="656"/>
      <c r="M86" s="656"/>
      <c r="N86" s="656"/>
      <c r="O86" s="624">
        <f t="shared" si="4"/>
        <v>0</v>
      </c>
      <c r="P86" s="625">
        <f t="shared" si="5"/>
        <v>0</v>
      </c>
      <c r="Q86" s="626">
        <f t="shared" si="6"/>
        <v>0</v>
      </c>
      <c r="S86" s="650"/>
      <c r="T86" s="630"/>
      <c r="U86" s="630"/>
      <c r="V86" s="630"/>
      <c r="W86" s="629" t="str">
        <f t="shared" si="7"/>
        <v>NULL</v>
      </c>
      <c r="X86" s="630"/>
      <c r="Y86" s="630"/>
      <c r="Z86" s="654"/>
    </row>
    <row r="87" spans="1:26">
      <c r="A87" s="647"/>
      <c r="B87" s="649"/>
      <c r="C87" s="618"/>
      <c r="D87" s="618"/>
      <c r="E87" s="618"/>
      <c r="F87" s="618"/>
      <c r="G87" s="656"/>
      <c r="H87" s="656"/>
      <c r="I87" s="656"/>
      <c r="J87" s="656"/>
      <c r="K87" s="656"/>
      <c r="L87" s="656"/>
      <c r="M87" s="656"/>
      <c r="N87" s="656"/>
      <c r="O87" s="624">
        <f t="shared" si="4"/>
        <v>0</v>
      </c>
      <c r="P87" s="625">
        <f t="shared" si="5"/>
        <v>0</v>
      </c>
      <c r="Q87" s="626">
        <f t="shared" si="6"/>
        <v>0</v>
      </c>
      <c r="S87" s="650"/>
      <c r="T87" s="630"/>
      <c r="U87" s="630"/>
      <c r="V87" s="630"/>
      <c r="W87" s="629" t="str">
        <f t="shared" si="7"/>
        <v>NULL</v>
      </c>
      <c r="X87" s="630"/>
      <c r="Y87" s="630"/>
      <c r="Z87" s="654"/>
    </row>
    <row r="88" spans="1:26">
      <c r="A88" s="647"/>
      <c r="B88" s="649"/>
      <c r="C88" s="618"/>
      <c r="D88" s="618"/>
      <c r="E88" s="618"/>
      <c r="F88" s="618"/>
      <c r="G88" s="656"/>
      <c r="H88" s="656"/>
      <c r="I88" s="656"/>
      <c r="J88" s="656"/>
      <c r="K88" s="656"/>
      <c r="L88" s="656"/>
      <c r="M88" s="656"/>
      <c r="N88" s="656"/>
      <c r="O88" s="624">
        <f t="shared" si="4"/>
        <v>0</v>
      </c>
      <c r="P88" s="625">
        <f t="shared" si="5"/>
        <v>0</v>
      </c>
      <c r="Q88" s="626">
        <f t="shared" si="6"/>
        <v>0</v>
      </c>
      <c r="S88" s="650"/>
      <c r="T88" s="630"/>
      <c r="U88" s="630"/>
      <c r="V88" s="630"/>
      <c r="W88" s="629" t="str">
        <f t="shared" si="7"/>
        <v>NULL</v>
      </c>
      <c r="X88" s="630"/>
      <c r="Y88" s="630"/>
      <c r="Z88" s="654"/>
    </row>
    <row r="89" spans="1:26">
      <c r="A89" s="647"/>
      <c r="B89" s="649"/>
      <c r="C89" s="618"/>
      <c r="D89" s="618"/>
      <c r="E89" s="618"/>
      <c r="F89" s="618"/>
      <c r="G89" s="656"/>
      <c r="H89" s="656"/>
      <c r="I89" s="656"/>
      <c r="J89" s="656"/>
      <c r="K89" s="656"/>
      <c r="L89" s="656"/>
      <c r="M89" s="656"/>
      <c r="N89" s="656"/>
      <c r="O89" s="624">
        <f t="shared" si="4"/>
        <v>0</v>
      </c>
      <c r="P89" s="625">
        <f t="shared" si="5"/>
        <v>0</v>
      </c>
      <c r="Q89" s="626">
        <f t="shared" si="6"/>
        <v>0</v>
      </c>
      <c r="S89" s="650"/>
      <c r="T89" s="630"/>
      <c r="U89" s="630"/>
      <c r="V89" s="630"/>
      <c r="W89" s="629" t="str">
        <f t="shared" si="7"/>
        <v>NULL</v>
      </c>
      <c r="X89" s="630"/>
      <c r="Y89" s="630"/>
      <c r="Z89" s="654"/>
    </row>
    <row r="90" spans="1:26">
      <c r="A90" s="647"/>
      <c r="B90" s="649"/>
      <c r="C90" s="618"/>
      <c r="D90" s="618"/>
      <c r="E90" s="618"/>
      <c r="F90" s="618"/>
      <c r="G90" s="656"/>
      <c r="H90" s="656"/>
      <c r="I90" s="656"/>
      <c r="J90" s="656"/>
      <c r="K90" s="656"/>
      <c r="L90" s="656"/>
      <c r="M90" s="656"/>
      <c r="N90" s="656"/>
      <c r="O90" s="624">
        <f t="shared" si="4"/>
        <v>0</v>
      </c>
      <c r="P90" s="625">
        <f t="shared" si="5"/>
        <v>0</v>
      </c>
      <c r="Q90" s="626">
        <f t="shared" si="6"/>
        <v>0</v>
      </c>
      <c r="S90" s="650"/>
      <c r="T90" s="630"/>
      <c r="U90" s="630"/>
      <c r="V90" s="630"/>
      <c r="W90" s="629" t="str">
        <f t="shared" si="7"/>
        <v>NULL</v>
      </c>
      <c r="X90" s="630"/>
      <c r="Y90" s="630"/>
      <c r="Z90" s="654"/>
    </row>
    <row r="91" spans="1:26">
      <c r="A91" s="647"/>
      <c r="B91" s="649"/>
      <c r="C91" s="618"/>
      <c r="D91" s="618"/>
      <c r="E91" s="618"/>
      <c r="F91" s="618"/>
      <c r="G91" s="656"/>
      <c r="H91" s="656"/>
      <c r="I91" s="656"/>
      <c r="J91" s="656"/>
      <c r="K91" s="656"/>
      <c r="L91" s="656"/>
      <c r="M91" s="656"/>
      <c r="N91" s="656"/>
      <c r="O91" s="624">
        <f t="shared" si="4"/>
        <v>0</v>
      </c>
      <c r="P91" s="625">
        <f t="shared" si="5"/>
        <v>0</v>
      </c>
      <c r="Q91" s="626">
        <f t="shared" si="6"/>
        <v>0</v>
      </c>
      <c r="S91" s="650"/>
      <c r="T91" s="630"/>
      <c r="U91" s="630"/>
      <c r="V91" s="630"/>
      <c r="W91" s="629" t="str">
        <f t="shared" si="7"/>
        <v>NULL</v>
      </c>
      <c r="X91" s="630"/>
      <c r="Y91" s="630"/>
      <c r="Z91" s="654"/>
    </row>
    <row r="92" spans="1:26">
      <c r="A92" s="647"/>
      <c r="B92" s="649"/>
      <c r="C92" s="618"/>
      <c r="D92" s="618"/>
      <c r="E92" s="618"/>
      <c r="F92" s="618"/>
      <c r="G92" s="656"/>
      <c r="H92" s="656"/>
      <c r="I92" s="656"/>
      <c r="J92" s="656"/>
      <c r="K92" s="656"/>
      <c r="L92" s="656"/>
      <c r="M92" s="656"/>
      <c r="N92" s="656"/>
      <c r="O92" s="624">
        <f t="shared" si="4"/>
        <v>0</v>
      </c>
      <c r="P92" s="625">
        <f t="shared" si="5"/>
        <v>0</v>
      </c>
      <c r="Q92" s="626">
        <f t="shared" si="6"/>
        <v>0</v>
      </c>
      <c r="S92" s="650"/>
      <c r="T92" s="630"/>
      <c r="U92" s="630"/>
      <c r="V92" s="630"/>
      <c r="W92" s="629" t="str">
        <f t="shared" si="7"/>
        <v>NULL</v>
      </c>
      <c r="X92" s="630"/>
      <c r="Y92" s="630"/>
      <c r="Z92" s="654"/>
    </row>
    <row r="93" spans="1:26">
      <c r="A93" s="647"/>
      <c r="B93" s="649"/>
      <c r="C93" s="618"/>
      <c r="D93" s="618"/>
      <c r="E93" s="618"/>
      <c r="F93" s="618"/>
      <c r="G93" s="656"/>
      <c r="H93" s="656"/>
      <c r="I93" s="656"/>
      <c r="J93" s="656"/>
      <c r="K93" s="656"/>
      <c r="L93" s="656"/>
      <c r="M93" s="656"/>
      <c r="N93" s="656"/>
      <c r="O93" s="624">
        <f t="shared" si="4"/>
        <v>0</v>
      </c>
      <c r="P93" s="625">
        <f t="shared" si="5"/>
        <v>0</v>
      </c>
      <c r="Q93" s="626">
        <f t="shared" si="6"/>
        <v>0</v>
      </c>
      <c r="S93" s="650"/>
      <c r="T93" s="630"/>
      <c r="U93" s="630"/>
      <c r="V93" s="630"/>
      <c r="W93" s="629" t="str">
        <f t="shared" si="7"/>
        <v>NULL</v>
      </c>
      <c r="X93" s="630"/>
      <c r="Y93" s="630"/>
      <c r="Z93" s="654"/>
    </row>
    <row r="94" spans="1:26">
      <c r="A94" s="647"/>
      <c r="B94" s="649"/>
      <c r="C94" s="618"/>
      <c r="D94" s="618"/>
      <c r="E94" s="618"/>
      <c r="F94" s="618"/>
      <c r="G94" s="656"/>
      <c r="H94" s="656"/>
      <c r="I94" s="656"/>
      <c r="J94" s="656"/>
      <c r="K94" s="656"/>
      <c r="L94" s="656"/>
      <c r="M94" s="656"/>
      <c r="N94" s="656"/>
      <c r="O94" s="624">
        <f t="shared" si="4"/>
        <v>0</v>
      </c>
      <c r="P94" s="625">
        <f t="shared" si="5"/>
        <v>0</v>
      </c>
      <c r="Q94" s="626">
        <f t="shared" si="6"/>
        <v>0</v>
      </c>
      <c r="S94" s="650"/>
      <c r="T94" s="630"/>
      <c r="U94" s="630"/>
      <c r="V94" s="630"/>
      <c r="W94" s="629" t="str">
        <f t="shared" si="7"/>
        <v>NULL</v>
      </c>
      <c r="X94" s="630"/>
      <c r="Y94" s="630"/>
      <c r="Z94" s="654"/>
    </row>
    <row r="95" spans="1:26">
      <c r="A95" s="647"/>
      <c r="B95" s="649"/>
      <c r="C95" s="618"/>
      <c r="D95" s="618"/>
      <c r="E95" s="618"/>
      <c r="F95" s="618"/>
      <c r="G95" s="656"/>
      <c r="H95" s="656"/>
      <c r="I95" s="656"/>
      <c r="J95" s="656"/>
      <c r="K95" s="656"/>
      <c r="L95" s="656"/>
      <c r="M95" s="656"/>
      <c r="N95" s="656"/>
      <c r="O95" s="624">
        <f t="shared" si="4"/>
        <v>0</v>
      </c>
      <c r="P95" s="625">
        <f t="shared" si="5"/>
        <v>0</v>
      </c>
      <c r="Q95" s="626">
        <f t="shared" si="6"/>
        <v>0</v>
      </c>
      <c r="S95" s="650"/>
      <c r="T95" s="630"/>
      <c r="U95" s="630"/>
      <c r="V95" s="630"/>
      <c r="W95" s="629" t="str">
        <f t="shared" si="7"/>
        <v>NULL</v>
      </c>
      <c r="X95" s="630"/>
      <c r="Y95" s="630"/>
      <c r="Z95" s="654"/>
    </row>
    <row r="96" spans="1:26">
      <c r="A96" s="647"/>
      <c r="B96" s="649"/>
      <c r="C96" s="618"/>
      <c r="D96" s="618"/>
      <c r="E96" s="618"/>
      <c r="F96" s="618"/>
      <c r="G96" s="656"/>
      <c r="H96" s="656"/>
      <c r="I96" s="656"/>
      <c r="J96" s="656"/>
      <c r="K96" s="656"/>
      <c r="L96" s="656"/>
      <c r="M96" s="656"/>
      <c r="N96" s="656"/>
      <c r="O96" s="624">
        <f t="shared" si="4"/>
        <v>0</v>
      </c>
      <c r="P96" s="625">
        <f t="shared" si="5"/>
        <v>0</v>
      </c>
      <c r="Q96" s="626">
        <f t="shared" si="6"/>
        <v>0</v>
      </c>
      <c r="S96" s="650"/>
      <c r="T96" s="630"/>
      <c r="U96" s="630"/>
      <c r="V96" s="630"/>
      <c r="W96" s="629" t="str">
        <f t="shared" si="7"/>
        <v>NULL</v>
      </c>
      <c r="X96" s="630"/>
      <c r="Y96" s="630"/>
      <c r="Z96" s="654"/>
    </row>
    <row r="97" spans="1:26">
      <c r="A97" s="647"/>
      <c r="B97" s="649"/>
      <c r="C97" s="618"/>
      <c r="D97" s="618"/>
      <c r="E97" s="618"/>
      <c r="F97" s="618"/>
      <c r="G97" s="656"/>
      <c r="H97" s="656"/>
      <c r="I97" s="656"/>
      <c r="J97" s="656"/>
      <c r="K97" s="656"/>
      <c r="L97" s="656"/>
      <c r="M97" s="656"/>
      <c r="N97" s="656"/>
      <c r="O97" s="624">
        <f t="shared" si="4"/>
        <v>0</v>
      </c>
      <c r="P97" s="625">
        <f t="shared" si="5"/>
        <v>0</v>
      </c>
      <c r="Q97" s="626">
        <f t="shared" si="6"/>
        <v>0</v>
      </c>
      <c r="S97" s="650"/>
      <c r="T97" s="630"/>
      <c r="U97" s="630"/>
      <c r="V97" s="630"/>
      <c r="W97" s="629" t="str">
        <f t="shared" si="7"/>
        <v>NULL</v>
      </c>
      <c r="X97" s="630"/>
      <c r="Y97" s="630"/>
      <c r="Z97" s="654"/>
    </row>
    <row r="98" spans="1:26">
      <c r="A98" s="647"/>
      <c r="B98" s="649"/>
      <c r="C98" s="618"/>
      <c r="D98" s="618"/>
      <c r="E98" s="618"/>
      <c r="F98" s="618"/>
      <c r="G98" s="656"/>
      <c r="H98" s="656"/>
      <c r="I98" s="656"/>
      <c r="J98" s="656"/>
      <c r="K98" s="656"/>
      <c r="L98" s="656"/>
      <c r="M98" s="656"/>
      <c r="N98" s="656"/>
      <c r="O98" s="624">
        <f t="shared" si="4"/>
        <v>0</v>
      </c>
      <c r="P98" s="625">
        <f t="shared" si="5"/>
        <v>0</v>
      </c>
      <c r="Q98" s="626">
        <f t="shared" si="6"/>
        <v>0</v>
      </c>
      <c r="S98" s="650"/>
      <c r="T98" s="630"/>
      <c r="U98" s="630"/>
      <c r="V98" s="630"/>
      <c r="W98" s="629" t="str">
        <f t="shared" si="7"/>
        <v>NULL</v>
      </c>
      <c r="X98" s="630"/>
      <c r="Y98" s="630"/>
      <c r="Z98" s="654"/>
    </row>
    <row r="99" spans="1:26">
      <c r="A99" s="647"/>
      <c r="B99" s="649"/>
      <c r="C99" s="618"/>
      <c r="D99" s="618"/>
      <c r="E99" s="618"/>
      <c r="F99" s="618"/>
      <c r="G99" s="656"/>
      <c r="H99" s="656"/>
      <c r="I99" s="656"/>
      <c r="J99" s="656"/>
      <c r="K99" s="656"/>
      <c r="L99" s="656"/>
      <c r="M99" s="656"/>
      <c r="N99" s="656"/>
      <c r="O99" s="624">
        <f t="shared" si="4"/>
        <v>0</v>
      </c>
      <c r="P99" s="625">
        <f t="shared" si="5"/>
        <v>0</v>
      </c>
      <c r="Q99" s="626">
        <f t="shared" si="6"/>
        <v>0</v>
      </c>
      <c r="S99" s="650"/>
      <c r="T99" s="630"/>
      <c r="U99" s="630"/>
      <c r="V99" s="630"/>
      <c r="W99" s="629" t="str">
        <f t="shared" si="7"/>
        <v>NULL</v>
      </c>
      <c r="X99" s="630"/>
      <c r="Y99" s="630"/>
      <c r="Z99" s="654"/>
    </row>
    <row r="100" spans="1:26">
      <c r="A100" s="647"/>
      <c r="B100" s="649"/>
      <c r="C100" s="618"/>
      <c r="D100" s="618"/>
      <c r="E100" s="618"/>
      <c r="F100" s="618"/>
      <c r="G100" s="656"/>
      <c r="H100" s="656"/>
      <c r="I100" s="656"/>
      <c r="J100" s="656"/>
      <c r="K100" s="656"/>
      <c r="L100" s="656"/>
      <c r="M100" s="656"/>
      <c r="N100" s="656"/>
      <c r="O100" s="624">
        <f t="shared" si="4"/>
        <v>0</v>
      </c>
      <c r="P100" s="625">
        <f t="shared" si="5"/>
        <v>0</v>
      </c>
      <c r="Q100" s="626">
        <f t="shared" si="6"/>
        <v>0</v>
      </c>
      <c r="S100" s="650"/>
      <c r="T100" s="630"/>
      <c r="U100" s="630"/>
      <c r="V100" s="630"/>
      <c r="W100" s="629" t="str">
        <f t="shared" si="7"/>
        <v>NULL</v>
      </c>
      <c r="X100" s="630"/>
      <c r="Y100" s="630"/>
      <c r="Z100" s="654"/>
    </row>
    <row r="101" spans="1:26">
      <c r="A101" s="647"/>
      <c r="B101" s="649"/>
      <c r="C101" s="618"/>
      <c r="D101" s="618"/>
      <c r="E101" s="618"/>
      <c r="F101" s="618"/>
      <c r="G101" s="656"/>
      <c r="H101" s="656"/>
      <c r="I101" s="656"/>
      <c r="J101" s="656"/>
      <c r="K101" s="656"/>
      <c r="L101" s="656"/>
      <c r="M101" s="656"/>
      <c r="N101" s="656"/>
      <c r="O101" s="624">
        <f t="shared" si="4"/>
        <v>0</v>
      </c>
      <c r="P101" s="625">
        <f t="shared" si="5"/>
        <v>0</v>
      </c>
      <c r="Q101" s="626">
        <f t="shared" si="6"/>
        <v>0</v>
      </c>
      <c r="S101" s="650"/>
      <c r="T101" s="630"/>
      <c r="U101" s="630"/>
      <c r="V101" s="630"/>
      <c r="W101" s="629" t="str">
        <f t="shared" si="7"/>
        <v>NULL</v>
      </c>
      <c r="X101" s="630"/>
      <c r="Y101" s="630"/>
      <c r="Z101" s="654"/>
    </row>
    <row r="102" spans="1:26">
      <c r="A102" s="647"/>
      <c r="B102" s="649"/>
      <c r="C102" s="618"/>
      <c r="D102" s="618"/>
      <c r="E102" s="618"/>
      <c r="F102" s="618"/>
      <c r="G102" s="656"/>
      <c r="H102" s="656"/>
      <c r="I102" s="656"/>
      <c r="J102" s="656"/>
      <c r="K102" s="656"/>
      <c r="L102" s="656"/>
      <c r="M102" s="656"/>
      <c r="N102" s="656"/>
      <c r="O102" s="624">
        <f t="shared" si="4"/>
        <v>0</v>
      </c>
      <c r="P102" s="625">
        <f t="shared" si="5"/>
        <v>0</v>
      </c>
      <c r="Q102" s="626">
        <f t="shared" si="6"/>
        <v>0</v>
      </c>
      <c r="S102" s="650"/>
      <c r="T102" s="630"/>
      <c r="U102" s="630"/>
      <c r="V102" s="630"/>
      <c r="W102" s="629" t="str">
        <f t="shared" si="7"/>
        <v>NULL</v>
      </c>
      <c r="X102" s="630"/>
      <c r="Y102" s="630"/>
      <c r="Z102" s="654"/>
    </row>
    <row r="103" spans="1:26">
      <c r="A103" s="647"/>
      <c r="B103" s="649"/>
      <c r="C103" s="618"/>
      <c r="D103" s="618"/>
      <c r="E103" s="618"/>
      <c r="F103" s="618"/>
      <c r="G103" s="656"/>
      <c r="H103" s="656"/>
      <c r="I103" s="656"/>
      <c r="J103" s="656"/>
      <c r="K103" s="656"/>
      <c r="L103" s="656"/>
      <c r="M103" s="656"/>
      <c r="N103" s="656"/>
      <c r="O103" s="624">
        <f t="shared" si="4"/>
        <v>0</v>
      </c>
      <c r="P103" s="625">
        <f t="shared" si="5"/>
        <v>0</v>
      </c>
      <c r="Q103" s="626">
        <f t="shared" si="6"/>
        <v>0</v>
      </c>
      <c r="S103" s="650"/>
      <c r="T103" s="630"/>
      <c r="U103" s="630"/>
      <c r="V103" s="630"/>
      <c r="W103" s="629" t="str">
        <f t="shared" si="7"/>
        <v>NULL</v>
      </c>
      <c r="X103" s="630"/>
      <c r="Y103" s="630"/>
      <c r="Z103" s="654"/>
    </row>
    <row r="104" spans="1:26">
      <c r="A104" s="647"/>
      <c r="B104" s="649"/>
      <c r="C104" s="618"/>
      <c r="D104" s="618"/>
      <c r="E104" s="618"/>
      <c r="F104" s="618"/>
      <c r="G104" s="656"/>
      <c r="H104" s="656"/>
      <c r="I104" s="656"/>
      <c r="J104" s="656"/>
      <c r="K104" s="656"/>
      <c r="L104" s="656"/>
      <c r="M104" s="656"/>
      <c r="N104" s="656"/>
      <c r="O104" s="624">
        <f t="shared" si="4"/>
        <v>0</v>
      </c>
      <c r="P104" s="625">
        <f t="shared" si="5"/>
        <v>0</v>
      </c>
      <c r="Q104" s="626">
        <f t="shared" si="6"/>
        <v>0</v>
      </c>
      <c r="S104" s="650"/>
      <c r="T104" s="630"/>
      <c r="U104" s="630"/>
      <c r="V104" s="630"/>
      <c r="W104" s="629" t="str">
        <f t="shared" si="7"/>
        <v>NULL</v>
      </c>
      <c r="X104" s="630"/>
      <c r="Y104" s="630"/>
      <c r="Z104" s="654"/>
    </row>
    <row r="105" spans="1:26">
      <c r="A105" s="647"/>
      <c r="B105" s="649"/>
      <c r="C105" s="618"/>
      <c r="D105" s="618"/>
      <c r="E105" s="618"/>
      <c r="F105" s="618"/>
      <c r="G105" s="656"/>
      <c r="H105" s="656"/>
      <c r="I105" s="656"/>
      <c r="J105" s="656"/>
      <c r="K105" s="656"/>
      <c r="L105" s="656"/>
      <c r="M105" s="656"/>
      <c r="N105" s="656"/>
      <c r="O105" s="624">
        <f t="shared" si="4"/>
        <v>0</v>
      </c>
      <c r="P105" s="625">
        <f t="shared" si="5"/>
        <v>0</v>
      </c>
      <c r="Q105" s="626">
        <f t="shared" si="6"/>
        <v>0</v>
      </c>
      <c r="S105" s="650"/>
      <c r="T105" s="630"/>
      <c r="U105" s="630"/>
      <c r="V105" s="630"/>
      <c r="W105" s="629" t="str">
        <f t="shared" si="7"/>
        <v>NULL</v>
      </c>
      <c r="X105" s="630"/>
      <c r="Y105" s="630"/>
      <c r="Z105" s="654"/>
    </row>
    <row r="106" spans="1:26">
      <c r="A106" s="647"/>
      <c r="B106" s="649"/>
      <c r="C106" s="618"/>
      <c r="D106" s="618"/>
      <c r="E106" s="618"/>
      <c r="F106" s="618"/>
      <c r="G106" s="656"/>
      <c r="H106" s="656"/>
      <c r="I106" s="656"/>
      <c r="J106" s="656"/>
      <c r="K106" s="656"/>
      <c r="L106" s="656"/>
      <c r="M106" s="656"/>
      <c r="N106" s="656"/>
      <c r="O106" s="624">
        <f t="shared" si="4"/>
        <v>0</v>
      </c>
      <c r="P106" s="625">
        <f t="shared" si="5"/>
        <v>0</v>
      </c>
      <c r="Q106" s="626">
        <f t="shared" si="6"/>
        <v>0</v>
      </c>
      <c r="S106" s="650"/>
      <c r="T106" s="630"/>
      <c r="U106" s="630"/>
      <c r="V106" s="630"/>
      <c r="W106" s="629" t="str">
        <f t="shared" si="7"/>
        <v>NULL</v>
      </c>
      <c r="X106" s="630"/>
      <c r="Y106" s="630"/>
      <c r="Z106" s="654"/>
    </row>
    <row r="107" spans="1:26">
      <c r="A107" s="647"/>
      <c r="B107" s="649"/>
      <c r="C107" s="618"/>
      <c r="D107" s="618"/>
      <c r="E107" s="618"/>
      <c r="F107" s="618"/>
      <c r="G107" s="656"/>
      <c r="H107" s="656"/>
      <c r="I107" s="656"/>
      <c r="J107" s="656"/>
      <c r="K107" s="656"/>
      <c r="L107" s="656"/>
      <c r="M107" s="656"/>
      <c r="N107" s="656"/>
      <c r="O107" s="624">
        <f t="shared" si="4"/>
        <v>0</v>
      </c>
      <c r="P107" s="625">
        <f t="shared" si="5"/>
        <v>0</v>
      </c>
      <c r="Q107" s="626">
        <f t="shared" si="6"/>
        <v>0</v>
      </c>
      <c r="S107" s="650"/>
      <c r="T107" s="630"/>
      <c r="U107" s="630"/>
      <c r="V107" s="630"/>
      <c r="W107" s="629" t="str">
        <f t="shared" si="7"/>
        <v>NULL</v>
      </c>
      <c r="X107" s="630"/>
      <c r="Y107" s="630"/>
      <c r="Z107" s="654"/>
    </row>
    <row r="108" spans="1:26">
      <c r="A108" s="647"/>
      <c r="B108" s="649"/>
      <c r="C108" s="618"/>
      <c r="D108" s="618"/>
      <c r="E108" s="618"/>
      <c r="F108" s="618"/>
      <c r="G108" s="656"/>
      <c r="H108" s="656"/>
      <c r="I108" s="656"/>
      <c r="J108" s="656"/>
      <c r="K108" s="656"/>
      <c r="L108" s="656"/>
      <c r="M108" s="656"/>
      <c r="N108" s="656"/>
      <c r="O108" s="624">
        <f t="shared" si="4"/>
        <v>0</v>
      </c>
      <c r="P108" s="625">
        <f t="shared" si="5"/>
        <v>0</v>
      </c>
      <c r="Q108" s="626">
        <f t="shared" si="6"/>
        <v>0</v>
      </c>
      <c r="S108" s="650"/>
      <c r="T108" s="630"/>
      <c r="U108" s="630"/>
      <c r="V108" s="630"/>
      <c r="W108" s="629" t="str">
        <f t="shared" si="7"/>
        <v>NULL</v>
      </c>
      <c r="X108" s="630"/>
      <c r="Y108" s="630"/>
      <c r="Z108" s="654"/>
    </row>
    <row r="109" spans="1:26">
      <c r="A109" s="647"/>
      <c r="B109" s="649"/>
      <c r="C109" s="618"/>
      <c r="D109" s="618"/>
      <c r="E109" s="618"/>
      <c r="F109" s="618"/>
      <c r="G109" s="656"/>
      <c r="H109" s="656"/>
      <c r="I109" s="656"/>
      <c r="J109" s="656"/>
      <c r="K109" s="656"/>
      <c r="L109" s="656"/>
      <c r="M109" s="656"/>
      <c r="N109" s="656"/>
      <c r="O109" s="624">
        <f t="shared" si="4"/>
        <v>0</v>
      </c>
      <c r="P109" s="625">
        <f t="shared" si="5"/>
        <v>0</v>
      </c>
      <c r="Q109" s="626">
        <f t="shared" si="6"/>
        <v>0</v>
      </c>
      <c r="S109" s="650"/>
      <c r="T109" s="630"/>
      <c r="U109" s="630"/>
      <c r="V109" s="630"/>
      <c r="W109" s="629" t="str">
        <f t="shared" si="7"/>
        <v>NULL</v>
      </c>
      <c r="X109" s="630"/>
      <c r="Y109" s="630"/>
      <c r="Z109" s="654"/>
    </row>
    <row r="110" spans="1:26">
      <c r="A110" s="647"/>
      <c r="B110" s="649"/>
      <c r="C110" s="618"/>
      <c r="D110" s="618"/>
      <c r="E110" s="618"/>
      <c r="F110" s="618"/>
      <c r="G110" s="656"/>
      <c r="H110" s="656"/>
      <c r="I110" s="656"/>
      <c r="J110" s="656"/>
      <c r="K110" s="656"/>
      <c r="L110" s="656"/>
      <c r="M110" s="656"/>
      <c r="N110" s="656"/>
      <c r="O110" s="624">
        <f t="shared" si="4"/>
        <v>0</v>
      </c>
      <c r="P110" s="625">
        <f t="shared" si="5"/>
        <v>0</v>
      </c>
      <c r="Q110" s="626">
        <f t="shared" si="6"/>
        <v>0</v>
      </c>
      <c r="S110" s="650"/>
      <c r="T110" s="630"/>
      <c r="U110" s="630"/>
      <c r="V110" s="630"/>
      <c r="W110" s="629" t="str">
        <f t="shared" si="7"/>
        <v>NULL</v>
      </c>
      <c r="X110" s="630"/>
      <c r="Y110" s="630"/>
      <c r="Z110" s="654"/>
    </row>
    <row r="111" spans="1:26">
      <c r="A111" s="647"/>
      <c r="B111" s="649"/>
      <c r="C111" s="618"/>
      <c r="D111" s="618"/>
      <c r="E111" s="618"/>
      <c r="F111" s="618"/>
      <c r="G111" s="656"/>
      <c r="H111" s="656"/>
      <c r="I111" s="656"/>
      <c r="J111" s="656"/>
      <c r="K111" s="656"/>
      <c r="L111" s="656"/>
      <c r="M111" s="656"/>
      <c r="N111" s="656"/>
      <c r="O111" s="624">
        <f t="shared" si="4"/>
        <v>0</v>
      </c>
      <c r="P111" s="625">
        <f t="shared" si="5"/>
        <v>0</v>
      </c>
      <c r="Q111" s="626">
        <f t="shared" si="6"/>
        <v>0</v>
      </c>
      <c r="S111" s="650"/>
      <c r="T111" s="630"/>
      <c r="U111" s="630"/>
      <c r="V111" s="630"/>
      <c r="W111" s="629" t="str">
        <f t="shared" si="7"/>
        <v>NULL</v>
      </c>
      <c r="X111" s="630"/>
      <c r="Y111" s="630"/>
      <c r="Z111" s="654"/>
    </row>
    <row r="112" spans="1:26">
      <c r="A112" s="647"/>
      <c r="B112" s="649"/>
      <c r="C112" s="618"/>
      <c r="D112" s="618"/>
      <c r="E112" s="618"/>
      <c r="F112" s="618"/>
      <c r="G112" s="656"/>
      <c r="H112" s="656"/>
      <c r="I112" s="656"/>
      <c r="J112" s="656"/>
      <c r="K112" s="656"/>
      <c r="L112" s="656"/>
      <c r="M112" s="656"/>
      <c r="N112" s="656"/>
      <c r="O112" s="624">
        <f t="shared" si="4"/>
        <v>0</v>
      </c>
      <c r="P112" s="625">
        <f t="shared" si="5"/>
        <v>0</v>
      </c>
      <c r="Q112" s="626">
        <f t="shared" si="6"/>
        <v>0</v>
      </c>
      <c r="S112" s="650"/>
      <c r="T112" s="630"/>
      <c r="U112" s="630"/>
      <c r="V112" s="630"/>
      <c r="W112" s="629" t="str">
        <f t="shared" si="7"/>
        <v>NULL</v>
      </c>
      <c r="X112" s="630"/>
      <c r="Y112" s="630"/>
      <c r="Z112" s="654"/>
    </row>
    <row r="113" spans="1:26">
      <c r="A113" s="647"/>
      <c r="B113" s="649"/>
      <c r="C113" s="618"/>
      <c r="D113" s="618"/>
      <c r="E113" s="618"/>
      <c r="F113" s="618"/>
      <c r="G113" s="656"/>
      <c r="H113" s="656"/>
      <c r="I113" s="656"/>
      <c r="J113" s="656"/>
      <c r="K113" s="656"/>
      <c r="L113" s="656"/>
      <c r="M113" s="656"/>
      <c r="N113" s="656"/>
      <c r="O113" s="624">
        <f t="shared" si="4"/>
        <v>0</v>
      </c>
      <c r="P113" s="625">
        <f t="shared" si="5"/>
        <v>0</v>
      </c>
      <c r="Q113" s="626">
        <f t="shared" si="6"/>
        <v>0</v>
      </c>
      <c r="S113" s="650"/>
      <c r="T113" s="630"/>
      <c r="U113" s="630"/>
      <c r="V113" s="630"/>
      <c r="W113" s="629" t="str">
        <f t="shared" si="7"/>
        <v>NULL</v>
      </c>
      <c r="X113" s="630"/>
      <c r="Y113" s="630"/>
      <c r="Z113" s="654"/>
    </row>
    <row r="114" spans="1:26">
      <c r="A114" s="647"/>
      <c r="B114" s="649"/>
      <c r="C114" s="618"/>
      <c r="D114" s="618"/>
      <c r="E114" s="618"/>
      <c r="F114" s="618"/>
      <c r="G114" s="656"/>
      <c r="H114" s="656"/>
      <c r="I114" s="656"/>
      <c r="J114" s="656"/>
      <c r="K114" s="656"/>
      <c r="L114" s="656"/>
      <c r="M114" s="656"/>
      <c r="N114" s="656"/>
      <c r="O114" s="624">
        <f t="shared" si="4"/>
        <v>0</v>
      </c>
      <c r="P114" s="625">
        <f t="shared" si="5"/>
        <v>0</v>
      </c>
      <c r="Q114" s="626">
        <f t="shared" si="6"/>
        <v>0</v>
      </c>
      <c r="S114" s="650"/>
      <c r="T114" s="630"/>
      <c r="U114" s="630"/>
      <c r="V114" s="630"/>
      <c r="W114" s="629" t="str">
        <f t="shared" si="7"/>
        <v>NULL</v>
      </c>
      <c r="X114" s="630"/>
      <c r="Y114" s="630"/>
      <c r="Z114" s="654"/>
    </row>
    <row r="115" spans="1:26">
      <c r="A115" s="647"/>
      <c r="B115" s="649"/>
      <c r="C115" s="618"/>
      <c r="D115" s="618"/>
      <c r="E115" s="618"/>
      <c r="F115" s="618"/>
      <c r="G115" s="656"/>
      <c r="H115" s="656"/>
      <c r="I115" s="656"/>
      <c r="J115" s="656"/>
      <c r="K115" s="656"/>
      <c r="L115" s="656"/>
      <c r="M115" s="656"/>
      <c r="N115" s="656"/>
      <c r="O115" s="624">
        <f t="shared" si="4"/>
        <v>0</v>
      </c>
      <c r="P115" s="625">
        <f t="shared" si="5"/>
        <v>0</v>
      </c>
      <c r="Q115" s="626">
        <f t="shared" si="6"/>
        <v>0</v>
      </c>
      <c r="S115" s="650"/>
      <c r="T115" s="630"/>
      <c r="U115" s="630"/>
      <c r="V115" s="630"/>
      <c r="W115" s="629" t="str">
        <f t="shared" si="7"/>
        <v>NULL</v>
      </c>
      <c r="X115" s="630"/>
      <c r="Y115" s="630"/>
      <c r="Z115" s="654"/>
    </row>
    <row r="116" spans="1:26">
      <c r="A116" s="647"/>
      <c r="B116" s="649"/>
      <c r="C116" s="618"/>
      <c r="D116" s="618"/>
      <c r="E116" s="618"/>
      <c r="F116" s="618"/>
      <c r="G116" s="656"/>
      <c r="H116" s="656"/>
      <c r="I116" s="656"/>
      <c r="J116" s="656"/>
      <c r="K116" s="656"/>
      <c r="L116" s="656"/>
      <c r="M116" s="656"/>
      <c r="N116" s="656"/>
      <c r="O116" s="624">
        <f t="shared" si="4"/>
        <v>0</v>
      </c>
      <c r="P116" s="625">
        <f t="shared" si="5"/>
        <v>0</v>
      </c>
      <c r="Q116" s="626">
        <f t="shared" si="6"/>
        <v>0</v>
      </c>
      <c r="S116" s="650"/>
      <c r="T116" s="630"/>
      <c r="U116" s="630"/>
      <c r="V116" s="630"/>
      <c r="W116" s="629" t="str">
        <f t="shared" si="7"/>
        <v>NULL</v>
      </c>
      <c r="X116" s="630"/>
      <c r="Y116" s="630"/>
      <c r="Z116" s="654"/>
    </row>
    <row r="117" spans="1:26">
      <c r="A117" s="647"/>
      <c r="B117" s="649"/>
      <c r="C117" s="618"/>
      <c r="D117" s="618"/>
      <c r="E117" s="618"/>
      <c r="F117" s="618"/>
      <c r="G117" s="656"/>
      <c r="H117" s="656"/>
      <c r="I117" s="656"/>
      <c r="J117" s="656"/>
      <c r="K117" s="656"/>
      <c r="L117" s="656"/>
      <c r="M117" s="656"/>
      <c r="N117" s="656"/>
      <c r="O117" s="624">
        <f t="shared" si="4"/>
        <v>0</v>
      </c>
      <c r="P117" s="625">
        <f t="shared" si="5"/>
        <v>0</v>
      </c>
      <c r="Q117" s="626">
        <f t="shared" si="6"/>
        <v>0</v>
      </c>
      <c r="S117" s="650"/>
      <c r="T117" s="630"/>
      <c r="U117" s="630"/>
      <c r="V117" s="630"/>
      <c r="W117" s="629" t="str">
        <f t="shared" si="7"/>
        <v>NULL</v>
      </c>
      <c r="X117" s="630"/>
      <c r="Y117" s="630"/>
      <c r="Z117" s="654"/>
    </row>
    <row r="118" spans="1:26">
      <c r="A118" s="647"/>
      <c r="B118" s="649"/>
      <c r="C118" s="618"/>
      <c r="D118" s="618"/>
      <c r="E118" s="618"/>
      <c r="F118" s="618"/>
      <c r="G118" s="656"/>
      <c r="H118" s="656"/>
      <c r="I118" s="656"/>
      <c r="J118" s="656"/>
      <c r="K118" s="656"/>
      <c r="L118" s="656"/>
      <c r="M118" s="656"/>
      <c r="N118" s="656"/>
      <c r="O118" s="624">
        <f t="shared" si="4"/>
        <v>0</v>
      </c>
      <c r="P118" s="625">
        <f t="shared" si="5"/>
        <v>0</v>
      </c>
      <c r="Q118" s="626">
        <f t="shared" si="6"/>
        <v>0</v>
      </c>
      <c r="S118" s="650"/>
      <c r="T118" s="630"/>
      <c r="U118" s="630"/>
      <c r="V118" s="630"/>
      <c r="W118" s="629" t="str">
        <f t="shared" si="7"/>
        <v>NULL</v>
      </c>
      <c r="X118" s="630"/>
      <c r="Y118" s="630"/>
      <c r="Z118" s="654"/>
    </row>
    <row r="119" spans="1:26">
      <c r="A119" s="647"/>
      <c r="B119" s="649"/>
      <c r="C119" s="618"/>
      <c r="D119" s="618"/>
      <c r="E119" s="618"/>
      <c r="F119" s="618"/>
      <c r="G119" s="656"/>
      <c r="H119" s="656"/>
      <c r="I119" s="656"/>
      <c r="J119" s="656"/>
      <c r="K119" s="656"/>
      <c r="L119" s="656"/>
      <c r="M119" s="656"/>
      <c r="N119" s="656"/>
      <c r="O119" s="624">
        <f t="shared" si="4"/>
        <v>0</v>
      </c>
      <c r="P119" s="625">
        <f t="shared" si="5"/>
        <v>0</v>
      </c>
      <c r="Q119" s="626">
        <f t="shared" si="6"/>
        <v>0</v>
      </c>
      <c r="S119" s="650"/>
      <c r="T119" s="630"/>
      <c r="U119" s="630"/>
      <c r="V119" s="630"/>
      <c r="W119" s="629" t="str">
        <f t="shared" si="7"/>
        <v>NULL</v>
      </c>
      <c r="X119" s="630"/>
      <c r="Y119" s="630"/>
      <c r="Z119" s="654"/>
    </row>
    <row r="120" spans="1:26">
      <c r="A120" s="647"/>
      <c r="B120" s="649"/>
      <c r="C120" s="618"/>
      <c r="D120" s="618"/>
      <c r="E120" s="618"/>
      <c r="F120" s="618"/>
      <c r="G120" s="656"/>
      <c r="H120" s="656"/>
      <c r="I120" s="656"/>
      <c r="J120" s="656"/>
      <c r="K120" s="656"/>
      <c r="L120" s="656"/>
      <c r="M120" s="656"/>
      <c r="N120" s="656"/>
      <c r="O120" s="624">
        <f t="shared" si="4"/>
        <v>0</v>
      </c>
      <c r="P120" s="625">
        <f t="shared" si="5"/>
        <v>0</v>
      </c>
      <c r="Q120" s="626">
        <f t="shared" si="6"/>
        <v>0</v>
      </c>
      <c r="S120" s="650"/>
      <c r="T120" s="630"/>
      <c r="U120" s="630"/>
      <c r="V120" s="630"/>
      <c r="W120" s="629" t="str">
        <f t="shared" si="7"/>
        <v>NULL</v>
      </c>
      <c r="X120" s="630"/>
      <c r="Y120" s="630"/>
      <c r="Z120" s="654"/>
    </row>
    <row r="121" spans="1:26">
      <c r="A121" s="647"/>
      <c r="B121" s="649"/>
      <c r="C121" s="618"/>
      <c r="D121" s="618"/>
      <c r="E121" s="618"/>
      <c r="F121" s="618"/>
      <c r="G121" s="656"/>
      <c r="H121" s="656"/>
      <c r="I121" s="656"/>
      <c r="J121" s="656"/>
      <c r="K121" s="656"/>
      <c r="L121" s="656"/>
      <c r="M121" s="656"/>
      <c r="N121" s="656"/>
      <c r="O121" s="624">
        <f t="shared" si="4"/>
        <v>0</v>
      </c>
      <c r="P121" s="625">
        <f t="shared" si="5"/>
        <v>0</v>
      </c>
      <c r="Q121" s="626">
        <f t="shared" si="6"/>
        <v>0</v>
      </c>
      <c r="S121" s="650"/>
      <c r="T121" s="630"/>
      <c r="U121" s="630"/>
      <c r="V121" s="630"/>
      <c r="W121" s="629" t="str">
        <f t="shared" si="7"/>
        <v>NULL</v>
      </c>
      <c r="X121" s="630"/>
      <c r="Y121" s="630"/>
      <c r="Z121" s="654"/>
    </row>
    <row r="122" spans="1:26">
      <c r="A122" s="647"/>
      <c r="B122" s="649"/>
      <c r="C122" s="618"/>
      <c r="D122" s="618"/>
      <c r="E122" s="618"/>
      <c r="F122" s="618"/>
      <c r="G122" s="656"/>
      <c r="H122" s="656"/>
      <c r="I122" s="656"/>
      <c r="J122" s="656"/>
      <c r="K122" s="656"/>
      <c r="L122" s="656"/>
      <c r="M122" s="656"/>
      <c r="N122" s="656"/>
      <c r="O122" s="624">
        <f t="shared" si="4"/>
        <v>0</v>
      </c>
      <c r="P122" s="625">
        <f t="shared" si="5"/>
        <v>0</v>
      </c>
      <c r="Q122" s="626">
        <f t="shared" si="6"/>
        <v>0</v>
      </c>
      <c r="S122" s="650"/>
      <c r="T122" s="630"/>
      <c r="U122" s="630"/>
      <c r="V122" s="630"/>
      <c r="W122" s="629" t="str">
        <f t="shared" si="7"/>
        <v>NULL</v>
      </c>
      <c r="X122" s="630"/>
      <c r="Y122" s="630"/>
      <c r="Z122" s="654"/>
    </row>
    <row r="123" spans="1:26">
      <c r="A123" s="647"/>
      <c r="B123" s="649"/>
      <c r="C123" s="618"/>
      <c r="D123" s="618"/>
      <c r="E123" s="618"/>
      <c r="F123" s="618"/>
      <c r="G123" s="656"/>
      <c r="H123" s="656"/>
      <c r="I123" s="656"/>
      <c r="J123" s="656"/>
      <c r="K123" s="656"/>
      <c r="L123" s="656"/>
      <c r="M123" s="656"/>
      <c r="N123" s="656"/>
      <c r="O123" s="624">
        <f t="shared" si="4"/>
        <v>0</v>
      </c>
      <c r="P123" s="625">
        <f t="shared" si="5"/>
        <v>0</v>
      </c>
      <c r="Q123" s="626">
        <f t="shared" si="6"/>
        <v>0</v>
      </c>
      <c r="S123" s="650"/>
      <c r="T123" s="630"/>
      <c r="U123" s="630"/>
      <c r="V123" s="630"/>
      <c r="W123" s="629" t="str">
        <f t="shared" si="7"/>
        <v>NULL</v>
      </c>
      <c r="X123" s="630"/>
      <c r="Y123" s="630"/>
      <c r="Z123" s="654"/>
    </row>
    <row r="124" spans="1:26">
      <c r="A124" s="647"/>
      <c r="B124" s="649"/>
      <c r="C124" s="618"/>
      <c r="D124" s="618"/>
      <c r="E124" s="618"/>
      <c r="F124" s="618"/>
      <c r="G124" s="656"/>
      <c r="H124" s="656"/>
      <c r="I124" s="656"/>
      <c r="J124" s="656"/>
      <c r="K124" s="656"/>
      <c r="L124" s="656"/>
      <c r="M124" s="656"/>
      <c r="N124" s="656"/>
      <c r="O124" s="624">
        <f t="shared" si="4"/>
        <v>0</v>
      </c>
      <c r="P124" s="625">
        <f t="shared" si="5"/>
        <v>0</v>
      </c>
      <c r="Q124" s="626">
        <f t="shared" si="6"/>
        <v>0</v>
      </c>
      <c r="S124" s="650"/>
      <c r="T124" s="630"/>
      <c r="U124" s="630"/>
      <c r="V124" s="630"/>
      <c r="W124" s="629" t="str">
        <f t="shared" si="7"/>
        <v>NULL</v>
      </c>
      <c r="X124" s="630"/>
      <c r="Y124" s="630"/>
      <c r="Z124" s="654"/>
    </row>
    <row r="125" spans="1:26">
      <c r="A125" s="647"/>
      <c r="B125" s="649"/>
      <c r="C125" s="618"/>
      <c r="D125" s="618"/>
      <c r="E125" s="618"/>
      <c r="F125" s="618"/>
      <c r="G125" s="656"/>
      <c r="H125" s="656"/>
      <c r="I125" s="656"/>
      <c r="J125" s="656"/>
      <c r="K125" s="656"/>
      <c r="L125" s="656"/>
      <c r="M125" s="656"/>
      <c r="N125" s="656"/>
      <c r="O125" s="624">
        <f t="shared" si="4"/>
        <v>0</v>
      </c>
      <c r="P125" s="625">
        <f t="shared" si="5"/>
        <v>0</v>
      </c>
      <c r="Q125" s="626">
        <f t="shared" si="6"/>
        <v>0</v>
      </c>
      <c r="S125" s="650"/>
      <c r="T125" s="630"/>
      <c r="U125" s="630"/>
      <c r="V125" s="630"/>
      <c r="W125" s="629" t="str">
        <f t="shared" si="7"/>
        <v>NULL</v>
      </c>
      <c r="X125" s="630"/>
      <c r="Y125" s="630"/>
      <c r="Z125" s="654"/>
    </row>
    <row r="126" spans="1:26">
      <c r="A126" s="647"/>
      <c r="B126" s="649"/>
      <c r="C126" s="618"/>
      <c r="D126" s="618"/>
      <c r="E126" s="618"/>
      <c r="F126" s="618"/>
      <c r="G126" s="656"/>
      <c r="H126" s="656"/>
      <c r="I126" s="656"/>
      <c r="J126" s="656"/>
      <c r="K126" s="656"/>
      <c r="L126" s="656"/>
      <c r="M126" s="656"/>
      <c r="N126" s="656"/>
      <c r="O126" s="624">
        <f t="shared" si="4"/>
        <v>0</v>
      </c>
      <c r="P126" s="625">
        <f t="shared" si="5"/>
        <v>0</v>
      </c>
      <c r="Q126" s="626">
        <f t="shared" si="6"/>
        <v>0</v>
      </c>
      <c r="S126" s="650"/>
      <c r="T126" s="630"/>
      <c r="U126" s="630"/>
      <c r="V126" s="630"/>
      <c r="W126" s="629" t="str">
        <f t="shared" si="7"/>
        <v>NULL</v>
      </c>
      <c r="X126" s="630"/>
      <c r="Y126" s="630"/>
      <c r="Z126" s="654"/>
    </row>
    <row r="127" spans="1:26">
      <c r="A127" s="647"/>
      <c r="B127" s="649"/>
      <c r="C127" s="618"/>
      <c r="D127" s="618"/>
      <c r="E127" s="618"/>
      <c r="F127" s="618"/>
      <c r="G127" s="656"/>
      <c r="H127" s="656"/>
      <c r="I127" s="656"/>
      <c r="J127" s="656"/>
      <c r="K127" s="656"/>
      <c r="L127" s="656"/>
      <c r="M127" s="656"/>
      <c r="N127" s="656"/>
      <c r="O127" s="624">
        <f t="shared" si="4"/>
        <v>0</v>
      </c>
      <c r="P127" s="625">
        <f t="shared" si="5"/>
        <v>0</v>
      </c>
      <c r="Q127" s="626">
        <f t="shared" si="6"/>
        <v>0</v>
      </c>
      <c r="S127" s="650"/>
      <c r="T127" s="630"/>
      <c r="U127" s="630"/>
      <c r="V127" s="630"/>
      <c r="W127" s="629" t="str">
        <f t="shared" si="7"/>
        <v>NULL</v>
      </c>
      <c r="X127" s="630"/>
      <c r="Y127" s="630"/>
      <c r="Z127" s="654"/>
    </row>
    <row r="128" spans="1:26">
      <c r="A128" s="647"/>
      <c r="B128" s="649"/>
      <c r="C128" s="618"/>
      <c r="D128" s="618"/>
      <c r="E128" s="618"/>
      <c r="F128" s="618"/>
      <c r="G128" s="656"/>
      <c r="H128" s="656"/>
      <c r="I128" s="656"/>
      <c r="J128" s="656"/>
      <c r="K128" s="656"/>
      <c r="L128" s="656"/>
      <c r="M128" s="656"/>
      <c r="N128" s="656"/>
      <c r="O128" s="624">
        <f t="shared" si="4"/>
        <v>0</v>
      </c>
      <c r="P128" s="625">
        <f t="shared" si="5"/>
        <v>0</v>
      </c>
      <c r="Q128" s="626">
        <f t="shared" si="6"/>
        <v>0</v>
      </c>
      <c r="S128" s="650"/>
      <c r="T128" s="630"/>
      <c r="U128" s="630"/>
      <c r="V128" s="630"/>
      <c r="W128" s="629" t="str">
        <f t="shared" si="7"/>
        <v>NULL</v>
      </c>
      <c r="X128" s="630"/>
      <c r="Y128" s="630"/>
      <c r="Z128" s="654"/>
    </row>
    <row r="129" spans="1:26">
      <c r="A129" s="647"/>
      <c r="B129" s="649"/>
      <c r="C129" s="618"/>
      <c r="D129" s="618"/>
      <c r="E129" s="618"/>
      <c r="F129" s="618"/>
      <c r="G129" s="656"/>
      <c r="H129" s="656"/>
      <c r="I129" s="656"/>
      <c r="J129" s="656"/>
      <c r="K129" s="656"/>
      <c r="L129" s="656"/>
      <c r="M129" s="656"/>
      <c r="N129" s="656"/>
      <c r="O129" s="624">
        <f t="shared" si="4"/>
        <v>0</v>
      </c>
      <c r="P129" s="625">
        <f t="shared" si="5"/>
        <v>0</v>
      </c>
      <c r="Q129" s="626">
        <f t="shared" si="6"/>
        <v>0</v>
      </c>
      <c r="S129" s="650"/>
      <c r="T129" s="630"/>
      <c r="U129" s="630"/>
      <c r="V129" s="630"/>
      <c r="W129" s="629" t="str">
        <f t="shared" si="7"/>
        <v>NULL</v>
      </c>
      <c r="X129" s="630"/>
      <c r="Y129" s="630"/>
      <c r="Z129" s="654"/>
    </row>
    <row r="130" spans="1:26">
      <c r="A130" s="647"/>
      <c r="B130" s="649"/>
      <c r="C130" s="618"/>
      <c r="D130" s="618"/>
      <c r="E130" s="618"/>
      <c r="F130" s="618"/>
      <c r="G130" s="656"/>
      <c r="H130" s="656"/>
      <c r="I130" s="656"/>
      <c r="J130" s="656"/>
      <c r="K130" s="656"/>
      <c r="L130" s="656"/>
      <c r="M130" s="656"/>
      <c r="N130" s="656"/>
      <c r="O130" s="624">
        <f t="shared" si="4"/>
        <v>0</v>
      </c>
      <c r="P130" s="625">
        <f t="shared" si="5"/>
        <v>0</v>
      </c>
      <c r="Q130" s="626">
        <f t="shared" si="6"/>
        <v>0</v>
      </c>
      <c r="S130" s="650"/>
      <c r="T130" s="630"/>
      <c r="U130" s="630"/>
      <c r="V130" s="630"/>
      <c r="W130" s="629" t="str">
        <f t="shared" si="7"/>
        <v>NULL</v>
      </c>
      <c r="X130" s="630"/>
      <c r="Y130" s="630"/>
      <c r="Z130" s="654"/>
    </row>
    <row r="131" spans="1:26">
      <c r="A131" s="647"/>
      <c r="B131" s="649"/>
      <c r="C131" s="618"/>
      <c r="D131" s="618"/>
      <c r="E131" s="618"/>
      <c r="F131" s="618"/>
      <c r="G131" s="656"/>
      <c r="H131" s="656"/>
      <c r="I131" s="656"/>
      <c r="J131" s="656"/>
      <c r="K131" s="656"/>
      <c r="L131" s="656"/>
      <c r="M131" s="656"/>
      <c r="N131" s="656"/>
      <c r="O131" s="624">
        <f t="shared" si="4"/>
        <v>0</v>
      </c>
      <c r="P131" s="625">
        <f t="shared" si="5"/>
        <v>0</v>
      </c>
      <c r="Q131" s="626">
        <f t="shared" si="6"/>
        <v>0</v>
      </c>
      <c r="S131" s="650"/>
      <c r="T131" s="630"/>
      <c r="U131" s="630"/>
      <c r="V131" s="630"/>
      <c r="W131" s="629" t="str">
        <f t="shared" si="7"/>
        <v>NULL</v>
      </c>
      <c r="X131" s="630"/>
      <c r="Y131" s="630"/>
      <c r="Z131" s="654"/>
    </row>
    <row r="132" spans="1:26">
      <c r="A132" s="647"/>
      <c r="B132" s="649"/>
      <c r="C132" s="618"/>
      <c r="D132" s="618"/>
      <c r="E132" s="618"/>
      <c r="F132" s="618"/>
      <c r="G132" s="656"/>
      <c r="H132" s="656"/>
      <c r="I132" s="656"/>
      <c r="J132" s="656"/>
      <c r="K132" s="656"/>
      <c r="L132" s="656"/>
      <c r="M132" s="656"/>
      <c r="N132" s="656"/>
      <c r="O132" s="624">
        <f t="shared" ref="O132:O195" si="8">SUM(G132:N132)</f>
        <v>0</v>
      </c>
      <c r="P132" s="625">
        <f t="shared" ref="P132:P195" si="9">IF(OR(ISBLANK(D132),ISBLANK(E132)),0, IF(MINUTE(E132-D132)=0,HOUR(E132)-HOUR(D132),MINUTE(E132-D132)))</f>
        <v>0</v>
      </c>
      <c r="Q132" s="626">
        <f t="shared" ref="Q132:Q195" si="10">IF(P132=1,(O132-1)*60,(((O132)*60)-P132))</f>
        <v>0</v>
      </c>
      <c r="S132" s="650"/>
      <c r="T132" s="630"/>
      <c r="U132" s="630"/>
      <c r="V132" s="630"/>
      <c r="W132" s="629" t="str">
        <f t="shared" ref="W132:W195" si="11">IF(OR(ISBLANK(D132),ISBLANK(E132)),"NULL",D132+VALUE(0&amp;$X$2&amp;":00"))</f>
        <v>NULL</v>
      </c>
      <c r="X132" s="630"/>
      <c r="Y132" s="630"/>
      <c r="Z132" s="654"/>
    </row>
    <row r="133" spans="1:26">
      <c r="A133" s="647"/>
      <c r="B133" s="649"/>
      <c r="C133" s="618"/>
      <c r="D133" s="618"/>
      <c r="E133" s="618"/>
      <c r="F133" s="618"/>
      <c r="G133" s="656"/>
      <c r="H133" s="656"/>
      <c r="I133" s="656"/>
      <c r="J133" s="656"/>
      <c r="K133" s="656"/>
      <c r="L133" s="656"/>
      <c r="M133" s="656"/>
      <c r="N133" s="656"/>
      <c r="O133" s="624">
        <f t="shared" si="8"/>
        <v>0</v>
      </c>
      <c r="P133" s="625">
        <f t="shared" si="9"/>
        <v>0</v>
      </c>
      <c r="Q133" s="626">
        <f t="shared" si="10"/>
        <v>0</v>
      </c>
      <c r="S133" s="650"/>
      <c r="T133" s="630"/>
      <c r="U133" s="630"/>
      <c r="V133" s="630"/>
      <c r="W133" s="629" t="str">
        <f t="shared" si="11"/>
        <v>NULL</v>
      </c>
      <c r="X133" s="630"/>
      <c r="Y133" s="630"/>
      <c r="Z133" s="654"/>
    </row>
    <row r="134" spans="1:26">
      <c r="A134" s="647"/>
      <c r="B134" s="649"/>
      <c r="C134" s="618"/>
      <c r="D134" s="618"/>
      <c r="E134" s="618"/>
      <c r="F134" s="618"/>
      <c r="G134" s="656"/>
      <c r="H134" s="656"/>
      <c r="I134" s="656"/>
      <c r="J134" s="656"/>
      <c r="K134" s="656"/>
      <c r="L134" s="656"/>
      <c r="M134" s="656"/>
      <c r="N134" s="656"/>
      <c r="O134" s="624">
        <f t="shared" si="8"/>
        <v>0</v>
      </c>
      <c r="P134" s="625">
        <f t="shared" si="9"/>
        <v>0</v>
      </c>
      <c r="Q134" s="626">
        <f t="shared" si="10"/>
        <v>0</v>
      </c>
      <c r="S134" s="650"/>
      <c r="T134" s="630"/>
      <c r="U134" s="630"/>
      <c r="V134" s="630"/>
      <c r="W134" s="629" t="str">
        <f t="shared" si="11"/>
        <v>NULL</v>
      </c>
      <c r="X134" s="630"/>
      <c r="Y134" s="630"/>
      <c r="Z134" s="654"/>
    </row>
    <row r="135" spans="1:26">
      <c r="A135" s="647"/>
      <c r="B135" s="649"/>
      <c r="C135" s="618"/>
      <c r="D135" s="618"/>
      <c r="E135" s="618"/>
      <c r="F135" s="618"/>
      <c r="G135" s="656"/>
      <c r="H135" s="656"/>
      <c r="I135" s="656"/>
      <c r="J135" s="656"/>
      <c r="K135" s="656"/>
      <c r="L135" s="656"/>
      <c r="M135" s="656"/>
      <c r="N135" s="656"/>
      <c r="O135" s="624">
        <f t="shared" si="8"/>
        <v>0</v>
      </c>
      <c r="P135" s="625">
        <f t="shared" si="9"/>
        <v>0</v>
      </c>
      <c r="Q135" s="626">
        <f t="shared" si="10"/>
        <v>0</v>
      </c>
      <c r="S135" s="650"/>
      <c r="T135" s="630"/>
      <c r="U135" s="630"/>
      <c r="V135" s="630"/>
      <c r="W135" s="629" t="str">
        <f t="shared" si="11"/>
        <v>NULL</v>
      </c>
      <c r="X135" s="630"/>
      <c r="Y135" s="630"/>
      <c r="Z135" s="654"/>
    </row>
    <row r="136" spans="1:26">
      <c r="A136" s="647"/>
      <c r="B136" s="649"/>
      <c r="C136" s="618"/>
      <c r="D136" s="618"/>
      <c r="E136" s="618"/>
      <c r="F136" s="618"/>
      <c r="G136" s="656"/>
      <c r="H136" s="656"/>
      <c r="I136" s="656"/>
      <c r="J136" s="656"/>
      <c r="K136" s="656"/>
      <c r="L136" s="656"/>
      <c r="M136" s="656"/>
      <c r="N136" s="656"/>
      <c r="O136" s="624">
        <f t="shared" si="8"/>
        <v>0</v>
      </c>
      <c r="P136" s="625">
        <f t="shared" si="9"/>
        <v>0</v>
      </c>
      <c r="Q136" s="626">
        <f t="shared" si="10"/>
        <v>0</v>
      </c>
      <c r="S136" s="650"/>
      <c r="T136" s="630"/>
      <c r="U136" s="630"/>
      <c r="V136" s="630"/>
      <c r="W136" s="629" t="str">
        <f t="shared" si="11"/>
        <v>NULL</v>
      </c>
      <c r="X136" s="630"/>
      <c r="Y136" s="630"/>
      <c r="Z136" s="654"/>
    </row>
    <row r="137" spans="1:26">
      <c r="A137" s="647"/>
      <c r="B137" s="649"/>
      <c r="C137" s="618"/>
      <c r="D137" s="618"/>
      <c r="E137" s="618"/>
      <c r="F137" s="618"/>
      <c r="G137" s="656"/>
      <c r="H137" s="656"/>
      <c r="I137" s="656"/>
      <c r="J137" s="656"/>
      <c r="K137" s="656"/>
      <c r="L137" s="656"/>
      <c r="M137" s="656"/>
      <c r="N137" s="656"/>
      <c r="O137" s="624">
        <f t="shared" si="8"/>
        <v>0</v>
      </c>
      <c r="P137" s="625">
        <f t="shared" si="9"/>
        <v>0</v>
      </c>
      <c r="Q137" s="626">
        <f t="shared" si="10"/>
        <v>0</v>
      </c>
      <c r="S137" s="650"/>
      <c r="T137" s="630"/>
      <c r="U137" s="630"/>
      <c r="V137" s="630"/>
      <c r="W137" s="629" t="str">
        <f t="shared" si="11"/>
        <v>NULL</v>
      </c>
      <c r="X137" s="630"/>
      <c r="Y137" s="630"/>
      <c r="Z137" s="654"/>
    </row>
    <row r="138" spans="1:26">
      <c r="A138" s="647"/>
      <c r="B138" s="649"/>
      <c r="C138" s="618"/>
      <c r="D138" s="618"/>
      <c r="E138" s="618"/>
      <c r="F138" s="618"/>
      <c r="G138" s="656"/>
      <c r="H138" s="656"/>
      <c r="I138" s="656"/>
      <c r="J138" s="656"/>
      <c r="K138" s="656"/>
      <c r="L138" s="656"/>
      <c r="M138" s="656"/>
      <c r="N138" s="656"/>
      <c r="O138" s="624">
        <f t="shared" si="8"/>
        <v>0</v>
      </c>
      <c r="P138" s="625">
        <f t="shared" si="9"/>
        <v>0</v>
      </c>
      <c r="Q138" s="626">
        <f t="shared" si="10"/>
        <v>0</v>
      </c>
      <c r="S138" s="650"/>
      <c r="T138" s="630"/>
      <c r="U138" s="630"/>
      <c r="V138" s="630"/>
      <c r="W138" s="629" t="str">
        <f t="shared" si="11"/>
        <v>NULL</v>
      </c>
      <c r="X138" s="630"/>
      <c r="Y138" s="630"/>
      <c r="Z138" s="654"/>
    </row>
    <row r="139" spans="1:26">
      <c r="A139" s="647"/>
      <c r="B139" s="649"/>
      <c r="C139" s="618"/>
      <c r="D139" s="618"/>
      <c r="E139" s="618"/>
      <c r="F139" s="618"/>
      <c r="G139" s="656"/>
      <c r="H139" s="656"/>
      <c r="I139" s="656"/>
      <c r="J139" s="656"/>
      <c r="K139" s="656"/>
      <c r="L139" s="656"/>
      <c r="M139" s="656"/>
      <c r="N139" s="656"/>
      <c r="O139" s="624">
        <f t="shared" si="8"/>
        <v>0</v>
      </c>
      <c r="P139" s="625">
        <f t="shared" si="9"/>
        <v>0</v>
      </c>
      <c r="Q139" s="626">
        <f t="shared" si="10"/>
        <v>0</v>
      </c>
      <c r="S139" s="650"/>
      <c r="T139" s="630"/>
      <c r="U139" s="630"/>
      <c r="V139" s="630"/>
      <c r="W139" s="629" t="str">
        <f t="shared" si="11"/>
        <v>NULL</v>
      </c>
      <c r="X139" s="630"/>
      <c r="Y139" s="630"/>
      <c r="Z139" s="654"/>
    </row>
    <row r="140" spans="1:26">
      <c r="A140" s="647"/>
      <c r="B140" s="649"/>
      <c r="C140" s="618"/>
      <c r="D140" s="618"/>
      <c r="E140" s="618"/>
      <c r="F140" s="618"/>
      <c r="G140" s="656"/>
      <c r="H140" s="656"/>
      <c r="I140" s="656"/>
      <c r="J140" s="656"/>
      <c r="K140" s="656"/>
      <c r="L140" s="656"/>
      <c r="M140" s="656"/>
      <c r="N140" s="656"/>
      <c r="O140" s="624">
        <f t="shared" si="8"/>
        <v>0</v>
      </c>
      <c r="P140" s="625">
        <f t="shared" si="9"/>
        <v>0</v>
      </c>
      <c r="Q140" s="626">
        <f t="shared" si="10"/>
        <v>0</v>
      </c>
      <c r="S140" s="650"/>
      <c r="T140" s="630"/>
      <c r="U140" s="630"/>
      <c r="V140" s="630"/>
      <c r="W140" s="629" t="str">
        <f t="shared" si="11"/>
        <v>NULL</v>
      </c>
      <c r="X140" s="630"/>
      <c r="Y140" s="630"/>
      <c r="Z140" s="654"/>
    </row>
    <row r="141" spans="1:26">
      <c r="A141" s="647"/>
      <c r="B141" s="649"/>
      <c r="C141" s="618"/>
      <c r="D141" s="618"/>
      <c r="E141" s="618"/>
      <c r="F141" s="618"/>
      <c r="G141" s="656"/>
      <c r="H141" s="656"/>
      <c r="I141" s="656"/>
      <c r="J141" s="656"/>
      <c r="K141" s="656"/>
      <c r="L141" s="656"/>
      <c r="M141" s="656"/>
      <c r="N141" s="656"/>
      <c r="O141" s="624">
        <f t="shared" si="8"/>
        <v>0</v>
      </c>
      <c r="P141" s="625">
        <f t="shared" si="9"/>
        <v>0</v>
      </c>
      <c r="Q141" s="626">
        <f t="shared" si="10"/>
        <v>0</v>
      </c>
      <c r="S141" s="650"/>
      <c r="T141" s="630"/>
      <c r="U141" s="630"/>
      <c r="V141" s="630"/>
      <c r="W141" s="629" t="str">
        <f t="shared" si="11"/>
        <v>NULL</v>
      </c>
      <c r="X141" s="630"/>
      <c r="Y141" s="630"/>
      <c r="Z141" s="654"/>
    </row>
    <row r="142" spans="1:26">
      <c r="A142" s="647"/>
      <c r="B142" s="649"/>
      <c r="C142" s="618"/>
      <c r="D142" s="618"/>
      <c r="E142" s="618"/>
      <c r="F142" s="618"/>
      <c r="G142" s="656"/>
      <c r="H142" s="656"/>
      <c r="I142" s="656"/>
      <c r="J142" s="656"/>
      <c r="K142" s="656"/>
      <c r="L142" s="656"/>
      <c r="M142" s="656"/>
      <c r="N142" s="656"/>
      <c r="O142" s="624">
        <f t="shared" si="8"/>
        <v>0</v>
      </c>
      <c r="P142" s="625">
        <f t="shared" si="9"/>
        <v>0</v>
      </c>
      <c r="Q142" s="626">
        <f t="shared" si="10"/>
        <v>0</v>
      </c>
      <c r="S142" s="650"/>
      <c r="T142" s="630"/>
      <c r="U142" s="630"/>
      <c r="V142" s="630"/>
      <c r="W142" s="629" t="str">
        <f t="shared" si="11"/>
        <v>NULL</v>
      </c>
      <c r="X142" s="630"/>
      <c r="Y142" s="630"/>
      <c r="Z142" s="654"/>
    </row>
    <row r="143" spans="1:26">
      <c r="A143" s="647"/>
      <c r="B143" s="649"/>
      <c r="C143" s="618"/>
      <c r="D143" s="618"/>
      <c r="E143" s="618"/>
      <c r="F143" s="618"/>
      <c r="G143" s="656"/>
      <c r="H143" s="656"/>
      <c r="I143" s="656"/>
      <c r="J143" s="656"/>
      <c r="K143" s="656"/>
      <c r="L143" s="656"/>
      <c r="M143" s="656"/>
      <c r="N143" s="656"/>
      <c r="O143" s="624">
        <f t="shared" si="8"/>
        <v>0</v>
      </c>
      <c r="P143" s="625">
        <f t="shared" si="9"/>
        <v>0</v>
      </c>
      <c r="Q143" s="626">
        <f t="shared" si="10"/>
        <v>0</v>
      </c>
      <c r="S143" s="650"/>
      <c r="T143" s="630"/>
      <c r="U143" s="630"/>
      <c r="V143" s="630"/>
      <c r="W143" s="629" t="str">
        <f t="shared" si="11"/>
        <v>NULL</v>
      </c>
      <c r="X143" s="630"/>
      <c r="Y143" s="630"/>
      <c r="Z143" s="654"/>
    </row>
    <row r="144" spans="1:26">
      <c r="A144" s="647"/>
      <c r="B144" s="649"/>
      <c r="C144" s="618"/>
      <c r="D144" s="618"/>
      <c r="E144" s="618"/>
      <c r="F144" s="618"/>
      <c r="G144" s="656"/>
      <c r="H144" s="656"/>
      <c r="I144" s="656"/>
      <c r="J144" s="656"/>
      <c r="K144" s="656"/>
      <c r="L144" s="656"/>
      <c r="M144" s="656"/>
      <c r="N144" s="656"/>
      <c r="O144" s="624">
        <f t="shared" si="8"/>
        <v>0</v>
      </c>
      <c r="P144" s="625">
        <f t="shared" si="9"/>
        <v>0</v>
      </c>
      <c r="Q144" s="626">
        <f t="shared" si="10"/>
        <v>0</v>
      </c>
      <c r="S144" s="650"/>
      <c r="T144" s="630"/>
      <c r="U144" s="630"/>
      <c r="V144" s="630"/>
      <c r="W144" s="629" t="str">
        <f t="shared" si="11"/>
        <v>NULL</v>
      </c>
      <c r="X144" s="630"/>
      <c r="Y144" s="630"/>
      <c r="Z144" s="654"/>
    </row>
    <row r="145" spans="1:26">
      <c r="A145" s="647"/>
      <c r="B145" s="649"/>
      <c r="C145" s="618"/>
      <c r="D145" s="618"/>
      <c r="E145" s="618"/>
      <c r="F145" s="618"/>
      <c r="G145" s="656"/>
      <c r="H145" s="656"/>
      <c r="I145" s="656"/>
      <c r="J145" s="656"/>
      <c r="K145" s="656"/>
      <c r="L145" s="656"/>
      <c r="M145" s="656"/>
      <c r="N145" s="656"/>
      <c r="O145" s="624">
        <f t="shared" si="8"/>
        <v>0</v>
      </c>
      <c r="P145" s="625">
        <f t="shared" si="9"/>
        <v>0</v>
      </c>
      <c r="Q145" s="626">
        <f t="shared" si="10"/>
        <v>0</v>
      </c>
      <c r="S145" s="650"/>
      <c r="T145" s="630"/>
      <c r="U145" s="630"/>
      <c r="V145" s="630"/>
      <c r="W145" s="629" t="str">
        <f t="shared" si="11"/>
        <v>NULL</v>
      </c>
      <c r="X145" s="630"/>
      <c r="Y145" s="630"/>
      <c r="Z145" s="654"/>
    </row>
    <row r="146" spans="1:26">
      <c r="A146" s="647"/>
      <c r="B146" s="649"/>
      <c r="C146" s="618"/>
      <c r="D146" s="618"/>
      <c r="E146" s="618"/>
      <c r="F146" s="618"/>
      <c r="G146" s="656"/>
      <c r="H146" s="656"/>
      <c r="I146" s="656"/>
      <c r="J146" s="656"/>
      <c r="K146" s="656"/>
      <c r="L146" s="656"/>
      <c r="M146" s="656"/>
      <c r="N146" s="656"/>
      <c r="O146" s="624">
        <f t="shared" si="8"/>
        <v>0</v>
      </c>
      <c r="P146" s="625">
        <f t="shared" si="9"/>
        <v>0</v>
      </c>
      <c r="Q146" s="626">
        <f t="shared" si="10"/>
        <v>0</v>
      </c>
      <c r="S146" s="650"/>
      <c r="T146" s="630"/>
      <c r="U146" s="630"/>
      <c r="V146" s="630"/>
      <c r="W146" s="629" t="str">
        <f t="shared" si="11"/>
        <v>NULL</v>
      </c>
      <c r="X146" s="630"/>
      <c r="Y146" s="630"/>
      <c r="Z146" s="654"/>
    </row>
    <row r="147" spans="1:26">
      <c r="A147" s="647"/>
      <c r="B147" s="649"/>
      <c r="C147" s="618"/>
      <c r="D147" s="618"/>
      <c r="E147" s="618"/>
      <c r="F147" s="618"/>
      <c r="G147" s="656"/>
      <c r="H147" s="656"/>
      <c r="I147" s="656"/>
      <c r="J147" s="656"/>
      <c r="K147" s="656"/>
      <c r="L147" s="656"/>
      <c r="M147" s="656"/>
      <c r="N147" s="656"/>
      <c r="O147" s="624">
        <f t="shared" si="8"/>
        <v>0</v>
      </c>
      <c r="P147" s="625">
        <f t="shared" si="9"/>
        <v>0</v>
      </c>
      <c r="Q147" s="626">
        <f t="shared" si="10"/>
        <v>0</v>
      </c>
      <c r="S147" s="650"/>
      <c r="T147" s="630"/>
      <c r="U147" s="630"/>
      <c r="V147" s="630"/>
      <c r="W147" s="629" t="str">
        <f t="shared" si="11"/>
        <v>NULL</v>
      </c>
      <c r="X147" s="630"/>
      <c r="Y147" s="630"/>
      <c r="Z147" s="654"/>
    </row>
    <row r="148" spans="1:26">
      <c r="A148" s="647"/>
      <c r="B148" s="649"/>
      <c r="C148" s="618"/>
      <c r="D148" s="618"/>
      <c r="E148" s="618"/>
      <c r="F148" s="618"/>
      <c r="G148" s="656"/>
      <c r="H148" s="656"/>
      <c r="I148" s="656"/>
      <c r="J148" s="656"/>
      <c r="K148" s="656"/>
      <c r="L148" s="656"/>
      <c r="M148" s="656"/>
      <c r="N148" s="656"/>
      <c r="O148" s="624">
        <f t="shared" si="8"/>
        <v>0</v>
      </c>
      <c r="P148" s="625">
        <f t="shared" si="9"/>
        <v>0</v>
      </c>
      <c r="Q148" s="626">
        <f t="shared" si="10"/>
        <v>0</v>
      </c>
      <c r="S148" s="650"/>
      <c r="T148" s="630"/>
      <c r="U148" s="630"/>
      <c r="V148" s="630"/>
      <c r="W148" s="629" t="str">
        <f t="shared" si="11"/>
        <v>NULL</v>
      </c>
      <c r="X148" s="630"/>
      <c r="Y148" s="630"/>
      <c r="Z148" s="654"/>
    </row>
    <row r="149" spans="1:26">
      <c r="A149" s="647"/>
      <c r="B149" s="649"/>
      <c r="C149" s="618"/>
      <c r="D149" s="618"/>
      <c r="E149" s="618"/>
      <c r="F149" s="618"/>
      <c r="G149" s="656"/>
      <c r="H149" s="656"/>
      <c r="I149" s="656"/>
      <c r="J149" s="656"/>
      <c r="K149" s="656"/>
      <c r="L149" s="656"/>
      <c r="M149" s="656"/>
      <c r="N149" s="656"/>
      <c r="O149" s="624">
        <f t="shared" si="8"/>
        <v>0</v>
      </c>
      <c r="P149" s="625">
        <f t="shared" si="9"/>
        <v>0</v>
      </c>
      <c r="Q149" s="626">
        <f t="shared" si="10"/>
        <v>0</v>
      </c>
      <c r="S149" s="650"/>
      <c r="T149" s="630"/>
      <c r="U149" s="630"/>
      <c r="V149" s="630"/>
      <c r="W149" s="629" t="str">
        <f t="shared" si="11"/>
        <v>NULL</v>
      </c>
      <c r="X149" s="630"/>
      <c r="Y149" s="630"/>
      <c r="Z149" s="654"/>
    </row>
    <row r="150" spans="1:26">
      <c r="A150" s="647"/>
      <c r="B150" s="649"/>
      <c r="C150" s="618"/>
      <c r="D150" s="618"/>
      <c r="E150" s="618"/>
      <c r="F150" s="618"/>
      <c r="G150" s="656"/>
      <c r="H150" s="656"/>
      <c r="I150" s="656"/>
      <c r="J150" s="656"/>
      <c r="K150" s="656"/>
      <c r="L150" s="656"/>
      <c r="M150" s="656"/>
      <c r="N150" s="656"/>
      <c r="O150" s="624">
        <f t="shared" si="8"/>
        <v>0</v>
      </c>
      <c r="P150" s="625">
        <f t="shared" si="9"/>
        <v>0</v>
      </c>
      <c r="Q150" s="626">
        <f t="shared" si="10"/>
        <v>0</v>
      </c>
      <c r="S150" s="650"/>
      <c r="T150" s="630"/>
      <c r="U150" s="630"/>
      <c r="V150" s="630"/>
      <c r="W150" s="629" t="str">
        <f t="shared" si="11"/>
        <v>NULL</v>
      </c>
      <c r="X150" s="630"/>
      <c r="Y150" s="630"/>
      <c r="Z150" s="654"/>
    </row>
    <row r="151" spans="1:26">
      <c r="A151" s="647"/>
      <c r="B151" s="649"/>
      <c r="C151" s="618"/>
      <c r="D151" s="618"/>
      <c r="E151" s="618"/>
      <c r="F151" s="618"/>
      <c r="G151" s="656"/>
      <c r="H151" s="656"/>
      <c r="I151" s="656"/>
      <c r="J151" s="656"/>
      <c r="K151" s="656"/>
      <c r="L151" s="656"/>
      <c r="M151" s="656"/>
      <c r="N151" s="656"/>
      <c r="O151" s="624">
        <f t="shared" si="8"/>
        <v>0</v>
      </c>
      <c r="P151" s="625">
        <f t="shared" si="9"/>
        <v>0</v>
      </c>
      <c r="Q151" s="626">
        <f t="shared" si="10"/>
        <v>0</v>
      </c>
      <c r="S151" s="650"/>
      <c r="T151" s="630"/>
      <c r="U151" s="630"/>
      <c r="V151" s="630"/>
      <c r="W151" s="629" t="str">
        <f t="shared" si="11"/>
        <v>NULL</v>
      </c>
      <c r="X151" s="630"/>
      <c r="Y151" s="630"/>
      <c r="Z151" s="654"/>
    </row>
    <row r="152" spans="1:26">
      <c r="A152" s="647"/>
      <c r="B152" s="649"/>
      <c r="C152" s="618"/>
      <c r="D152" s="618"/>
      <c r="E152" s="618"/>
      <c r="F152" s="618"/>
      <c r="G152" s="656"/>
      <c r="H152" s="656"/>
      <c r="I152" s="656"/>
      <c r="J152" s="656"/>
      <c r="K152" s="656"/>
      <c r="L152" s="656"/>
      <c r="M152" s="656"/>
      <c r="N152" s="656"/>
      <c r="O152" s="624">
        <f t="shared" si="8"/>
        <v>0</v>
      </c>
      <c r="P152" s="625">
        <f t="shared" si="9"/>
        <v>0</v>
      </c>
      <c r="Q152" s="626">
        <f t="shared" si="10"/>
        <v>0</v>
      </c>
      <c r="S152" s="650"/>
      <c r="T152" s="630"/>
      <c r="U152" s="630"/>
      <c r="V152" s="630"/>
      <c r="W152" s="629" t="str">
        <f t="shared" si="11"/>
        <v>NULL</v>
      </c>
      <c r="X152" s="630"/>
      <c r="Y152" s="630"/>
      <c r="Z152" s="654"/>
    </row>
    <row r="153" spans="1:26">
      <c r="A153" s="647"/>
      <c r="B153" s="649"/>
      <c r="C153" s="618"/>
      <c r="D153" s="618"/>
      <c r="E153" s="618"/>
      <c r="F153" s="618"/>
      <c r="G153" s="656"/>
      <c r="H153" s="656"/>
      <c r="I153" s="656"/>
      <c r="J153" s="656"/>
      <c r="K153" s="656"/>
      <c r="L153" s="656"/>
      <c r="M153" s="656"/>
      <c r="N153" s="656"/>
      <c r="O153" s="624">
        <f t="shared" si="8"/>
        <v>0</v>
      </c>
      <c r="P153" s="625">
        <f t="shared" si="9"/>
        <v>0</v>
      </c>
      <c r="Q153" s="626">
        <f t="shared" si="10"/>
        <v>0</v>
      </c>
      <c r="S153" s="650"/>
      <c r="T153" s="630"/>
      <c r="U153" s="630"/>
      <c r="V153" s="630"/>
      <c r="W153" s="629" t="str">
        <f t="shared" si="11"/>
        <v>NULL</v>
      </c>
      <c r="X153" s="630"/>
      <c r="Y153" s="630"/>
      <c r="Z153" s="654"/>
    </row>
    <row r="154" spans="1:26">
      <c r="A154" s="647"/>
      <c r="B154" s="649"/>
      <c r="C154" s="618"/>
      <c r="D154" s="618"/>
      <c r="E154" s="618"/>
      <c r="F154" s="618"/>
      <c r="G154" s="656"/>
      <c r="H154" s="656"/>
      <c r="I154" s="656"/>
      <c r="J154" s="656"/>
      <c r="K154" s="656"/>
      <c r="L154" s="656"/>
      <c r="M154" s="656"/>
      <c r="N154" s="656"/>
      <c r="O154" s="624">
        <f t="shared" si="8"/>
        <v>0</v>
      </c>
      <c r="P154" s="625">
        <f t="shared" si="9"/>
        <v>0</v>
      </c>
      <c r="Q154" s="626">
        <f t="shared" si="10"/>
        <v>0</v>
      </c>
      <c r="S154" s="650"/>
      <c r="T154" s="630"/>
      <c r="U154" s="630"/>
      <c r="V154" s="630"/>
      <c r="W154" s="629" t="str">
        <f t="shared" si="11"/>
        <v>NULL</v>
      </c>
      <c r="X154" s="630"/>
      <c r="Y154" s="630"/>
      <c r="Z154" s="654"/>
    </row>
    <row r="155" spans="1:26">
      <c r="A155" s="647"/>
      <c r="B155" s="649"/>
      <c r="C155" s="618"/>
      <c r="D155" s="618"/>
      <c r="E155" s="618"/>
      <c r="F155" s="618"/>
      <c r="G155" s="656"/>
      <c r="H155" s="656"/>
      <c r="I155" s="656"/>
      <c r="J155" s="656"/>
      <c r="K155" s="656"/>
      <c r="L155" s="656"/>
      <c r="M155" s="656"/>
      <c r="N155" s="656"/>
      <c r="O155" s="624">
        <f t="shared" si="8"/>
        <v>0</v>
      </c>
      <c r="P155" s="625">
        <f t="shared" si="9"/>
        <v>0</v>
      </c>
      <c r="Q155" s="626">
        <f t="shared" si="10"/>
        <v>0</v>
      </c>
      <c r="S155" s="650"/>
      <c r="T155" s="630"/>
      <c r="U155" s="630"/>
      <c r="V155" s="630"/>
      <c r="W155" s="629" t="str">
        <f t="shared" si="11"/>
        <v>NULL</v>
      </c>
      <c r="X155" s="630"/>
      <c r="Y155" s="630"/>
      <c r="Z155" s="654"/>
    </row>
    <row r="156" spans="1:26">
      <c r="A156" s="647"/>
      <c r="B156" s="649"/>
      <c r="C156" s="618"/>
      <c r="D156" s="618"/>
      <c r="E156" s="618"/>
      <c r="F156" s="618"/>
      <c r="G156" s="656"/>
      <c r="H156" s="656"/>
      <c r="I156" s="656"/>
      <c r="J156" s="656"/>
      <c r="K156" s="656"/>
      <c r="L156" s="656"/>
      <c r="M156" s="656"/>
      <c r="N156" s="656"/>
      <c r="O156" s="624">
        <f t="shared" si="8"/>
        <v>0</v>
      </c>
      <c r="P156" s="625">
        <f t="shared" si="9"/>
        <v>0</v>
      </c>
      <c r="Q156" s="626">
        <f t="shared" si="10"/>
        <v>0</v>
      </c>
      <c r="S156" s="650"/>
      <c r="T156" s="630"/>
      <c r="U156" s="630"/>
      <c r="V156" s="630"/>
      <c r="W156" s="629" t="str">
        <f t="shared" si="11"/>
        <v>NULL</v>
      </c>
      <c r="X156" s="630"/>
      <c r="Y156" s="630"/>
      <c r="Z156" s="654"/>
    </row>
    <row r="157" spans="1:26">
      <c r="A157" s="647"/>
      <c r="B157" s="649"/>
      <c r="C157" s="618"/>
      <c r="D157" s="618"/>
      <c r="E157" s="618"/>
      <c r="F157" s="618"/>
      <c r="G157" s="656"/>
      <c r="H157" s="656"/>
      <c r="I157" s="656"/>
      <c r="J157" s="656"/>
      <c r="K157" s="656"/>
      <c r="L157" s="656"/>
      <c r="M157" s="656"/>
      <c r="N157" s="656"/>
      <c r="O157" s="624">
        <f t="shared" si="8"/>
        <v>0</v>
      </c>
      <c r="P157" s="625">
        <f t="shared" si="9"/>
        <v>0</v>
      </c>
      <c r="Q157" s="626">
        <f t="shared" si="10"/>
        <v>0</v>
      </c>
      <c r="S157" s="650"/>
      <c r="T157" s="630"/>
      <c r="U157" s="630"/>
      <c r="V157" s="630"/>
      <c r="W157" s="629" t="str">
        <f t="shared" si="11"/>
        <v>NULL</v>
      </c>
      <c r="X157" s="630"/>
      <c r="Y157" s="630"/>
      <c r="Z157" s="654"/>
    </row>
    <row r="158" spans="1:26">
      <c r="A158" s="647"/>
      <c r="B158" s="649"/>
      <c r="C158" s="618"/>
      <c r="D158" s="618"/>
      <c r="E158" s="618"/>
      <c r="F158" s="618"/>
      <c r="G158" s="656"/>
      <c r="H158" s="656"/>
      <c r="I158" s="656"/>
      <c r="J158" s="656"/>
      <c r="K158" s="656"/>
      <c r="L158" s="656"/>
      <c r="M158" s="656"/>
      <c r="N158" s="656"/>
      <c r="O158" s="624">
        <f t="shared" si="8"/>
        <v>0</v>
      </c>
      <c r="P158" s="625">
        <f t="shared" si="9"/>
        <v>0</v>
      </c>
      <c r="Q158" s="626">
        <f t="shared" si="10"/>
        <v>0</v>
      </c>
      <c r="S158" s="650"/>
      <c r="T158" s="630"/>
      <c r="U158" s="630"/>
      <c r="V158" s="630"/>
      <c r="W158" s="629" t="str">
        <f t="shared" si="11"/>
        <v>NULL</v>
      </c>
      <c r="X158" s="630"/>
      <c r="Y158" s="630"/>
      <c r="Z158" s="654"/>
    </row>
    <row r="159" spans="1:26">
      <c r="A159" s="647"/>
      <c r="B159" s="649"/>
      <c r="C159" s="618"/>
      <c r="D159" s="618"/>
      <c r="E159" s="618"/>
      <c r="F159" s="618"/>
      <c r="G159" s="656"/>
      <c r="H159" s="656"/>
      <c r="I159" s="656"/>
      <c r="J159" s="656"/>
      <c r="K159" s="656"/>
      <c r="L159" s="656"/>
      <c r="M159" s="656"/>
      <c r="N159" s="656"/>
      <c r="O159" s="624">
        <f t="shared" si="8"/>
        <v>0</v>
      </c>
      <c r="P159" s="625">
        <f t="shared" si="9"/>
        <v>0</v>
      </c>
      <c r="Q159" s="626">
        <f t="shared" si="10"/>
        <v>0</v>
      </c>
      <c r="S159" s="650"/>
      <c r="T159" s="630"/>
      <c r="U159" s="630"/>
      <c r="V159" s="630"/>
      <c r="W159" s="629" t="str">
        <f t="shared" si="11"/>
        <v>NULL</v>
      </c>
      <c r="X159" s="630"/>
      <c r="Y159" s="630"/>
      <c r="Z159" s="654"/>
    </row>
    <row r="160" spans="1:26">
      <c r="A160" s="647"/>
      <c r="B160" s="649"/>
      <c r="C160" s="618"/>
      <c r="D160" s="618"/>
      <c r="E160" s="618"/>
      <c r="F160" s="618"/>
      <c r="G160" s="656"/>
      <c r="H160" s="656"/>
      <c r="I160" s="656"/>
      <c r="J160" s="656"/>
      <c r="K160" s="656"/>
      <c r="L160" s="656"/>
      <c r="M160" s="656"/>
      <c r="N160" s="656"/>
      <c r="O160" s="624">
        <f t="shared" si="8"/>
        <v>0</v>
      </c>
      <c r="P160" s="625">
        <f t="shared" si="9"/>
        <v>0</v>
      </c>
      <c r="Q160" s="626">
        <f t="shared" si="10"/>
        <v>0</v>
      </c>
      <c r="S160" s="650"/>
      <c r="T160" s="630"/>
      <c r="U160" s="630"/>
      <c r="V160" s="630"/>
      <c r="W160" s="629" t="str">
        <f t="shared" si="11"/>
        <v>NULL</v>
      </c>
      <c r="X160" s="630"/>
      <c r="Y160" s="630"/>
      <c r="Z160" s="654"/>
    </row>
    <row r="161" spans="1:26">
      <c r="A161" s="647"/>
      <c r="B161" s="649"/>
      <c r="C161" s="618"/>
      <c r="D161" s="618"/>
      <c r="E161" s="618"/>
      <c r="F161" s="618"/>
      <c r="G161" s="656"/>
      <c r="H161" s="656"/>
      <c r="I161" s="656"/>
      <c r="J161" s="656"/>
      <c r="K161" s="656"/>
      <c r="L161" s="656"/>
      <c r="M161" s="656"/>
      <c r="N161" s="656"/>
      <c r="O161" s="624">
        <f t="shared" si="8"/>
        <v>0</v>
      </c>
      <c r="P161" s="625">
        <f t="shared" si="9"/>
        <v>0</v>
      </c>
      <c r="Q161" s="626">
        <f t="shared" si="10"/>
        <v>0</v>
      </c>
      <c r="S161" s="650"/>
      <c r="T161" s="630"/>
      <c r="U161" s="630"/>
      <c r="V161" s="630"/>
      <c r="W161" s="629" t="str">
        <f t="shared" si="11"/>
        <v>NULL</v>
      </c>
      <c r="X161" s="630"/>
      <c r="Y161" s="630"/>
      <c r="Z161" s="654"/>
    </row>
    <row r="162" spans="1:26">
      <c r="A162" s="647"/>
      <c r="B162" s="649"/>
      <c r="C162" s="618"/>
      <c r="D162" s="618"/>
      <c r="E162" s="618"/>
      <c r="F162" s="618"/>
      <c r="G162" s="656"/>
      <c r="H162" s="656"/>
      <c r="I162" s="656"/>
      <c r="J162" s="656"/>
      <c r="K162" s="656"/>
      <c r="L162" s="656"/>
      <c r="M162" s="656"/>
      <c r="N162" s="656"/>
      <c r="O162" s="624">
        <f t="shared" si="8"/>
        <v>0</v>
      </c>
      <c r="P162" s="625">
        <f t="shared" si="9"/>
        <v>0</v>
      </c>
      <c r="Q162" s="626">
        <f t="shared" si="10"/>
        <v>0</v>
      </c>
      <c r="S162" s="650"/>
      <c r="T162" s="630"/>
      <c r="U162" s="630"/>
      <c r="V162" s="630"/>
      <c r="W162" s="629" t="str">
        <f t="shared" si="11"/>
        <v>NULL</v>
      </c>
      <c r="X162" s="630"/>
      <c r="Y162" s="630"/>
      <c r="Z162" s="654"/>
    </row>
    <row r="163" spans="1:26">
      <c r="A163" s="647"/>
      <c r="B163" s="649"/>
      <c r="C163" s="618"/>
      <c r="D163" s="618"/>
      <c r="E163" s="618"/>
      <c r="F163" s="618"/>
      <c r="G163" s="656"/>
      <c r="H163" s="656"/>
      <c r="I163" s="656"/>
      <c r="J163" s="656"/>
      <c r="K163" s="656"/>
      <c r="L163" s="656"/>
      <c r="M163" s="656"/>
      <c r="N163" s="656"/>
      <c r="O163" s="624">
        <f t="shared" si="8"/>
        <v>0</v>
      </c>
      <c r="P163" s="625">
        <f t="shared" si="9"/>
        <v>0</v>
      </c>
      <c r="Q163" s="626">
        <f t="shared" si="10"/>
        <v>0</v>
      </c>
      <c r="S163" s="650"/>
      <c r="T163" s="630"/>
      <c r="U163" s="630"/>
      <c r="V163" s="630"/>
      <c r="W163" s="629" t="str">
        <f t="shared" si="11"/>
        <v>NULL</v>
      </c>
      <c r="X163" s="630"/>
      <c r="Y163" s="630"/>
      <c r="Z163" s="654"/>
    </row>
    <row r="164" spans="1:26">
      <c r="A164" s="647"/>
      <c r="B164" s="649"/>
      <c r="C164" s="618"/>
      <c r="D164" s="618"/>
      <c r="E164" s="618"/>
      <c r="F164" s="618"/>
      <c r="G164" s="656"/>
      <c r="H164" s="656"/>
      <c r="I164" s="656"/>
      <c r="J164" s="656"/>
      <c r="K164" s="656"/>
      <c r="L164" s="656"/>
      <c r="M164" s="656"/>
      <c r="N164" s="656"/>
      <c r="O164" s="624">
        <f t="shared" si="8"/>
        <v>0</v>
      </c>
      <c r="P164" s="625">
        <f t="shared" si="9"/>
        <v>0</v>
      </c>
      <c r="Q164" s="626">
        <f t="shared" si="10"/>
        <v>0</v>
      </c>
      <c r="S164" s="650"/>
      <c r="T164" s="630"/>
      <c r="U164" s="630"/>
      <c r="V164" s="630"/>
      <c r="W164" s="629" t="str">
        <f t="shared" si="11"/>
        <v>NULL</v>
      </c>
      <c r="X164" s="630"/>
      <c r="Y164" s="630"/>
      <c r="Z164" s="654"/>
    </row>
    <row r="165" spans="1:26">
      <c r="A165" s="647"/>
      <c r="B165" s="649"/>
      <c r="C165" s="618"/>
      <c r="D165" s="618"/>
      <c r="E165" s="618"/>
      <c r="F165" s="618"/>
      <c r="G165" s="656"/>
      <c r="H165" s="656"/>
      <c r="I165" s="656"/>
      <c r="J165" s="656"/>
      <c r="K165" s="656"/>
      <c r="L165" s="656"/>
      <c r="M165" s="656"/>
      <c r="N165" s="656"/>
      <c r="O165" s="624">
        <f t="shared" si="8"/>
        <v>0</v>
      </c>
      <c r="P165" s="625">
        <f t="shared" si="9"/>
        <v>0</v>
      </c>
      <c r="Q165" s="626">
        <f t="shared" si="10"/>
        <v>0</v>
      </c>
      <c r="S165" s="650"/>
      <c r="T165" s="630"/>
      <c r="U165" s="630"/>
      <c r="V165" s="630"/>
      <c r="W165" s="629" t="str">
        <f t="shared" si="11"/>
        <v>NULL</v>
      </c>
      <c r="X165" s="630"/>
      <c r="Y165" s="630"/>
      <c r="Z165" s="654"/>
    </row>
    <row r="166" spans="1:26">
      <c r="A166" s="647"/>
      <c r="B166" s="649"/>
      <c r="C166" s="618"/>
      <c r="D166" s="618"/>
      <c r="E166" s="618"/>
      <c r="F166" s="618"/>
      <c r="G166" s="656"/>
      <c r="H166" s="656"/>
      <c r="I166" s="656"/>
      <c r="J166" s="656"/>
      <c r="K166" s="656"/>
      <c r="L166" s="656"/>
      <c r="M166" s="656"/>
      <c r="N166" s="656"/>
      <c r="O166" s="624">
        <f t="shared" si="8"/>
        <v>0</v>
      </c>
      <c r="P166" s="625">
        <f t="shared" si="9"/>
        <v>0</v>
      </c>
      <c r="Q166" s="626">
        <f t="shared" si="10"/>
        <v>0</v>
      </c>
      <c r="S166" s="650"/>
      <c r="T166" s="630"/>
      <c r="U166" s="630"/>
      <c r="V166" s="630"/>
      <c r="W166" s="629" t="str">
        <f t="shared" si="11"/>
        <v>NULL</v>
      </c>
      <c r="X166" s="630"/>
      <c r="Y166" s="630"/>
      <c r="Z166" s="654"/>
    </row>
    <row r="167" spans="1:26">
      <c r="A167" s="647"/>
      <c r="B167" s="649"/>
      <c r="C167" s="618"/>
      <c r="D167" s="618"/>
      <c r="E167" s="618"/>
      <c r="F167" s="618"/>
      <c r="G167" s="656"/>
      <c r="H167" s="656"/>
      <c r="I167" s="656"/>
      <c r="J167" s="656"/>
      <c r="K167" s="656"/>
      <c r="L167" s="656"/>
      <c r="M167" s="656"/>
      <c r="N167" s="656"/>
      <c r="O167" s="624">
        <f t="shared" si="8"/>
        <v>0</v>
      </c>
      <c r="P167" s="625">
        <f t="shared" si="9"/>
        <v>0</v>
      </c>
      <c r="Q167" s="626">
        <f t="shared" si="10"/>
        <v>0</v>
      </c>
      <c r="S167" s="650"/>
      <c r="T167" s="630"/>
      <c r="U167" s="630"/>
      <c r="V167" s="630"/>
      <c r="W167" s="629" t="str">
        <f t="shared" si="11"/>
        <v>NULL</v>
      </c>
      <c r="X167" s="630"/>
      <c r="Y167" s="630"/>
      <c r="Z167" s="654"/>
    </row>
    <row r="168" spans="1:26">
      <c r="A168" s="647"/>
      <c r="B168" s="649"/>
      <c r="C168" s="618"/>
      <c r="D168" s="618"/>
      <c r="E168" s="618"/>
      <c r="F168" s="618"/>
      <c r="G168" s="656"/>
      <c r="H168" s="656"/>
      <c r="I168" s="656"/>
      <c r="J168" s="656"/>
      <c r="K168" s="656"/>
      <c r="L168" s="656"/>
      <c r="M168" s="656"/>
      <c r="N168" s="656"/>
      <c r="O168" s="624">
        <f t="shared" si="8"/>
        <v>0</v>
      </c>
      <c r="P168" s="625">
        <f t="shared" si="9"/>
        <v>0</v>
      </c>
      <c r="Q168" s="626">
        <f t="shared" si="10"/>
        <v>0</v>
      </c>
      <c r="S168" s="650"/>
      <c r="T168" s="630"/>
      <c r="U168" s="630"/>
      <c r="V168" s="630"/>
      <c r="W168" s="629" t="str">
        <f t="shared" si="11"/>
        <v>NULL</v>
      </c>
      <c r="X168" s="630"/>
      <c r="Y168" s="630"/>
      <c r="Z168" s="654"/>
    </row>
    <row r="169" spans="1:26">
      <c r="A169" s="647"/>
      <c r="B169" s="649"/>
      <c r="C169" s="618"/>
      <c r="D169" s="618"/>
      <c r="E169" s="618"/>
      <c r="F169" s="618"/>
      <c r="G169" s="656"/>
      <c r="H169" s="656"/>
      <c r="I169" s="656"/>
      <c r="J169" s="656"/>
      <c r="K169" s="656"/>
      <c r="L169" s="656"/>
      <c r="M169" s="656"/>
      <c r="N169" s="656"/>
      <c r="O169" s="624">
        <f t="shared" si="8"/>
        <v>0</v>
      </c>
      <c r="P169" s="625">
        <f t="shared" si="9"/>
        <v>0</v>
      </c>
      <c r="Q169" s="626">
        <f t="shared" si="10"/>
        <v>0</v>
      </c>
      <c r="S169" s="650"/>
      <c r="T169" s="630"/>
      <c r="U169" s="630"/>
      <c r="V169" s="630"/>
      <c r="W169" s="629" t="str">
        <f t="shared" si="11"/>
        <v>NULL</v>
      </c>
      <c r="X169" s="630"/>
      <c r="Y169" s="630"/>
      <c r="Z169" s="654"/>
    </row>
    <row r="170" spans="1:26">
      <c r="A170" s="647"/>
      <c r="B170" s="649"/>
      <c r="C170" s="618"/>
      <c r="D170" s="618"/>
      <c r="E170" s="618"/>
      <c r="F170" s="618"/>
      <c r="G170" s="656"/>
      <c r="H170" s="656"/>
      <c r="I170" s="656"/>
      <c r="J170" s="656"/>
      <c r="K170" s="656"/>
      <c r="L170" s="656"/>
      <c r="M170" s="656"/>
      <c r="N170" s="656"/>
      <c r="O170" s="624">
        <f t="shared" si="8"/>
        <v>0</v>
      </c>
      <c r="P170" s="625">
        <f t="shared" si="9"/>
        <v>0</v>
      </c>
      <c r="Q170" s="626">
        <f t="shared" si="10"/>
        <v>0</v>
      </c>
      <c r="S170" s="650"/>
      <c r="T170" s="630"/>
      <c r="U170" s="630"/>
      <c r="V170" s="630"/>
      <c r="W170" s="629" t="str">
        <f t="shared" si="11"/>
        <v>NULL</v>
      </c>
      <c r="X170" s="630"/>
      <c r="Y170" s="630"/>
      <c r="Z170" s="654"/>
    </row>
    <row r="171" spans="1:26">
      <c r="A171" s="647"/>
      <c r="B171" s="649"/>
      <c r="C171" s="618"/>
      <c r="D171" s="618"/>
      <c r="E171" s="618"/>
      <c r="F171" s="618"/>
      <c r="G171" s="656"/>
      <c r="H171" s="656"/>
      <c r="I171" s="656"/>
      <c r="J171" s="656"/>
      <c r="K171" s="656"/>
      <c r="L171" s="656"/>
      <c r="M171" s="656"/>
      <c r="N171" s="656"/>
      <c r="O171" s="624">
        <f t="shared" si="8"/>
        <v>0</v>
      </c>
      <c r="P171" s="625">
        <f t="shared" si="9"/>
        <v>0</v>
      </c>
      <c r="Q171" s="626">
        <f t="shared" si="10"/>
        <v>0</v>
      </c>
      <c r="S171" s="650"/>
      <c r="T171" s="630"/>
      <c r="U171" s="630"/>
      <c r="V171" s="630"/>
      <c r="W171" s="629" t="str">
        <f t="shared" si="11"/>
        <v>NULL</v>
      </c>
      <c r="X171" s="630"/>
      <c r="Y171" s="630"/>
      <c r="Z171" s="654"/>
    </row>
    <row r="172" spans="1:26">
      <c r="A172" s="647"/>
      <c r="B172" s="649"/>
      <c r="C172" s="618"/>
      <c r="D172" s="618"/>
      <c r="E172" s="618"/>
      <c r="F172" s="618"/>
      <c r="G172" s="656"/>
      <c r="H172" s="656"/>
      <c r="I172" s="656"/>
      <c r="J172" s="656"/>
      <c r="K172" s="656"/>
      <c r="L172" s="656"/>
      <c r="M172" s="656"/>
      <c r="N172" s="656"/>
      <c r="O172" s="624">
        <f t="shared" si="8"/>
        <v>0</v>
      </c>
      <c r="P172" s="625">
        <f t="shared" si="9"/>
        <v>0</v>
      </c>
      <c r="Q172" s="626">
        <f t="shared" si="10"/>
        <v>0</v>
      </c>
      <c r="S172" s="650"/>
      <c r="T172" s="630"/>
      <c r="U172" s="630"/>
      <c r="V172" s="630"/>
      <c r="W172" s="629" t="str">
        <f t="shared" si="11"/>
        <v>NULL</v>
      </c>
      <c r="X172" s="630"/>
      <c r="Y172" s="630"/>
      <c r="Z172" s="654"/>
    </row>
    <row r="173" spans="1:26">
      <c r="A173" s="647"/>
      <c r="B173" s="649"/>
      <c r="C173" s="618"/>
      <c r="D173" s="618"/>
      <c r="E173" s="618"/>
      <c r="F173" s="618"/>
      <c r="G173" s="656"/>
      <c r="H173" s="656"/>
      <c r="I173" s="656"/>
      <c r="J173" s="656"/>
      <c r="K173" s="656"/>
      <c r="L173" s="656"/>
      <c r="M173" s="656"/>
      <c r="N173" s="656"/>
      <c r="O173" s="624">
        <f t="shared" si="8"/>
        <v>0</v>
      </c>
      <c r="P173" s="625">
        <f t="shared" si="9"/>
        <v>0</v>
      </c>
      <c r="Q173" s="626">
        <f t="shared" si="10"/>
        <v>0</v>
      </c>
      <c r="S173" s="650"/>
      <c r="T173" s="630"/>
      <c r="U173" s="630"/>
      <c r="V173" s="630"/>
      <c r="W173" s="629" t="str">
        <f t="shared" si="11"/>
        <v>NULL</v>
      </c>
      <c r="X173" s="630"/>
      <c r="Y173" s="630"/>
      <c r="Z173" s="654"/>
    </row>
    <row r="174" spans="1:26">
      <c r="A174" s="647"/>
      <c r="B174" s="649"/>
      <c r="C174" s="618"/>
      <c r="D174" s="618"/>
      <c r="E174" s="618"/>
      <c r="F174" s="618"/>
      <c r="G174" s="656"/>
      <c r="H174" s="656"/>
      <c r="I174" s="656"/>
      <c r="J174" s="656"/>
      <c r="K174" s="656"/>
      <c r="L174" s="656"/>
      <c r="M174" s="656"/>
      <c r="N174" s="656"/>
      <c r="O174" s="624">
        <f t="shared" si="8"/>
        <v>0</v>
      </c>
      <c r="P174" s="625">
        <f t="shared" si="9"/>
        <v>0</v>
      </c>
      <c r="Q174" s="626">
        <f t="shared" si="10"/>
        <v>0</v>
      </c>
      <c r="S174" s="650"/>
      <c r="T174" s="630"/>
      <c r="U174" s="630"/>
      <c r="V174" s="630"/>
      <c r="W174" s="629" t="str">
        <f t="shared" si="11"/>
        <v>NULL</v>
      </c>
      <c r="X174" s="630"/>
      <c r="Y174" s="630"/>
      <c r="Z174" s="654"/>
    </row>
    <row r="175" spans="1:26">
      <c r="A175" s="647"/>
      <c r="B175" s="649"/>
      <c r="C175" s="618"/>
      <c r="D175" s="618"/>
      <c r="E175" s="618"/>
      <c r="F175" s="618"/>
      <c r="G175" s="656"/>
      <c r="H175" s="656"/>
      <c r="I175" s="656"/>
      <c r="J175" s="656"/>
      <c r="K175" s="656"/>
      <c r="L175" s="656"/>
      <c r="M175" s="656"/>
      <c r="N175" s="656"/>
      <c r="O175" s="624">
        <f t="shared" si="8"/>
        <v>0</v>
      </c>
      <c r="P175" s="625">
        <f t="shared" si="9"/>
        <v>0</v>
      </c>
      <c r="Q175" s="626">
        <f t="shared" si="10"/>
        <v>0</v>
      </c>
      <c r="S175" s="650"/>
      <c r="T175" s="630"/>
      <c r="U175" s="630"/>
      <c r="V175" s="630"/>
      <c r="W175" s="629" t="str">
        <f t="shared" si="11"/>
        <v>NULL</v>
      </c>
      <c r="X175" s="630"/>
      <c r="Y175" s="630"/>
      <c r="Z175" s="654"/>
    </row>
    <row r="176" spans="1:26">
      <c r="A176" s="647"/>
      <c r="B176" s="649"/>
      <c r="C176" s="618"/>
      <c r="D176" s="618"/>
      <c r="E176" s="618"/>
      <c r="F176" s="618"/>
      <c r="G176" s="656"/>
      <c r="H176" s="656"/>
      <c r="I176" s="656"/>
      <c r="J176" s="656"/>
      <c r="K176" s="656"/>
      <c r="L176" s="656"/>
      <c r="M176" s="656"/>
      <c r="N176" s="656"/>
      <c r="O176" s="624">
        <f t="shared" si="8"/>
        <v>0</v>
      </c>
      <c r="P176" s="625">
        <f t="shared" si="9"/>
        <v>0</v>
      </c>
      <c r="Q176" s="626">
        <f t="shared" si="10"/>
        <v>0</v>
      </c>
      <c r="S176" s="650"/>
      <c r="T176" s="630"/>
      <c r="U176" s="630"/>
      <c r="V176" s="630"/>
      <c r="W176" s="629" t="str">
        <f t="shared" si="11"/>
        <v>NULL</v>
      </c>
      <c r="X176" s="630"/>
      <c r="Y176" s="630"/>
      <c r="Z176" s="654"/>
    </row>
    <row r="177" spans="1:26">
      <c r="A177" s="647"/>
      <c r="B177" s="649"/>
      <c r="C177" s="618"/>
      <c r="D177" s="618"/>
      <c r="E177" s="618"/>
      <c r="F177" s="618"/>
      <c r="G177" s="656"/>
      <c r="H177" s="656"/>
      <c r="I177" s="656"/>
      <c r="J177" s="656"/>
      <c r="K177" s="656"/>
      <c r="L177" s="656"/>
      <c r="M177" s="656"/>
      <c r="N177" s="656"/>
      <c r="O177" s="624">
        <f t="shared" si="8"/>
        <v>0</v>
      </c>
      <c r="P177" s="625">
        <f t="shared" si="9"/>
        <v>0</v>
      </c>
      <c r="Q177" s="626">
        <f t="shared" si="10"/>
        <v>0</v>
      </c>
      <c r="S177" s="650"/>
      <c r="T177" s="630"/>
      <c r="U177" s="630"/>
      <c r="V177" s="630"/>
      <c r="W177" s="629" t="str">
        <f t="shared" si="11"/>
        <v>NULL</v>
      </c>
      <c r="X177" s="630"/>
      <c r="Y177" s="630"/>
      <c r="Z177" s="654"/>
    </row>
    <row r="178" spans="1:26">
      <c r="A178" s="647"/>
      <c r="B178" s="649"/>
      <c r="C178" s="618"/>
      <c r="D178" s="618"/>
      <c r="E178" s="618"/>
      <c r="F178" s="618"/>
      <c r="G178" s="656"/>
      <c r="H178" s="656"/>
      <c r="I178" s="656"/>
      <c r="J178" s="656"/>
      <c r="K178" s="656"/>
      <c r="L178" s="656"/>
      <c r="M178" s="656"/>
      <c r="N178" s="656"/>
      <c r="O178" s="624">
        <f t="shared" si="8"/>
        <v>0</v>
      </c>
      <c r="P178" s="625">
        <f t="shared" si="9"/>
        <v>0</v>
      </c>
      <c r="Q178" s="626">
        <f t="shared" si="10"/>
        <v>0</v>
      </c>
      <c r="S178" s="650"/>
      <c r="T178" s="630"/>
      <c r="U178" s="630"/>
      <c r="V178" s="630"/>
      <c r="W178" s="629" t="str">
        <f t="shared" si="11"/>
        <v>NULL</v>
      </c>
      <c r="X178" s="630"/>
      <c r="Y178" s="630"/>
      <c r="Z178" s="654"/>
    </row>
    <row r="179" spans="1:26">
      <c r="A179" s="647"/>
      <c r="B179" s="649"/>
      <c r="C179" s="618"/>
      <c r="D179" s="618"/>
      <c r="E179" s="618"/>
      <c r="F179" s="618"/>
      <c r="G179" s="656"/>
      <c r="H179" s="656"/>
      <c r="I179" s="656"/>
      <c r="J179" s="656"/>
      <c r="K179" s="656"/>
      <c r="L179" s="656"/>
      <c r="M179" s="656"/>
      <c r="N179" s="656"/>
      <c r="O179" s="624">
        <f t="shared" si="8"/>
        <v>0</v>
      </c>
      <c r="P179" s="625">
        <f t="shared" si="9"/>
        <v>0</v>
      </c>
      <c r="Q179" s="626">
        <f t="shared" si="10"/>
        <v>0</v>
      </c>
      <c r="S179" s="650"/>
      <c r="T179" s="630"/>
      <c r="U179" s="630"/>
      <c r="V179" s="630"/>
      <c r="W179" s="629" t="str">
        <f t="shared" si="11"/>
        <v>NULL</v>
      </c>
      <c r="X179" s="630"/>
      <c r="Y179" s="630"/>
      <c r="Z179" s="654"/>
    </row>
    <row r="180" spans="1:26">
      <c r="A180" s="647"/>
      <c r="B180" s="649"/>
      <c r="C180" s="618"/>
      <c r="D180" s="618"/>
      <c r="E180" s="618"/>
      <c r="F180" s="618"/>
      <c r="G180" s="656"/>
      <c r="H180" s="656"/>
      <c r="I180" s="656"/>
      <c r="J180" s="656"/>
      <c r="K180" s="656"/>
      <c r="L180" s="656"/>
      <c r="M180" s="656"/>
      <c r="N180" s="656"/>
      <c r="O180" s="624">
        <f t="shared" si="8"/>
        <v>0</v>
      </c>
      <c r="P180" s="625">
        <f t="shared" si="9"/>
        <v>0</v>
      </c>
      <c r="Q180" s="626">
        <f t="shared" si="10"/>
        <v>0</v>
      </c>
      <c r="S180" s="650"/>
      <c r="T180" s="630"/>
      <c r="U180" s="630"/>
      <c r="V180" s="630"/>
      <c r="W180" s="629" t="str">
        <f t="shared" si="11"/>
        <v>NULL</v>
      </c>
      <c r="X180" s="630"/>
      <c r="Y180" s="630"/>
      <c r="Z180" s="654"/>
    </row>
    <row r="181" spans="1:26">
      <c r="A181" s="647"/>
      <c r="B181" s="649"/>
      <c r="C181" s="618"/>
      <c r="D181" s="618"/>
      <c r="E181" s="618"/>
      <c r="F181" s="618"/>
      <c r="G181" s="656"/>
      <c r="H181" s="656"/>
      <c r="I181" s="656"/>
      <c r="J181" s="656"/>
      <c r="K181" s="656"/>
      <c r="L181" s="656"/>
      <c r="M181" s="656"/>
      <c r="N181" s="656"/>
      <c r="O181" s="624">
        <f t="shared" si="8"/>
        <v>0</v>
      </c>
      <c r="P181" s="625">
        <f t="shared" si="9"/>
        <v>0</v>
      </c>
      <c r="Q181" s="626">
        <f t="shared" si="10"/>
        <v>0</v>
      </c>
      <c r="S181" s="650"/>
      <c r="T181" s="630"/>
      <c r="U181" s="630"/>
      <c r="V181" s="630"/>
      <c r="W181" s="629" t="str">
        <f t="shared" si="11"/>
        <v>NULL</v>
      </c>
      <c r="X181" s="630"/>
      <c r="Y181" s="630"/>
      <c r="Z181" s="654"/>
    </row>
    <row r="182" spans="1:26">
      <c r="A182" s="647"/>
      <c r="B182" s="649"/>
      <c r="C182" s="618"/>
      <c r="D182" s="618"/>
      <c r="E182" s="618"/>
      <c r="F182" s="618"/>
      <c r="G182" s="656"/>
      <c r="H182" s="656"/>
      <c r="I182" s="656"/>
      <c r="J182" s="656"/>
      <c r="K182" s="656"/>
      <c r="L182" s="656"/>
      <c r="M182" s="656"/>
      <c r="N182" s="656"/>
      <c r="O182" s="624">
        <f t="shared" si="8"/>
        <v>0</v>
      </c>
      <c r="P182" s="625">
        <f t="shared" si="9"/>
        <v>0</v>
      </c>
      <c r="Q182" s="626">
        <f t="shared" si="10"/>
        <v>0</v>
      </c>
      <c r="S182" s="650"/>
      <c r="T182" s="630"/>
      <c r="U182" s="630"/>
      <c r="V182" s="630"/>
      <c r="W182" s="629" t="str">
        <f t="shared" si="11"/>
        <v>NULL</v>
      </c>
      <c r="X182" s="630"/>
      <c r="Y182" s="630"/>
      <c r="Z182" s="654"/>
    </row>
    <row r="183" spans="1:26">
      <c r="A183" s="647"/>
      <c r="B183" s="649"/>
      <c r="C183" s="618"/>
      <c r="D183" s="618"/>
      <c r="E183" s="618"/>
      <c r="F183" s="618"/>
      <c r="G183" s="656"/>
      <c r="H183" s="656"/>
      <c r="I183" s="656"/>
      <c r="J183" s="656"/>
      <c r="K183" s="656"/>
      <c r="L183" s="656"/>
      <c r="M183" s="656"/>
      <c r="N183" s="656"/>
      <c r="O183" s="624">
        <f t="shared" si="8"/>
        <v>0</v>
      </c>
      <c r="P183" s="625">
        <f t="shared" si="9"/>
        <v>0</v>
      </c>
      <c r="Q183" s="626">
        <f t="shared" si="10"/>
        <v>0</v>
      </c>
      <c r="S183" s="650"/>
      <c r="T183" s="630"/>
      <c r="U183" s="630"/>
      <c r="V183" s="630"/>
      <c r="W183" s="629" t="str">
        <f t="shared" si="11"/>
        <v>NULL</v>
      </c>
      <c r="X183" s="630"/>
      <c r="Y183" s="630"/>
      <c r="Z183" s="654"/>
    </row>
    <row r="184" spans="1:26">
      <c r="A184" s="647"/>
      <c r="B184" s="649"/>
      <c r="C184" s="618"/>
      <c r="D184" s="618"/>
      <c r="E184" s="618"/>
      <c r="F184" s="618"/>
      <c r="G184" s="656"/>
      <c r="H184" s="656"/>
      <c r="I184" s="656"/>
      <c r="J184" s="656"/>
      <c r="K184" s="656"/>
      <c r="L184" s="656"/>
      <c r="M184" s="656"/>
      <c r="N184" s="656"/>
      <c r="O184" s="624">
        <f t="shared" si="8"/>
        <v>0</v>
      </c>
      <c r="P184" s="625">
        <f t="shared" si="9"/>
        <v>0</v>
      </c>
      <c r="Q184" s="626">
        <f t="shared" si="10"/>
        <v>0</v>
      </c>
      <c r="S184" s="650"/>
      <c r="T184" s="630"/>
      <c r="U184" s="630"/>
      <c r="V184" s="630"/>
      <c r="W184" s="629" t="str">
        <f t="shared" si="11"/>
        <v>NULL</v>
      </c>
      <c r="X184" s="630"/>
      <c r="Y184" s="630"/>
      <c r="Z184" s="654"/>
    </row>
    <row r="185" spans="1:26">
      <c r="A185" s="647"/>
      <c r="B185" s="649"/>
      <c r="C185" s="618"/>
      <c r="D185" s="618"/>
      <c r="E185" s="618"/>
      <c r="F185" s="618"/>
      <c r="G185" s="656"/>
      <c r="H185" s="656"/>
      <c r="I185" s="656"/>
      <c r="J185" s="656"/>
      <c r="K185" s="656"/>
      <c r="L185" s="656"/>
      <c r="M185" s="656"/>
      <c r="N185" s="656"/>
      <c r="O185" s="624">
        <f t="shared" si="8"/>
        <v>0</v>
      </c>
      <c r="P185" s="625">
        <f t="shared" si="9"/>
        <v>0</v>
      </c>
      <c r="Q185" s="626">
        <f t="shared" si="10"/>
        <v>0</v>
      </c>
      <c r="S185" s="650"/>
      <c r="T185" s="630"/>
      <c r="U185" s="630"/>
      <c r="V185" s="630"/>
      <c r="W185" s="629" t="str">
        <f t="shared" si="11"/>
        <v>NULL</v>
      </c>
      <c r="X185" s="630"/>
      <c r="Y185" s="630"/>
      <c r="Z185" s="654"/>
    </row>
    <row r="186" spans="1:26">
      <c r="A186" s="647"/>
      <c r="B186" s="649"/>
      <c r="C186" s="618"/>
      <c r="D186" s="618"/>
      <c r="E186" s="618"/>
      <c r="F186" s="618"/>
      <c r="G186" s="656"/>
      <c r="H186" s="656"/>
      <c r="I186" s="656"/>
      <c r="J186" s="656"/>
      <c r="K186" s="656"/>
      <c r="L186" s="656"/>
      <c r="M186" s="656"/>
      <c r="N186" s="656"/>
      <c r="O186" s="624">
        <f t="shared" si="8"/>
        <v>0</v>
      </c>
      <c r="P186" s="625">
        <f t="shared" si="9"/>
        <v>0</v>
      </c>
      <c r="Q186" s="626">
        <f t="shared" si="10"/>
        <v>0</v>
      </c>
      <c r="S186" s="650"/>
      <c r="T186" s="630"/>
      <c r="U186" s="630"/>
      <c r="V186" s="630"/>
      <c r="W186" s="629" t="str">
        <f t="shared" si="11"/>
        <v>NULL</v>
      </c>
      <c r="X186" s="630"/>
      <c r="Y186" s="630"/>
      <c r="Z186" s="654"/>
    </row>
    <row r="187" spans="1:26">
      <c r="A187" s="647"/>
      <c r="B187" s="649"/>
      <c r="C187" s="618"/>
      <c r="D187" s="618"/>
      <c r="E187" s="618"/>
      <c r="F187" s="618"/>
      <c r="G187" s="656"/>
      <c r="H187" s="656"/>
      <c r="I187" s="656"/>
      <c r="J187" s="656"/>
      <c r="K187" s="656"/>
      <c r="L187" s="656"/>
      <c r="M187" s="656"/>
      <c r="N187" s="656"/>
      <c r="O187" s="624">
        <f t="shared" si="8"/>
        <v>0</v>
      </c>
      <c r="P187" s="625">
        <f t="shared" si="9"/>
        <v>0</v>
      </c>
      <c r="Q187" s="626">
        <f t="shared" si="10"/>
        <v>0</v>
      </c>
      <c r="S187" s="650"/>
      <c r="T187" s="630"/>
      <c r="U187" s="630"/>
      <c r="V187" s="630"/>
      <c r="W187" s="629" t="str">
        <f t="shared" si="11"/>
        <v>NULL</v>
      </c>
      <c r="X187" s="630"/>
      <c r="Y187" s="630"/>
      <c r="Z187" s="654"/>
    </row>
    <row r="188" spans="1:26">
      <c r="A188" s="647"/>
      <c r="B188" s="649"/>
      <c r="C188" s="618"/>
      <c r="D188" s="618"/>
      <c r="E188" s="618"/>
      <c r="F188" s="618"/>
      <c r="G188" s="656"/>
      <c r="H188" s="656"/>
      <c r="I188" s="656"/>
      <c r="J188" s="656"/>
      <c r="K188" s="656"/>
      <c r="L188" s="656"/>
      <c r="M188" s="656"/>
      <c r="N188" s="656"/>
      <c r="O188" s="624">
        <f t="shared" si="8"/>
        <v>0</v>
      </c>
      <c r="P188" s="625">
        <f t="shared" si="9"/>
        <v>0</v>
      </c>
      <c r="Q188" s="626">
        <f t="shared" si="10"/>
        <v>0</v>
      </c>
      <c r="S188" s="650"/>
      <c r="T188" s="630"/>
      <c r="U188" s="630"/>
      <c r="V188" s="630"/>
      <c r="W188" s="629" t="str">
        <f t="shared" si="11"/>
        <v>NULL</v>
      </c>
      <c r="X188" s="630"/>
      <c r="Y188" s="630"/>
      <c r="Z188" s="654"/>
    </row>
    <row r="189" spans="1:26">
      <c r="A189" s="647"/>
      <c r="B189" s="649"/>
      <c r="C189" s="618"/>
      <c r="D189" s="618"/>
      <c r="E189" s="618"/>
      <c r="F189" s="618"/>
      <c r="G189" s="656"/>
      <c r="H189" s="656"/>
      <c r="I189" s="656"/>
      <c r="J189" s="656"/>
      <c r="K189" s="656"/>
      <c r="L189" s="656"/>
      <c r="M189" s="656"/>
      <c r="N189" s="656"/>
      <c r="O189" s="624">
        <f t="shared" si="8"/>
        <v>0</v>
      </c>
      <c r="P189" s="625">
        <f t="shared" si="9"/>
        <v>0</v>
      </c>
      <c r="Q189" s="626">
        <f t="shared" si="10"/>
        <v>0</v>
      </c>
      <c r="S189" s="650"/>
      <c r="T189" s="630"/>
      <c r="U189" s="630"/>
      <c r="V189" s="630"/>
      <c r="W189" s="629" t="str">
        <f t="shared" si="11"/>
        <v>NULL</v>
      </c>
      <c r="X189" s="630"/>
      <c r="Y189" s="630"/>
      <c r="Z189" s="654"/>
    </row>
    <row r="190" spans="1:26">
      <c r="A190" s="647"/>
      <c r="B190" s="649"/>
      <c r="C190" s="618"/>
      <c r="D190" s="618"/>
      <c r="E190" s="618"/>
      <c r="F190" s="618"/>
      <c r="G190" s="656"/>
      <c r="H190" s="656"/>
      <c r="I190" s="656"/>
      <c r="J190" s="656"/>
      <c r="K190" s="656"/>
      <c r="L190" s="656"/>
      <c r="M190" s="656"/>
      <c r="N190" s="656"/>
      <c r="O190" s="624">
        <f t="shared" si="8"/>
        <v>0</v>
      </c>
      <c r="P190" s="625">
        <f t="shared" si="9"/>
        <v>0</v>
      </c>
      <c r="Q190" s="626">
        <f t="shared" si="10"/>
        <v>0</v>
      </c>
      <c r="S190" s="650"/>
      <c r="T190" s="630"/>
      <c r="U190" s="630"/>
      <c r="V190" s="630"/>
      <c r="W190" s="629" t="str">
        <f t="shared" si="11"/>
        <v>NULL</v>
      </c>
      <c r="X190" s="630"/>
      <c r="Y190" s="630"/>
      <c r="Z190" s="654"/>
    </row>
    <row r="191" spans="1:26">
      <c r="A191" s="647"/>
      <c r="B191" s="649"/>
      <c r="C191" s="618"/>
      <c r="D191" s="618"/>
      <c r="E191" s="618"/>
      <c r="F191" s="618"/>
      <c r="G191" s="656"/>
      <c r="H191" s="656"/>
      <c r="I191" s="656"/>
      <c r="J191" s="656"/>
      <c r="K191" s="656"/>
      <c r="L191" s="656"/>
      <c r="M191" s="656"/>
      <c r="N191" s="656"/>
      <c r="O191" s="624">
        <f t="shared" si="8"/>
        <v>0</v>
      </c>
      <c r="P191" s="625">
        <f t="shared" si="9"/>
        <v>0</v>
      </c>
      <c r="Q191" s="626">
        <f t="shared" si="10"/>
        <v>0</v>
      </c>
      <c r="S191" s="650"/>
      <c r="T191" s="630"/>
      <c r="U191" s="630"/>
      <c r="V191" s="630"/>
      <c r="W191" s="629" t="str">
        <f t="shared" si="11"/>
        <v>NULL</v>
      </c>
      <c r="X191" s="630"/>
      <c r="Y191" s="630"/>
      <c r="Z191" s="654"/>
    </row>
    <row r="192" spans="1:26">
      <c r="A192" s="647"/>
      <c r="B192" s="649"/>
      <c r="C192" s="618"/>
      <c r="D192" s="618"/>
      <c r="E192" s="618"/>
      <c r="F192" s="618"/>
      <c r="G192" s="656"/>
      <c r="H192" s="656"/>
      <c r="I192" s="656"/>
      <c r="J192" s="656"/>
      <c r="K192" s="656"/>
      <c r="L192" s="656"/>
      <c r="M192" s="656"/>
      <c r="N192" s="656"/>
      <c r="O192" s="624">
        <f t="shared" si="8"/>
        <v>0</v>
      </c>
      <c r="P192" s="625">
        <f t="shared" si="9"/>
        <v>0</v>
      </c>
      <c r="Q192" s="626">
        <f t="shared" si="10"/>
        <v>0</v>
      </c>
      <c r="S192" s="650"/>
      <c r="T192" s="630"/>
      <c r="U192" s="630"/>
      <c r="V192" s="630"/>
      <c r="W192" s="629" t="str">
        <f t="shared" si="11"/>
        <v>NULL</v>
      </c>
      <c r="X192" s="630"/>
      <c r="Y192" s="630"/>
      <c r="Z192" s="654"/>
    </row>
    <row r="193" spans="1:26">
      <c r="A193" s="647"/>
      <c r="B193" s="649"/>
      <c r="C193" s="618"/>
      <c r="D193" s="618"/>
      <c r="E193" s="618"/>
      <c r="F193" s="618"/>
      <c r="G193" s="656"/>
      <c r="H193" s="656"/>
      <c r="I193" s="656"/>
      <c r="J193" s="656"/>
      <c r="K193" s="656"/>
      <c r="L193" s="656"/>
      <c r="M193" s="656"/>
      <c r="N193" s="656"/>
      <c r="O193" s="624">
        <f t="shared" si="8"/>
        <v>0</v>
      </c>
      <c r="P193" s="625">
        <f t="shared" si="9"/>
        <v>0</v>
      </c>
      <c r="Q193" s="626">
        <f t="shared" si="10"/>
        <v>0</v>
      </c>
      <c r="S193" s="650"/>
      <c r="T193" s="630"/>
      <c r="U193" s="630"/>
      <c r="V193" s="630"/>
      <c r="W193" s="629" t="str">
        <f t="shared" si="11"/>
        <v>NULL</v>
      </c>
      <c r="X193" s="630"/>
      <c r="Y193" s="630"/>
      <c r="Z193" s="654"/>
    </row>
    <row r="194" spans="1:26">
      <c r="A194" s="647"/>
      <c r="B194" s="649"/>
      <c r="C194" s="618"/>
      <c r="D194" s="618"/>
      <c r="E194" s="618"/>
      <c r="F194" s="618"/>
      <c r="G194" s="656"/>
      <c r="H194" s="656"/>
      <c r="I194" s="656"/>
      <c r="J194" s="656"/>
      <c r="K194" s="656"/>
      <c r="L194" s="656"/>
      <c r="M194" s="656"/>
      <c r="N194" s="656"/>
      <c r="O194" s="624">
        <f t="shared" si="8"/>
        <v>0</v>
      </c>
      <c r="P194" s="625">
        <f t="shared" si="9"/>
        <v>0</v>
      </c>
      <c r="Q194" s="626">
        <f t="shared" si="10"/>
        <v>0</v>
      </c>
      <c r="S194" s="650"/>
      <c r="T194" s="630"/>
      <c r="U194" s="630"/>
      <c r="V194" s="630"/>
      <c r="W194" s="629" t="str">
        <f t="shared" si="11"/>
        <v>NULL</v>
      </c>
      <c r="X194" s="630"/>
      <c r="Y194" s="630"/>
      <c r="Z194" s="654"/>
    </row>
    <row r="195" spans="1:26">
      <c r="A195" s="647"/>
      <c r="B195" s="649"/>
      <c r="C195" s="618"/>
      <c r="D195" s="618"/>
      <c r="E195" s="618"/>
      <c r="F195" s="618"/>
      <c r="G195" s="656"/>
      <c r="H195" s="656"/>
      <c r="I195" s="656"/>
      <c r="J195" s="656"/>
      <c r="K195" s="656"/>
      <c r="L195" s="656"/>
      <c r="M195" s="656"/>
      <c r="N195" s="656"/>
      <c r="O195" s="624">
        <f t="shared" si="8"/>
        <v>0</v>
      </c>
      <c r="P195" s="625">
        <f t="shared" si="9"/>
        <v>0</v>
      </c>
      <c r="Q195" s="626">
        <f t="shared" si="10"/>
        <v>0</v>
      </c>
      <c r="S195" s="650"/>
      <c r="T195" s="630"/>
      <c r="U195" s="630"/>
      <c r="V195" s="630"/>
      <c r="W195" s="629" t="str">
        <f t="shared" si="11"/>
        <v>NULL</v>
      </c>
      <c r="X195" s="630"/>
      <c r="Y195" s="630"/>
      <c r="Z195" s="654"/>
    </row>
    <row r="196" spans="1:26">
      <c r="A196" s="647"/>
      <c r="B196" s="649"/>
      <c r="C196" s="618"/>
      <c r="D196" s="618"/>
      <c r="E196" s="618"/>
      <c r="F196" s="618"/>
      <c r="G196" s="656"/>
      <c r="H196" s="656"/>
      <c r="I196" s="656"/>
      <c r="J196" s="656"/>
      <c r="K196" s="656"/>
      <c r="L196" s="656"/>
      <c r="M196" s="656"/>
      <c r="N196" s="656"/>
      <c r="O196" s="624">
        <f t="shared" ref="O196:O200" si="12">SUM(G196:N196)</f>
        <v>0</v>
      </c>
      <c r="P196" s="625">
        <f t="shared" ref="P196:P200" si="13">IF(OR(ISBLANK(D196),ISBLANK(E196)),0, IF(MINUTE(E196-D196)=0,HOUR(E196)-HOUR(D196),MINUTE(E196-D196)))</f>
        <v>0</v>
      </c>
      <c r="Q196" s="626">
        <f t="shared" ref="Q196:Q200" si="14">IF(P196=1,(O196-1)*60,(((O196)*60)-P196))</f>
        <v>0</v>
      </c>
      <c r="S196" s="650"/>
      <c r="T196" s="630"/>
      <c r="U196" s="630"/>
      <c r="V196" s="630"/>
      <c r="W196" s="629" t="str">
        <f t="shared" ref="W196:W200" si="15">IF(OR(ISBLANK(D196),ISBLANK(E196)),"NULL",D196+VALUE(0&amp;$X$2&amp;":00"))</f>
        <v>NULL</v>
      </c>
      <c r="X196" s="630"/>
      <c r="Y196" s="630"/>
      <c r="Z196" s="654"/>
    </row>
    <row r="197" spans="1:26">
      <c r="A197" s="647"/>
      <c r="B197" s="649"/>
      <c r="C197" s="618"/>
      <c r="D197" s="618"/>
      <c r="E197" s="618"/>
      <c r="F197" s="618"/>
      <c r="G197" s="656"/>
      <c r="H197" s="656"/>
      <c r="I197" s="656"/>
      <c r="J197" s="656"/>
      <c r="K197" s="656"/>
      <c r="L197" s="656"/>
      <c r="M197" s="656"/>
      <c r="N197" s="656"/>
      <c r="O197" s="624">
        <f t="shared" si="12"/>
        <v>0</v>
      </c>
      <c r="P197" s="625">
        <f t="shared" si="13"/>
        <v>0</v>
      </c>
      <c r="Q197" s="626">
        <f t="shared" si="14"/>
        <v>0</v>
      </c>
      <c r="S197" s="650"/>
      <c r="T197" s="630"/>
      <c r="U197" s="630"/>
      <c r="V197" s="630"/>
      <c r="W197" s="629" t="str">
        <f t="shared" si="15"/>
        <v>NULL</v>
      </c>
      <c r="X197" s="630"/>
      <c r="Y197" s="630"/>
      <c r="Z197" s="654"/>
    </row>
    <row r="198" spans="1:26">
      <c r="A198" s="647"/>
      <c r="B198" s="649"/>
      <c r="C198" s="618"/>
      <c r="D198" s="618"/>
      <c r="E198" s="618"/>
      <c r="F198" s="618"/>
      <c r="G198" s="656"/>
      <c r="H198" s="656"/>
      <c r="I198" s="656"/>
      <c r="J198" s="656"/>
      <c r="K198" s="656"/>
      <c r="L198" s="656"/>
      <c r="M198" s="656"/>
      <c r="N198" s="656"/>
      <c r="O198" s="624">
        <f t="shared" si="12"/>
        <v>0</v>
      </c>
      <c r="P198" s="625">
        <f t="shared" si="13"/>
        <v>0</v>
      </c>
      <c r="Q198" s="626">
        <f t="shared" si="14"/>
        <v>0</v>
      </c>
      <c r="S198" s="650"/>
      <c r="T198" s="630"/>
      <c r="U198" s="630"/>
      <c r="V198" s="630"/>
      <c r="W198" s="629" t="str">
        <f t="shared" si="15"/>
        <v>NULL</v>
      </c>
      <c r="X198" s="630"/>
      <c r="Y198" s="630"/>
      <c r="Z198" s="654"/>
    </row>
    <row r="199" spans="1:26">
      <c r="A199" s="647"/>
      <c r="B199" s="649"/>
      <c r="C199" s="618"/>
      <c r="D199" s="618"/>
      <c r="E199" s="618"/>
      <c r="F199" s="618"/>
      <c r="G199" s="656"/>
      <c r="H199" s="656"/>
      <c r="I199" s="656"/>
      <c r="J199" s="656"/>
      <c r="K199" s="656"/>
      <c r="L199" s="656"/>
      <c r="M199" s="656"/>
      <c r="N199" s="656"/>
      <c r="O199" s="624">
        <f t="shared" si="12"/>
        <v>0</v>
      </c>
      <c r="P199" s="625">
        <f t="shared" si="13"/>
        <v>0</v>
      </c>
      <c r="Q199" s="626">
        <f t="shared" si="14"/>
        <v>0</v>
      </c>
      <c r="S199" s="650"/>
      <c r="T199" s="630"/>
      <c r="U199" s="630"/>
      <c r="V199" s="630"/>
      <c r="W199" s="629" t="str">
        <f t="shared" si="15"/>
        <v>NULL</v>
      </c>
      <c r="X199" s="630"/>
      <c r="Y199" s="630"/>
      <c r="Z199" s="654"/>
    </row>
    <row r="200" spans="1:26" ht="17.25" thickBot="1">
      <c r="A200" s="647"/>
      <c r="B200" s="649"/>
      <c r="C200" s="618"/>
      <c r="D200" s="618"/>
      <c r="E200" s="618"/>
      <c r="F200" s="618"/>
      <c r="G200" s="657"/>
      <c r="H200" s="658"/>
      <c r="I200" s="658"/>
      <c r="J200" s="658"/>
      <c r="K200" s="658"/>
      <c r="L200" s="658"/>
      <c r="M200" s="658"/>
      <c r="N200" s="658"/>
      <c r="O200" s="624">
        <f t="shared" si="12"/>
        <v>0</v>
      </c>
      <c r="P200" s="625">
        <f t="shared" si="13"/>
        <v>0</v>
      </c>
      <c r="Q200" s="626">
        <f t="shared" si="14"/>
        <v>0</v>
      </c>
      <c r="S200" s="659"/>
      <c r="T200" s="660"/>
      <c r="U200" s="660"/>
      <c r="V200" s="660"/>
      <c r="W200" s="661" t="str">
        <f t="shared" si="15"/>
        <v>NULL</v>
      </c>
      <c r="X200" s="660"/>
      <c r="Y200" s="660"/>
      <c r="Z200" s="662"/>
    </row>
  </sheetData>
  <sheetProtection algorithmName="SHA-512" hashValue="X3zKGtHYJSlAA+Oq6ex7wLQWo3VMEBrQDJxCxrFd+3sdR6aLwrmZqrkR2xj6EFwPt63ZMqbvYUD/CKthcdVKIw==" saltValue="C2ygjd8kurQmdm0q2Q1dEg==" spinCount="100000" sheet="1" formatCells="0" formatColumns="0" formatRows="0" insertColumns="0" insertRows="0" insertHyperlinks="0" deleteColumns="0" deleteRows="0" selectLockedCells="1" sort="0" autoFilter="0" pivotTables="0"/>
  <protectedRanges>
    <protectedRange sqref="A3:F200" name="CONFIGURACION"/>
  </protectedRanges>
  <mergeCells count="9">
    <mergeCell ref="L1:Q1"/>
    <mergeCell ref="C1:I1"/>
    <mergeCell ref="J1:K1"/>
    <mergeCell ref="Y1:Z1"/>
    <mergeCell ref="T32:U32"/>
    <mergeCell ref="T33:U33"/>
    <mergeCell ref="T34:U34"/>
    <mergeCell ref="T35:U35"/>
    <mergeCell ref="T1:U1"/>
  </mergeCells>
  <conditionalFormatting sqref="G3:N200">
    <cfRule type="cellIs" priority="5" operator="equal">
      <formula>0</formula>
    </cfRule>
    <cfRule type="cellIs" dxfId="7" priority="6" operator="greaterThan">
      <formula>0</formula>
    </cfRule>
  </conditionalFormatting>
  <conditionalFormatting sqref="E3:E200">
    <cfRule type="cellIs" dxfId="6" priority="4" operator="notBetween">
      <formula>D3</formula>
      <formula>W3</formula>
    </cfRule>
  </conditionalFormatting>
  <conditionalFormatting sqref="D3:D200">
    <cfRule type="cellIs" dxfId="5" priority="1" operator="lessThan">
      <formula>C3</formula>
    </cfRule>
  </conditionalFormatting>
  <dataValidations count="3">
    <dataValidation type="list" allowBlank="1" showInputMessage="1" showErrorMessage="1" sqref="WVI983045:WVI983077 IW3:IW37 SS3:SS37 ACO3:ACO37 AMK3:AMK37 AWG3:AWG37 BGC3:BGC37 BPY3:BPY37 BZU3:BZU37 CJQ3:CJQ37 CTM3:CTM37 DDI3:DDI37 DNE3:DNE37 DXA3:DXA37 EGW3:EGW37 EQS3:EQS37 FAO3:FAO37 FKK3:FKK37 FUG3:FUG37 GEC3:GEC37 GNY3:GNY37 GXU3:GXU37 HHQ3:HHQ37 HRM3:HRM37 IBI3:IBI37 ILE3:ILE37 IVA3:IVA37 JEW3:JEW37 JOS3:JOS37 JYO3:JYO37 KIK3:KIK37 KSG3:KSG37 LCC3:LCC37 LLY3:LLY37 LVU3:LVU37 MFQ3:MFQ37 MPM3:MPM37 MZI3:MZI37 NJE3:NJE37 NTA3:NTA37 OCW3:OCW37 OMS3:OMS37 OWO3:OWO37 PGK3:PGK37 PQG3:PQG37 QAC3:QAC37 QJY3:QJY37 QTU3:QTU37 RDQ3:RDQ37 RNM3:RNM37 RXI3:RXI37 SHE3:SHE37 SRA3:SRA37 TAW3:TAW37 TKS3:TKS37 TUO3:TUO37 UEK3:UEK37 UOG3:UOG37 UYC3:UYC37 VHY3:VHY37 VRU3:VRU37 WBQ3:WBQ37 WLM3:WLM37 WVI3:WVI37 A65541:A65573 IW65541:IW65573 SS65541:SS65573 ACO65541:ACO65573 AMK65541:AMK65573 AWG65541:AWG65573 BGC65541:BGC65573 BPY65541:BPY65573 BZU65541:BZU65573 CJQ65541:CJQ65573 CTM65541:CTM65573 DDI65541:DDI65573 DNE65541:DNE65573 DXA65541:DXA65573 EGW65541:EGW65573 EQS65541:EQS65573 FAO65541:FAO65573 FKK65541:FKK65573 FUG65541:FUG65573 GEC65541:GEC65573 GNY65541:GNY65573 GXU65541:GXU65573 HHQ65541:HHQ65573 HRM65541:HRM65573 IBI65541:IBI65573 ILE65541:ILE65573 IVA65541:IVA65573 JEW65541:JEW65573 JOS65541:JOS65573 JYO65541:JYO65573 KIK65541:KIK65573 KSG65541:KSG65573 LCC65541:LCC65573 LLY65541:LLY65573 LVU65541:LVU65573 MFQ65541:MFQ65573 MPM65541:MPM65573 MZI65541:MZI65573 NJE65541:NJE65573 NTA65541:NTA65573 OCW65541:OCW65573 OMS65541:OMS65573 OWO65541:OWO65573 PGK65541:PGK65573 PQG65541:PQG65573 QAC65541:QAC65573 QJY65541:QJY65573 QTU65541:QTU65573 RDQ65541:RDQ65573 RNM65541:RNM65573 RXI65541:RXI65573 SHE65541:SHE65573 SRA65541:SRA65573 TAW65541:TAW65573 TKS65541:TKS65573 TUO65541:TUO65573 UEK65541:UEK65573 UOG65541:UOG65573 UYC65541:UYC65573 VHY65541:VHY65573 VRU65541:VRU65573 WBQ65541:WBQ65573 WLM65541:WLM65573 WVI65541:WVI65573 A131077:A131109 IW131077:IW131109 SS131077:SS131109 ACO131077:ACO131109 AMK131077:AMK131109 AWG131077:AWG131109 BGC131077:BGC131109 BPY131077:BPY131109 BZU131077:BZU131109 CJQ131077:CJQ131109 CTM131077:CTM131109 DDI131077:DDI131109 DNE131077:DNE131109 DXA131077:DXA131109 EGW131077:EGW131109 EQS131077:EQS131109 FAO131077:FAO131109 FKK131077:FKK131109 FUG131077:FUG131109 GEC131077:GEC131109 GNY131077:GNY131109 GXU131077:GXU131109 HHQ131077:HHQ131109 HRM131077:HRM131109 IBI131077:IBI131109 ILE131077:ILE131109 IVA131077:IVA131109 JEW131077:JEW131109 JOS131077:JOS131109 JYO131077:JYO131109 KIK131077:KIK131109 KSG131077:KSG131109 LCC131077:LCC131109 LLY131077:LLY131109 LVU131077:LVU131109 MFQ131077:MFQ131109 MPM131077:MPM131109 MZI131077:MZI131109 NJE131077:NJE131109 NTA131077:NTA131109 OCW131077:OCW131109 OMS131077:OMS131109 OWO131077:OWO131109 PGK131077:PGK131109 PQG131077:PQG131109 QAC131077:QAC131109 QJY131077:QJY131109 QTU131077:QTU131109 RDQ131077:RDQ131109 RNM131077:RNM131109 RXI131077:RXI131109 SHE131077:SHE131109 SRA131077:SRA131109 TAW131077:TAW131109 TKS131077:TKS131109 TUO131077:TUO131109 UEK131077:UEK131109 UOG131077:UOG131109 UYC131077:UYC131109 VHY131077:VHY131109 VRU131077:VRU131109 WBQ131077:WBQ131109 WLM131077:WLM131109 WVI131077:WVI131109 A196613:A196645 IW196613:IW196645 SS196613:SS196645 ACO196613:ACO196645 AMK196613:AMK196645 AWG196613:AWG196645 BGC196613:BGC196645 BPY196613:BPY196645 BZU196613:BZU196645 CJQ196613:CJQ196645 CTM196613:CTM196645 DDI196613:DDI196645 DNE196613:DNE196645 DXA196613:DXA196645 EGW196613:EGW196645 EQS196613:EQS196645 FAO196613:FAO196645 FKK196613:FKK196645 FUG196613:FUG196645 GEC196613:GEC196645 GNY196613:GNY196645 GXU196613:GXU196645 HHQ196613:HHQ196645 HRM196613:HRM196645 IBI196613:IBI196645 ILE196613:ILE196645 IVA196613:IVA196645 JEW196613:JEW196645 JOS196613:JOS196645 JYO196613:JYO196645 KIK196613:KIK196645 KSG196613:KSG196645 LCC196613:LCC196645 LLY196613:LLY196645 LVU196613:LVU196645 MFQ196613:MFQ196645 MPM196613:MPM196645 MZI196613:MZI196645 NJE196613:NJE196645 NTA196613:NTA196645 OCW196613:OCW196645 OMS196613:OMS196645 OWO196613:OWO196645 PGK196613:PGK196645 PQG196613:PQG196645 QAC196613:QAC196645 QJY196613:QJY196645 QTU196613:QTU196645 RDQ196613:RDQ196645 RNM196613:RNM196645 RXI196613:RXI196645 SHE196613:SHE196645 SRA196613:SRA196645 TAW196613:TAW196645 TKS196613:TKS196645 TUO196613:TUO196645 UEK196613:UEK196645 UOG196613:UOG196645 UYC196613:UYC196645 VHY196613:VHY196645 VRU196613:VRU196645 WBQ196613:WBQ196645 WLM196613:WLM196645 WVI196613:WVI196645 A262149:A262181 IW262149:IW262181 SS262149:SS262181 ACO262149:ACO262181 AMK262149:AMK262181 AWG262149:AWG262181 BGC262149:BGC262181 BPY262149:BPY262181 BZU262149:BZU262181 CJQ262149:CJQ262181 CTM262149:CTM262181 DDI262149:DDI262181 DNE262149:DNE262181 DXA262149:DXA262181 EGW262149:EGW262181 EQS262149:EQS262181 FAO262149:FAO262181 FKK262149:FKK262181 FUG262149:FUG262181 GEC262149:GEC262181 GNY262149:GNY262181 GXU262149:GXU262181 HHQ262149:HHQ262181 HRM262149:HRM262181 IBI262149:IBI262181 ILE262149:ILE262181 IVA262149:IVA262181 JEW262149:JEW262181 JOS262149:JOS262181 JYO262149:JYO262181 KIK262149:KIK262181 KSG262149:KSG262181 LCC262149:LCC262181 LLY262149:LLY262181 LVU262149:LVU262181 MFQ262149:MFQ262181 MPM262149:MPM262181 MZI262149:MZI262181 NJE262149:NJE262181 NTA262149:NTA262181 OCW262149:OCW262181 OMS262149:OMS262181 OWO262149:OWO262181 PGK262149:PGK262181 PQG262149:PQG262181 QAC262149:QAC262181 QJY262149:QJY262181 QTU262149:QTU262181 RDQ262149:RDQ262181 RNM262149:RNM262181 RXI262149:RXI262181 SHE262149:SHE262181 SRA262149:SRA262181 TAW262149:TAW262181 TKS262149:TKS262181 TUO262149:TUO262181 UEK262149:UEK262181 UOG262149:UOG262181 UYC262149:UYC262181 VHY262149:VHY262181 VRU262149:VRU262181 WBQ262149:WBQ262181 WLM262149:WLM262181 WVI262149:WVI262181 A327685:A327717 IW327685:IW327717 SS327685:SS327717 ACO327685:ACO327717 AMK327685:AMK327717 AWG327685:AWG327717 BGC327685:BGC327717 BPY327685:BPY327717 BZU327685:BZU327717 CJQ327685:CJQ327717 CTM327685:CTM327717 DDI327685:DDI327717 DNE327685:DNE327717 DXA327685:DXA327717 EGW327685:EGW327717 EQS327685:EQS327717 FAO327685:FAO327717 FKK327685:FKK327717 FUG327685:FUG327717 GEC327685:GEC327717 GNY327685:GNY327717 GXU327685:GXU327717 HHQ327685:HHQ327717 HRM327685:HRM327717 IBI327685:IBI327717 ILE327685:ILE327717 IVA327685:IVA327717 JEW327685:JEW327717 JOS327685:JOS327717 JYO327685:JYO327717 KIK327685:KIK327717 KSG327685:KSG327717 LCC327685:LCC327717 LLY327685:LLY327717 LVU327685:LVU327717 MFQ327685:MFQ327717 MPM327685:MPM327717 MZI327685:MZI327717 NJE327685:NJE327717 NTA327685:NTA327717 OCW327685:OCW327717 OMS327685:OMS327717 OWO327685:OWO327717 PGK327685:PGK327717 PQG327685:PQG327717 QAC327685:QAC327717 QJY327685:QJY327717 QTU327685:QTU327717 RDQ327685:RDQ327717 RNM327685:RNM327717 RXI327685:RXI327717 SHE327685:SHE327717 SRA327685:SRA327717 TAW327685:TAW327717 TKS327685:TKS327717 TUO327685:TUO327717 UEK327685:UEK327717 UOG327685:UOG327717 UYC327685:UYC327717 VHY327685:VHY327717 VRU327685:VRU327717 WBQ327685:WBQ327717 WLM327685:WLM327717 WVI327685:WVI327717 A393221:A393253 IW393221:IW393253 SS393221:SS393253 ACO393221:ACO393253 AMK393221:AMK393253 AWG393221:AWG393253 BGC393221:BGC393253 BPY393221:BPY393253 BZU393221:BZU393253 CJQ393221:CJQ393253 CTM393221:CTM393253 DDI393221:DDI393253 DNE393221:DNE393253 DXA393221:DXA393253 EGW393221:EGW393253 EQS393221:EQS393253 FAO393221:FAO393253 FKK393221:FKK393253 FUG393221:FUG393253 GEC393221:GEC393253 GNY393221:GNY393253 GXU393221:GXU393253 HHQ393221:HHQ393253 HRM393221:HRM393253 IBI393221:IBI393253 ILE393221:ILE393253 IVA393221:IVA393253 JEW393221:JEW393253 JOS393221:JOS393253 JYO393221:JYO393253 KIK393221:KIK393253 KSG393221:KSG393253 LCC393221:LCC393253 LLY393221:LLY393253 LVU393221:LVU393253 MFQ393221:MFQ393253 MPM393221:MPM393253 MZI393221:MZI393253 NJE393221:NJE393253 NTA393221:NTA393253 OCW393221:OCW393253 OMS393221:OMS393253 OWO393221:OWO393253 PGK393221:PGK393253 PQG393221:PQG393253 QAC393221:QAC393253 QJY393221:QJY393253 QTU393221:QTU393253 RDQ393221:RDQ393253 RNM393221:RNM393253 RXI393221:RXI393253 SHE393221:SHE393253 SRA393221:SRA393253 TAW393221:TAW393253 TKS393221:TKS393253 TUO393221:TUO393253 UEK393221:UEK393253 UOG393221:UOG393253 UYC393221:UYC393253 VHY393221:VHY393253 VRU393221:VRU393253 WBQ393221:WBQ393253 WLM393221:WLM393253 WVI393221:WVI393253 A458757:A458789 IW458757:IW458789 SS458757:SS458789 ACO458757:ACO458789 AMK458757:AMK458789 AWG458757:AWG458789 BGC458757:BGC458789 BPY458757:BPY458789 BZU458757:BZU458789 CJQ458757:CJQ458789 CTM458757:CTM458789 DDI458757:DDI458789 DNE458757:DNE458789 DXA458757:DXA458789 EGW458757:EGW458789 EQS458757:EQS458789 FAO458757:FAO458789 FKK458757:FKK458789 FUG458757:FUG458789 GEC458757:GEC458789 GNY458757:GNY458789 GXU458757:GXU458789 HHQ458757:HHQ458789 HRM458757:HRM458789 IBI458757:IBI458789 ILE458757:ILE458789 IVA458757:IVA458789 JEW458757:JEW458789 JOS458757:JOS458789 JYO458757:JYO458789 KIK458757:KIK458789 KSG458757:KSG458789 LCC458757:LCC458789 LLY458757:LLY458789 LVU458757:LVU458789 MFQ458757:MFQ458789 MPM458757:MPM458789 MZI458757:MZI458789 NJE458757:NJE458789 NTA458757:NTA458789 OCW458757:OCW458789 OMS458757:OMS458789 OWO458757:OWO458789 PGK458757:PGK458789 PQG458757:PQG458789 QAC458757:QAC458789 QJY458757:QJY458789 QTU458757:QTU458789 RDQ458757:RDQ458789 RNM458757:RNM458789 RXI458757:RXI458789 SHE458757:SHE458789 SRA458757:SRA458789 TAW458757:TAW458789 TKS458757:TKS458789 TUO458757:TUO458789 UEK458757:UEK458789 UOG458757:UOG458789 UYC458757:UYC458789 VHY458757:VHY458789 VRU458757:VRU458789 WBQ458757:WBQ458789 WLM458757:WLM458789 WVI458757:WVI458789 A524293:A524325 IW524293:IW524325 SS524293:SS524325 ACO524293:ACO524325 AMK524293:AMK524325 AWG524293:AWG524325 BGC524293:BGC524325 BPY524293:BPY524325 BZU524293:BZU524325 CJQ524293:CJQ524325 CTM524293:CTM524325 DDI524293:DDI524325 DNE524293:DNE524325 DXA524293:DXA524325 EGW524293:EGW524325 EQS524293:EQS524325 FAO524293:FAO524325 FKK524293:FKK524325 FUG524293:FUG524325 GEC524293:GEC524325 GNY524293:GNY524325 GXU524293:GXU524325 HHQ524293:HHQ524325 HRM524293:HRM524325 IBI524293:IBI524325 ILE524293:ILE524325 IVA524293:IVA524325 JEW524293:JEW524325 JOS524293:JOS524325 JYO524293:JYO524325 KIK524293:KIK524325 KSG524293:KSG524325 LCC524293:LCC524325 LLY524293:LLY524325 LVU524293:LVU524325 MFQ524293:MFQ524325 MPM524293:MPM524325 MZI524293:MZI524325 NJE524293:NJE524325 NTA524293:NTA524325 OCW524293:OCW524325 OMS524293:OMS524325 OWO524293:OWO524325 PGK524293:PGK524325 PQG524293:PQG524325 QAC524293:QAC524325 QJY524293:QJY524325 QTU524293:QTU524325 RDQ524293:RDQ524325 RNM524293:RNM524325 RXI524293:RXI524325 SHE524293:SHE524325 SRA524293:SRA524325 TAW524293:TAW524325 TKS524293:TKS524325 TUO524293:TUO524325 UEK524293:UEK524325 UOG524293:UOG524325 UYC524293:UYC524325 VHY524293:VHY524325 VRU524293:VRU524325 WBQ524293:WBQ524325 WLM524293:WLM524325 WVI524293:WVI524325 A589829:A589861 IW589829:IW589861 SS589829:SS589861 ACO589829:ACO589861 AMK589829:AMK589861 AWG589829:AWG589861 BGC589829:BGC589861 BPY589829:BPY589861 BZU589829:BZU589861 CJQ589829:CJQ589861 CTM589829:CTM589861 DDI589829:DDI589861 DNE589829:DNE589861 DXA589829:DXA589861 EGW589829:EGW589861 EQS589829:EQS589861 FAO589829:FAO589861 FKK589829:FKK589861 FUG589829:FUG589861 GEC589829:GEC589861 GNY589829:GNY589861 GXU589829:GXU589861 HHQ589829:HHQ589861 HRM589829:HRM589861 IBI589829:IBI589861 ILE589829:ILE589861 IVA589829:IVA589861 JEW589829:JEW589861 JOS589829:JOS589861 JYO589829:JYO589861 KIK589829:KIK589861 KSG589829:KSG589861 LCC589829:LCC589861 LLY589829:LLY589861 LVU589829:LVU589861 MFQ589829:MFQ589861 MPM589829:MPM589861 MZI589829:MZI589861 NJE589829:NJE589861 NTA589829:NTA589861 OCW589829:OCW589861 OMS589829:OMS589861 OWO589829:OWO589861 PGK589829:PGK589861 PQG589829:PQG589861 QAC589829:QAC589861 QJY589829:QJY589861 QTU589829:QTU589861 RDQ589829:RDQ589861 RNM589829:RNM589861 RXI589829:RXI589861 SHE589829:SHE589861 SRA589829:SRA589861 TAW589829:TAW589861 TKS589829:TKS589861 TUO589829:TUO589861 UEK589829:UEK589861 UOG589829:UOG589861 UYC589829:UYC589861 VHY589829:VHY589861 VRU589829:VRU589861 WBQ589829:WBQ589861 WLM589829:WLM589861 WVI589829:WVI589861 A655365:A655397 IW655365:IW655397 SS655365:SS655397 ACO655365:ACO655397 AMK655365:AMK655397 AWG655365:AWG655397 BGC655365:BGC655397 BPY655365:BPY655397 BZU655365:BZU655397 CJQ655365:CJQ655397 CTM655365:CTM655397 DDI655365:DDI655397 DNE655365:DNE655397 DXA655365:DXA655397 EGW655365:EGW655397 EQS655365:EQS655397 FAO655365:FAO655397 FKK655365:FKK655397 FUG655365:FUG655397 GEC655365:GEC655397 GNY655365:GNY655397 GXU655365:GXU655397 HHQ655365:HHQ655397 HRM655365:HRM655397 IBI655365:IBI655397 ILE655365:ILE655397 IVA655365:IVA655397 JEW655365:JEW655397 JOS655365:JOS655397 JYO655365:JYO655397 KIK655365:KIK655397 KSG655365:KSG655397 LCC655365:LCC655397 LLY655365:LLY655397 LVU655365:LVU655397 MFQ655365:MFQ655397 MPM655365:MPM655397 MZI655365:MZI655397 NJE655365:NJE655397 NTA655365:NTA655397 OCW655365:OCW655397 OMS655365:OMS655397 OWO655365:OWO655397 PGK655365:PGK655397 PQG655365:PQG655397 QAC655365:QAC655397 QJY655365:QJY655397 QTU655365:QTU655397 RDQ655365:RDQ655397 RNM655365:RNM655397 RXI655365:RXI655397 SHE655365:SHE655397 SRA655365:SRA655397 TAW655365:TAW655397 TKS655365:TKS655397 TUO655365:TUO655397 UEK655365:UEK655397 UOG655365:UOG655397 UYC655365:UYC655397 VHY655365:VHY655397 VRU655365:VRU655397 WBQ655365:WBQ655397 WLM655365:WLM655397 WVI655365:WVI655397 A720901:A720933 IW720901:IW720933 SS720901:SS720933 ACO720901:ACO720933 AMK720901:AMK720933 AWG720901:AWG720933 BGC720901:BGC720933 BPY720901:BPY720933 BZU720901:BZU720933 CJQ720901:CJQ720933 CTM720901:CTM720933 DDI720901:DDI720933 DNE720901:DNE720933 DXA720901:DXA720933 EGW720901:EGW720933 EQS720901:EQS720933 FAO720901:FAO720933 FKK720901:FKK720933 FUG720901:FUG720933 GEC720901:GEC720933 GNY720901:GNY720933 GXU720901:GXU720933 HHQ720901:HHQ720933 HRM720901:HRM720933 IBI720901:IBI720933 ILE720901:ILE720933 IVA720901:IVA720933 JEW720901:JEW720933 JOS720901:JOS720933 JYO720901:JYO720933 KIK720901:KIK720933 KSG720901:KSG720933 LCC720901:LCC720933 LLY720901:LLY720933 LVU720901:LVU720933 MFQ720901:MFQ720933 MPM720901:MPM720933 MZI720901:MZI720933 NJE720901:NJE720933 NTA720901:NTA720933 OCW720901:OCW720933 OMS720901:OMS720933 OWO720901:OWO720933 PGK720901:PGK720933 PQG720901:PQG720933 QAC720901:QAC720933 QJY720901:QJY720933 QTU720901:QTU720933 RDQ720901:RDQ720933 RNM720901:RNM720933 RXI720901:RXI720933 SHE720901:SHE720933 SRA720901:SRA720933 TAW720901:TAW720933 TKS720901:TKS720933 TUO720901:TUO720933 UEK720901:UEK720933 UOG720901:UOG720933 UYC720901:UYC720933 VHY720901:VHY720933 VRU720901:VRU720933 WBQ720901:WBQ720933 WLM720901:WLM720933 WVI720901:WVI720933 A786437:A786469 IW786437:IW786469 SS786437:SS786469 ACO786437:ACO786469 AMK786437:AMK786469 AWG786437:AWG786469 BGC786437:BGC786469 BPY786437:BPY786469 BZU786437:BZU786469 CJQ786437:CJQ786469 CTM786437:CTM786469 DDI786437:DDI786469 DNE786437:DNE786469 DXA786437:DXA786469 EGW786437:EGW786469 EQS786437:EQS786469 FAO786437:FAO786469 FKK786437:FKK786469 FUG786437:FUG786469 GEC786437:GEC786469 GNY786437:GNY786469 GXU786437:GXU786469 HHQ786437:HHQ786469 HRM786437:HRM786469 IBI786437:IBI786469 ILE786437:ILE786469 IVA786437:IVA786469 JEW786437:JEW786469 JOS786437:JOS786469 JYO786437:JYO786469 KIK786437:KIK786469 KSG786437:KSG786469 LCC786437:LCC786469 LLY786437:LLY786469 LVU786437:LVU786469 MFQ786437:MFQ786469 MPM786437:MPM786469 MZI786437:MZI786469 NJE786437:NJE786469 NTA786437:NTA786469 OCW786437:OCW786469 OMS786437:OMS786469 OWO786437:OWO786469 PGK786437:PGK786469 PQG786437:PQG786469 QAC786437:QAC786469 QJY786437:QJY786469 QTU786437:QTU786469 RDQ786437:RDQ786469 RNM786437:RNM786469 RXI786437:RXI786469 SHE786437:SHE786469 SRA786437:SRA786469 TAW786437:TAW786469 TKS786437:TKS786469 TUO786437:TUO786469 UEK786437:UEK786469 UOG786437:UOG786469 UYC786437:UYC786469 VHY786437:VHY786469 VRU786437:VRU786469 WBQ786437:WBQ786469 WLM786437:WLM786469 WVI786437:WVI786469 A851973:A852005 IW851973:IW852005 SS851973:SS852005 ACO851973:ACO852005 AMK851973:AMK852005 AWG851973:AWG852005 BGC851973:BGC852005 BPY851973:BPY852005 BZU851973:BZU852005 CJQ851973:CJQ852005 CTM851973:CTM852005 DDI851973:DDI852005 DNE851973:DNE852005 DXA851973:DXA852005 EGW851973:EGW852005 EQS851973:EQS852005 FAO851973:FAO852005 FKK851973:FKK852005 FUG851973:FUG852005 GEC851973:GEC852005 GNY851973:GNY852005 GXU851973:GXU852005 HHQ851973:HHQ852005 HRM851973:HRM852005 IBI851973:IBI852005 ILE851973:ILE852005 IVA851973:IVA852005 JEW851973:JEW852005 JOS851973:JOS852005 JYO851973:JYO852005 KIK851973:KIK852005 KSG851973:KSG852005 LCC851973:LCC852005 LLY851973:LLY852005 LVU851973:LVU852005 MFQ851973:MFQ852005 MPM851973:MPM852005 MZI851973:MZI852005 NJE851973:NJE852005 NTA851973:NTA852005 OCW851973:OCW852005 OMS851973:OMS852005 OWO851973:OWO852005 PGK851973:PGK852005 PQG851973:PQG852005 QAC851973:QAC852005 QJY851973:QJY852005 QTU851973:QTU852005 RDQ851973:RDQ852005 RNM851973:RNM852005 RXI851973:RXI852005 SHE851973:SHE852005 SRA851973:SRA852005 TAW851973:TAW852005 TKS851973:TKS852005 TUO851973:TUO852005 UEK851973:UEK852005 UOG851973:UOG852005 UYC851973:UYC852005 VHY851973:VHY852005 VRU851973:VRU852005 WBQ851973:WBQ852005 WLM851973:WLM852005 WVI851973:WVI852005 A917509:A917541 IW917509:IW917541 SS917509:SS917541 ACO917509:ACO917541 AMK917509:AMK917541 AWG917509:AWG917541 BGC917509:BGC917541 BPY917509:BPY917541 BZU917509:BZU917541 CJQ917509:CJQ917541 CTM917509:CTM917541 DDI917509:DDI917541 DNE917509:DNE917541 DXA917509:DXA917541 EGW917509:EGW917541 EQS917509:EQS917541 FAO917509:FAO917541 FKK917509:FKK917541 FUG917509:FUG917541 GEC917509:GEC917541 GNY917509:GNY917541 GXU917509:GXU917541 HHQ917509:HHQ917541 HRM917509:HRM917541 IBI917509:IBI917541 ILE917509:ILE917541 IVA917509:IVA917541 JEW917509:JEW917541 JOS917509:JOS917541 JYO917509:JYO917541 KIK917509:KIK917541 KSG917509:KSG917541 LCC917509:LCC917541 LLY917509:LLY917541 LVU917509:LVU917541 MFQ917509:MFQ917541 MPM917509:MPM917541 MZI917509:MZI917541 NJE917509:NJE917541 NTA917509:NTA917541 OCW917509:OCW917541 OMS917509:OMS917541 OWO917509:OWO917541 PGK917509:PGK917541 PQG917509:PQG917541 QAC917509:QAC917541 QJY917509:QJY917541 QTU917509:QTU917541 RDQ917509:RDQ917541 RNM917509:RNM917541 RXI917509:RXI917541 SHE917509:SHE917541 SRA917509:SRA917541 TAW917509:TAW917541 TKS917509:TKS917541 TUO917509:TUO917541 UEK917509:UEK917541 UOG917509:UOG917541 UYC917509:UYC917541 VHY917509:VHY917541 VRU917509:VRU917541 WBQ917509:WBQ917541 WLM917509:WLM917541 WVI917509:WVI917541 A983045:A983077 IW983045:IW983077 SS983045:SS983077 ACO983045:ACO983077 AMK983045:AMK983077 AWG983045:AWG983077 BGC983045:BGC983077 BPY983045:BPY983077 BZU983045:BZU983077 CJQ983045:CJQ983077 CTM983045:CTM983077 DDI983045:DDI983077 DNE983045:DNE983077 DXA983045:DXA983077 EGW983045:EGW983077 EQS983045:EQS983077 FAO983045:FAO983077 FKK983045:FKK983077 FUG983045:FUG983077 GEC983045:GEC983077 GNY983045:GNY983077 GXU983045:GXU983077 HHQ983045:HHQ983077 HRM983045:HRM983077 IBI983045:IBI983077 ILE983045:ILE983077 IVA983045:IVA983077 JEW983045:JEW983077 JOS983045:JOS983077 JYO983045:JYO983077 KIK983045:KIK983077 KSG983045:KSG983077 LCC983045:LCC983077 LLY983045:LLY983077 LVU983045:LVU983077 MFQ983045:MFQ983077 MPM983045:MPM983077 MZI983045:MZI983077 NJE983045:NJE983077 NTA983045:NTA983077 OCW983045:OCW983077 OMS983045:OMS983077 OWO983045:OWO983077 PGK983045:PGK983077 PQG983045:PQG983077 QAC983045:QAC983077 QJY983045:QJY983077 QTU983045:QTU983077 RDQ983045:RDQ983077 RNM983045:RNM983077 RXI983045:RXI983077 SHE983045:SHE983077 SRA983045:SRA983077 TAW983045:TAW983077 TKS983045:TKS983077 TUO983045:TUO983077 UEK983045:UEK983077 UOG983045:UOG983077 UYC983045:UYC983077 VHY983045:VHY983077 VRU983045:VRU983077 WBQ983045:WBQ983077 WLM983045:WLM983077">
      <formula1>Relación</formula1>
    </dataValidation>
    <dataValidation type="list" allowBlank="1" showInputMessage="1" showErrorMessage="1" sqref="D3:E200">
      <formula1>$Y$2:$Y$73</formula1>
    </dataValidation>
    <dataValidation type="list" allowBlank="1" showInputMessage="1" showErrorMessage="1" sqref="C3:C200 F3:F200">
      <formula1>$Z$2:$Z$25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'BASE DE DATOS COLABORADORES'!$A$2:$A$12</xm:f>
          </x14:formula1>
          <xm:sqref>A3:A200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CC0099"/>
  </sheetPr>
  <dimension ref="A1:Q1496"/>
  <sheetViews>
    <sheetView topLeftCell="H1" zoomScale="85" zoomScaleNormal="85" workbookViewId="0">
      <selection activeCell="M7" sqref="M7"/>
    </sheetView>
  </sheetViews>
  <sheetFormatPr baseColWidth="10" defaultRowHeight="16.5"/>
  <cols>
    <col min="1" max="1" width="23" style="589" customWidth="1"/>
    <col min="2" max="2" width="23" style="593" customWidth="1"/>
    <col min="3" max="3" width="24.875" style="593" customWidth="1"/>
    <col min="4" max="6" width="14.5" style="594" customWidth="1"/>
    <col min="7" max="7" width="12.25" style="594" customWidth="1"/>
    <col min="8" max="11" width="11.375" style="594" customWidth="1"/>
    <col min="12" max="12" width="17.25" style="595" customWidth="1"/>
    <col min="13" max="13" width="10.875" style="596" customWidth="1"/>
    <col min="14" max="14" width="16.875" style="597" customWidth="1"/>
    <col min="15" max="15" width="43.125" style="540" customWidth="1"/>
    <col min="16" max="16" width="24.5" style="526" customWidth="1"/>
    <col min="17" max="17" width="18.75" style="526" customWidth="1"/>
    <col min="18" max="263" width="11" style="526"/>
    <col min="264" max="264" width="23" style="526" customWidth="1"/>
    <col min="265" max="265" width="17.375" style="526" customWidth="1"/>
    <col min="266" max="266" width="16.375" style="526" customWidth="1"/>
    <col min="267" max="267" width="14.5" style="526" customWidth="1"/>
    <col min="268" max="268" width="11.375" style="526" customWidth="1"/>
    <col min="269" max="269" width="17.25" style="526" customWidth="1"/>
    <col min="270" max="270" width="10.875" style="526" customWidth="1"/>
    <col min="271" max="271" width="43.125" style="526" customWidth="1"/>
    <col min="272" max="519" width="11" style="526"/>
    <col min="520" max="520" width="23" style="526" customWidth="1"/>
    <col min="521" max="521" width="17.375" style="526" customWidth="1"/>
    <col min="522" max="522" width="16.375" style="526" customWidth="1"/>
    <col min="523" max="523" width="14.5" style="526" customWidth="1"/>
    <col min="524" max="524" width="11.375" style="526" customWidth="1"/>
    <col min="525" max="525" width="17.25" style="526" customWidth="1"/>
    <col min="526" max="526" width="10.875" style="526" customWidth="1"/>
    <col min="527" max="527" width="43.125" style="526" customWidth="1"/>
    <col min="528" max="775" width="11" style="526"/>
    <col min="776" max="776" width="23" style="526" customWidth="1"/>
    <col min="777" max="777" width="17.375" style="526" customWidth="1"/>
    <col min="778" max="778" width="16.375" style="526" customWidth="1"/>
    <col min="779" max="779" width="14.5" style="526" customWidth="1"/>
    <col min="780" max="780" width="11.375" style="526" customWidth="1"/>
    <col min="781" max="781" width="17.25" style="526" customWidth="1"/>
    <col min="782" max="782" width="10.875" style="526" customWidth="1"/>
    <col min="783" max="783" width="43.125" style="526" customWidth="1"/>
    <col min="784" max="1031" width="11" style="526"/>
    <col min="1032" max="1032" width="23" style="526" customWidth="1"/>
    <col min="1033" max="1033" width="17.375" style="526" customWidth="1"/>
    <col min="1034" max="1034" width="16.375" style="526" customWidth="1"/>
    <col min="1035" max="1035" width="14.5" style="526" customWidth="1"/>
    <col min="1036" max="1036" width="11.375" style="526" customWidth="1"/>
    <col min="1037" max="1037" width="17.25" style="526" customWidth="1"/>
    <col min="1038" max="1038" width="10.875" style="526" customWidth="1"/>
    <col min="1039" max="1039" width="43.125" style="526" customWidth="1"/>
    <col min="1040" max="1287" width="11" style="526"/>
    <col min="1288" max="1288" width="23" style="526" customWidth="1"/>
    <col min="1289" max="1289" width="17.375" style="526" customWidth="1"/>
    <col min="1290" max="1290" width="16.375" style="526" customWidth="1"/>
    <col min="1291" max="1291" width="14.5" style="526" customWidth="1"/>
    <col min="1292" max="1292" width="11.375" style="526" customWidth="1"/>
    <col min="1293" max="1293" width="17.25" style="526" customWidth="1"/>
    <col min="1294" max="1294" width="10.875" style="526" customWidth="1"/>
    <col min="1295" max="1295" width="43.125" style="526" customWidth="1"/>
    <col min="1296" max="1543" width="11" style="526"/>
    <col min="1544" max="1544" width="23" style="526" customWidth="1"/>
    <col min="1545" max="1545" width="17.375" style="526" customWidth="1"/>
    <col min="1546" max="1546" width="16.375" style="526" customWidth="1"/>
    <col min="1547" max="1547" width="14.5" style="526" customWidth="1"/>
    <col min="1548" max="1548" width="11.375" style="526" customWidth="1"/>
    <col min="1549" max="1549" width="17.25" style="526" customWidth="1"/>
    <col min="1550" max="1550" width="10.875" style="526" customWidth="1"/>
    <col min="1551" max="1551" width="43.125" style="526" customWidth="1"/>
    <col min="1552" max="1799" width="11" style="526"/>
    <col min="1800" max="1800" width="23" style="526" customWidth="1"/>
    <col min="1801" max="1801" width="17.375" style="526" customWidth="1"/>
    <col min="1802" max="1802" width="16.375" style="526" customWidth="1"/>
    <col min="1803" max="1803" width="14.5" style="526" customWidth="1"/>
    <col min="1804" max="1804" width="11.375" style="526" customWidth="1"/>
    <col min="1805" max="1805" width="17.25" style="526" customWidth="1"/>
    <col min="1806" max="1806" width="10.875" style="526" customWidth="1"/>
    <col min="1807" max="1807" width="43.125" style="526" customWidth="1"/>
    <col min="1808" max="2055" width="11" style="526"/>
    <col min="2056" max="2056" width="23" style="526" customWidth="1"/>
    <col min="2057" max="2057" width="17.375" style="526" customWidth="1"/>
    <col min="2058" max="2058" width="16.375" style="526" customWidth="1"/>
    <col min="2059" max="2059" width="14.5" style="526" customWidth="1"/>
    <col min="2060" max="2060" width="11.375" style="526" customWidth="1"/>
    <col min="2061" max="2061" width="17.25" style="526" customWidth="1"/>
    <col min="2062" max="2062" width="10.875" style="526" customWidth="1"/>
    <col min="2063" max="2063" width="43.125" style="526" customWidth="1"/>
    <col min="2064" max="2311" width="11" style="526"/>
    <col min="2312" max="2312" width="23" style="526" customWidth="1"/>
    <col min="2313" max="2313" width="17.375" style="526" customWidth="1"/>
    <col min="2314" max="2314" width="16.375" style="526" customWidth="1"/>
    <col min="2315" max="2315" width="14.5" style="526" customWidth="1"/>
    <col min="2316" max="2316" width="11.375" style="526" customWidth="1"/>
    <col min="2317" max="2317" width="17.25" style="526" customWidth="1"/>
    <col min="2318" max="2318" width="10.875" style="526" customWidth="1"/>
    <col min="2319" max="2319" width="43.125" style="526" customWidth="1"/>
    <col min="2320" max="2567" width="11" style="526"/>
    <col min="2568" max="2568" width="23" style="526" customWidth="1"/>
    <col min="2569" max="2569" width="17.375" style="526" customWidth="1"/>
    <col min="2570" max="2570" width="16.375" style="526" customWidth="1"/>
    <col min="2571" max="2571" width="14.5" style="526" customWidth="1"/>
    <col min="2572" max="2572" width="11.375" style="526" customWidth="1"/>
    <col min="2573" max="2573" width="17.25" style="526" customWidth="1"/>
    <col min="2574" max="2574" width="10.875" style="526" customWidth="1"/>
    <col min="2575" max="2575" width="43.125" style="526" customWidth="1"/>
    <col min="2576" max="2823" width="11" style="526"/>
    <col min="2824" max="2824" width="23" style="526" customWidth="1"/>
    <col min="2825" max="2825" width="17.375" style="526" customWidth="1"/>
    <col min="2826" max="2826" width="16.375" style="526" customWidth="1"/>
    <col min="2827" max="2827" width="14.5" style="526" customWidth="1"/>
    <col min="2828" max="2828" width="11.375" style="526" customWidth="1"/>
    <col min="2829" max="2829" width="17.25" style="526" customWidth="1"/>
    <col min="2830" max="2830" width="10.875" style="526" customWidth="1"/>
    <col min="2831" max="2831" width="43.125" style="526" customWidth="1"/>
    <col min="2832" max="3079" width="11" style="526"/>
    <col min="3080" max="3080" width="23" style="526" customWidth="1"/>
    <col min="3081" max="3081" width="17.375" style="526" customWidth="1"/>
    <col min="3082" max="3082" width="16.375" style="526" customWidth="1"/>
    <col min="3083" max="3083" width="14.5" style="526" customWidth="1"/>
    <col min="3084" max="3084" width="11.375" style="526" customWidth="1"/>
    <col min="3085" max="3085" width="17.25" style="526" customWidth="1"/>
    <col min="3086" max="3086" width="10.875" style="526" customWidth="1"/>
    <col min="3087" max="3087" width="43.125" style="526" customWidth="1"/>
    <col min="3088" max="3335" width="11" style="526"/>
    <col min="3336" max="3336" width="23" style="526" customWidth="1"/>
    <col min="3337" max="3337" width="17.375" style="526" customWidth="1"/>
    <col min="3338" max="3338" width="16.375" style="526" customWidth="1"/>
    <col min="3339" max="3339" width="14.5" style="526" customWidth="1"/>
    <col min="3340" max="3340" width="11.375" style="526" customWidth="1"/>
    <col min="3341" max="3341" width="17.25" style="526" customWidth="1"/>
    <col min="3342" max="3342" width="10.875" style="526" customWidth="1"/>
    <col min="3343" max="3343" width="43.125" style="526" customWidth="1"/>
    <col min="3344" max="3591" width="11" style="526"/>
    <col min="3592" max="3592" width="23" style="526" customWidth="1"/>
    <col min="3593" max="3593" width="17.375" style="526" customWidth="1"/>
    <col min="3594" max="3594" width="16.375" style="526" customWidth="1"/>
    <col min="3595" max="3595" width="14.5" style="526" customWidth="1"/>
    <col min="3596" max="3596" width="11.375" style="526" customWidth="1"/>
    <col min="3597" max="3597" width="17.25" style="526" customWidth="1"/>
    <col min="3598" max="3598" width="10.875" style="526" customWidth="1"/>
    <col min="3599" max="3599" width="43.125" style="526" customWidth="1"/>
    <col min="3600" max="3847" width="11" style="526"/>
    <col min="3848" max="3848" width="23" style="526" customWidth="1"/>
    <col min="3849" max="3849" width="17.375" style="526" customWidth="1"/>
    <col min="3850" max="3850" width="16.375" style="526" customWidth="1"/>
    <col min="3851" max="3851" width="14.5" style="526" customWidth="1"/>
    <col min="3852" max="3852" width="11.375" style="526" customWidth="1"/>
    <col min="3853" max="3853" width="17.25" style="526" customWidth="1"/>
    <col min="3854" max="3854" width="10.875" style="526" customWidth="1"/>
    <col min="3855" max="3855" width="43.125" style="526" customWidth="1"/>
    <col min="3856" max="4103" width="11" style="526"/>
    <col min="4104" max="4104" width="23" style="526" customWidth="1"/>
    <col min="4105" max="4105" width="17.375" style="526" customWidth="1"/>
    <col min="4106" max="4106" width="16.375" style="526" customWidth="1"/>
    <col min="4107" max="4107" width="14.5" style="526" customWidth="1"/>
    <col min="4108" max="4108" width="11.375" style="526" customWidth="1"/>
    <col min="4109" max="4109" width="17.25" style="526" customWidth="1"/>
    <col min="4110" max="4110" width="10.875" style="526" customWidth="1"/>
    <col min="4111" max="4111" width="43.125" style="526" customWidth="1"/>
    <col min="4112" max="4359" width="11" style="526"/>
    <col min="4360" max="4360" width="23" style="526" customWidth="1"/>
    <col min="4361" max="4361" width="17.375" style="526" customWidth="1"/>
    <col min="4362" max="4362" width="16.375" style="526" customWidth="1"/>
    <col min="4363" max="4363" width="14.5" style="526" customWidth="1"/>
    <col min="4364" max="4364" width="11.375" style="526" customWidth="1"/>
    <col min="4365" max="4365" width="17.25" style="526" customWidth="1"/>
    <col min="4366" max="4366" width="10.875" style="526" customWidth="1"/>
    <col min="4367" max="4367" width="43.125" style="526" customWidth="1"/>
    <col min="4368" max="4615" width="11" style="526"/>
    <col min="4616" max="4616" width="23" style="526" customWidth="1"/>
    <col min="4617" max="4617" width="17.375" style="526" customWidth="1"/>
    <col min="4618" max="4618" width="16.375" style="526" customWidth="1"/>
    <col min="4619" max="4619" width="14.5" style="526" customWidth="1"/>
    <col min="4620" max="4620" width="11.375" style="526" customWidth="1"/>
    <col min="4621" max="4621" width="17.25" style="526" customWidth="1"/>
    <col min="4622" max="4622" width="10.875" style="526" customWidth="1"/>
    <col min="4623" max="4623" width="43.125" style="526" customWidth="1"/>
    <col min="4624" max="4871" width="11" style="526"/>
    <col min="4872" max="4872" width="23" style="526" customWidth="1"/>
    <col min="4873" max="4873" width="17.375" style="526" customWidth="1"/>
    <col min="4874" max="4874" width="16.375" style="526" customWidth="1"/>
    <col min="4875" max="4875" width="14.5" style="526" customWidth="1"/>
    <col min="4876" max="4876" width="11.375" style="526" customWidth="1"/>
    <col min="4877" max="4877" width="17.25" style="526" customWidth="1"/>
    <col min="4878" max="4878" width="10.875" style="526" customWidth="1"/>
    <col min="4879" max="4879" width="43.125" style="526" customWidth="1"/>
    <col min="4880" max="5127" width="11" style="526"/>
    <col min="5128" max="5128" width="23" style="526" customWidth="1"/>
    <col min="5129" max="5129" width="17.375" style="526" customWidth="1"/>
    <col min="5130" max="5130" width="16.375" style="526" customWidth="1"/>
    <col min="5131" max="5131" width="14.5" style="526" customWidth="1"/>
    <col min="5132" max="5132" width="11.375" style="526" customWidth="1"/>
    <col min="5133" max="5133" width="17.25" style="526" customWidth="1"/>
    <col min="5134" max="5134" width="10.875" style="526" customWidth="1"/>
    <col min="5135" max="5135" width="43.125" style="526" customWidth="1"/>
    <col min="5136" max="5383" width="11" style="526"/>
    <col min="5384" max="5384" width="23" style="526" customWidth="1"/>
    <col min="5385" max="5385" width="17.375" style="526" customWidth="1"/>
    <col min="5386" max="5386" width="16.375" style="526" customWidth="1"/>
    <col min="5387" max="5387" width="14.5" style="526" customWidth="1"/>
    <col min="5388" max="5388" width="11.375" style="526" customWidth="1"/>
    <col min="5389" max="5389" width="17.25" style="526" customWidth="1"/>
    <col min="5390" max="5390" width="10.875" style="526" customWidth="1"/>
    <col min="5391" max="5391" width="43.125" style="526" customWidth="1"/>
    <col min="5392" max="5639" width="11" style="526"/>
    <col min="5640" max="5640" width="23" style="526" customWidth="1"/>
    <col min="5641" max="5641" width="17.375" style="526" customWidth="1"/>
    <col min="5642" max="5642" width="16.375" style="526" customWidth="1"/>
    <col min="5643" max="5643" width="14.5" style="526" customWidth="1"/>
    <col min="5644" max="5644" width="11.375" style="526" customWidth="1"/>
    <col min="5645" max="5645" width="17.25" style="526" customWidth="1"/>
    <col min="5646" max="5646" width="10.875" style="526" customWidth="1"/>
    <col min="5647" max="5647" width="43.125" style="526" customWidth="1"/>
    <col min="5648" max="5895" width="11" style="526"/>
    <col min="5896" max="5896" width="23" style="526" customWidth="1"/>
    <col min="5897" max="5897" width="17.375" style="526" customWidth="1"/>
    <col min="5898" max="5898" width="16.375" style="526" customWidth="1"/>
    <col min="5899" max="5899" width="14.5" style="526" customWidth="1"/>
    <col min="5900" max="5900" width="11.375" style="526" customWidth="1"/>
    <col min="5901" max="5901" width="17.25" style="526" customWidth="1"/>
    <col min="5902" max="5902" width="10.875" style="526" customWidth="1"/>
    <col min="5903" max="5903" width="43.125" style="526" customWidth="1"/>
    <col min="5904" max="6151" width="11" style="526"/>
    <col min="6152" max="6152" width="23" style="526" customWidth="1"/>
    <col min="6153" max="6153" width="17.375" style="526" customWidth="1"/>
    <col min="6154" max="6154" width="16.375" style="526" customWidth="1"/>
    <col min="6155" max="6155" width="14.5" style="526" customWidth="1"/>
    <col min="6156" max="6156" width="11.375" style="526" customWidth="1"/>
    <col min="6157" max="6157" width="17.25" style="526" customWidth="1"/>
    <col min="6158" max="6158" width="10.875" style="526" customWidth="1"/>
    <col min="6159" max="6159" width="43.125" style="526" customWidth="1"/>
    <col min="6160" max="6407" width="11" style="526"/>
    <col min="6408" max="6408" width="23" style="526" customWidth="1"/>
    <col min="6409" max="6409" width="17.375" style="526" customWidth="1"/>
    <col min="6410" max="6410" width="16.375" style="526" customWidth="1"/>
    <col min="6411" max="6411" width="14.5" style="526" customWidth="1"/>
    <col min="6412" max="6412" width="11.375" style="526" customWidth="1"/>
    <col min="6413" max="6413" width="17.25" style="526" customWidth="1"/>
    <col min="6414" max="6414" width="10.875" style="526" customWidth="1"/>
    <col min="6415" max="6415" width="43.125" style="526" customWidth="1"/>
    <col min="6416" max="6663" width="11" style="526"/>
    <col min="6664" max="6664" width="23" style="526" customWidth="1"/>
    <col min="6665" max="6665" width="17.375" style="526" customWidth="1"/>
    <col min="6666" max="6666" width="16.375" style="526" customWidth="1"/>
    <col min="6667" max="6667" width="14.5" style="526" customWidth="1"/>
    <col min="6668" max="6668" width="11.375" style="526" customWidth="1"/>
    <col min="6669" max="6669" width="17.25" style="526" customWidth="1"/>
    <col min="6670" max="6670" width="10.875" style="526" customWidth="1"/>
    <col min="6671" max="6671" width="43.125" style="526" customWidth="1"/>
    <col min="6672" max="6919" width="11" style="526"/>
    <col min="6920" max="6920" width="23" style="526" customWidth="1"/>
    <col min="6921" max="6921" width="17.375" style="526" customWidth="1"/>
    <col min="6922" max="6922" width="16.375" style="526" customWidth="1"/>
    <col min="6923" max="6923" width="14.5" style="526" customWidth="1"/>
    <col min="6924" max="6924" width="11.375" style="526" customWidth="1"/>
    <col min="6925" max="6925" width="17.25" style="526" customWidth="1"/>
    <col min="6926" max="6926" width="10.875" style="526" customWidth="1"/>
    <col min="6927" max="6927" width="43.125" style="526" customWidth="1"/>
    <col min="6928" max="7175" width="11" style="526"/>
    <col min="7176" max="7176" width="23" style="526" customWidth="1"/>
    <col min="7177" max="7177" width="17.375" style="526" customWidth="1"/>
    <col min="7178" max="7178" width="16.375" style="526" customWidth="1"/>
    <col min="7179" max="7179" width="14.5" style="526" customWidth="1"/>
    <col min="7180" max="7180" width="11.375" style="526" customWidth="1"/>
    <col min="7181" max="7181" width="17.25" style="526" customWidth="1"/>
    <col min="7182" max="7182" width="10.875" style="526" customWidth="1"/>
    <col min="7183" max="7183" width="43.125" style="526" customWidth="1"/>
    <col min="7184" max="7431" width="11" style="526"/>
    <col min="7432" max="7432" width="23" style="526" customWidth="1"/>
    <col min="7433" max="7433" width="17.375" style="526" customWidth="1"/>
    <col min="7434" max="7434" width="16.375" style="526" customWidth="1"/>
    <col min="7435" max="7435" width="14.5" style="526" customWidth="1"/>
    <col min="7436" max="7436" width="11.375" style="526" customWidth="1"/>
    <col min="7437" max="7437" width="17.25" style="526" customWidth="1"/>
    <col min="7438" max="7438" width="10.875" style="526" customWidth="1"/>
    <col min="7439" max="7439" width="43.125" style="526" customWidth="1"/>
    <col min="7440" max="7687" width="11" style="526"/>
    <col min="7688" max="7688" width="23" style="526" customWidth="1"/>
    <col min="7689" max="7689" width="17.375" style="526" customWidth="1"/>
    <col min="7690" max="7690" width="16.375" style="526" customWidth="1"/>
    <col min="7691" max="7691" width="14.5" style="526" customWidth="1"/>
    <col min="7692" max="7692" width="11.375" style="526" customWidth="1"/>
    <col min="7693" max="7693" width="17.25" style="526" customWidth="1"/>
    <col min="7694" max="7694" width="10.875" style="526" customWidth="1"/>
    <col min="7695" max="7695" width="43.125" style="526" customWidth="1"/>
    <col min="7696" max="7943" width="11" style="526"/>
    <col min="7944" max="7944" width="23" style="526" customWidth="1"/>
    <col min="7945" max="7945" width="17.375" style="526" customWidth="1"/>
    <col min="7946" max="7946" width="16.375" style="526" customWidth="1"/>
    <col min="7947" max="7947" width="14.5" style="526" customWidth="1"/>
    <col min="7948" max="7948" width="11.375" style="526" customWidth="1"/>
    <col min="7949" max="7949" width="17.25" style="526" customWidth="1"/>
    <col min="7950" max="7950" width="10.875" style="526" customWidth="1"/>
    <col min="7951" max="7951" width="43.125" style="526" customWidth="1"/>
    <col min="7952" max="8199" width="11" style="526"/>
    <col min="8200" max="8200" width="23" style="526" customWidth="1"/>
    <col min="8201" max="8201" width="17.375" style="526" customWidth="1"/>
    <col min="8202" max="8202" width="16.375" style="526" customWidth="1"/>
    <col min="8203" max="8203" width="14.5" style="526" customWidth="1"/>
    <col min="8204" max="8204" width="11.375" style="526" customWidth="1"/>
    <col min="8205" max="8205" width="17.25" style="526" customWidth="1"/>
    <col min="8206" max="8206" width="10.875" style="526" customWidth="1"/>
    <col min="8207" max="8207" width="43.125" style="526" customWidth="1"/>
    <col min="8208" max="8455" width="11" style="526"/>
    <col min="8456" max="8456" width="23" style="526" customWidth="1"/>
    <col min="8457" max="8457" width="17.375" style="526" customWidth="1"/>
    <col min="8458" max="8458" width="16.375" style="526" customWidth="1"/>
    <col min="8459" max="8459" width="14.5" style="526" customWidth="1"/>
    <col min="8460" max="8460" width="11.375" style="526" customWidth="1"/>
    <col min="8461" max="8461" width="17.25" style="526" customWidth="1"/>
    <col min="8462" max="8462" width="10.875" style="526" customWidth="1"/>
    <col min="8463" max="8463" width="43.125" style="526" customWidth="1"/>
    <col min="8464" max="8711" width="11" style="526"/>
    <col min="8712" max="8712" width="23" style="526" customWidth="1"/>
    <col min="8713" max="8713" width="17.375" style="526" customWidth="1"/>
    <col min="8714" max="8714" width="16.375" style="526" customWidth="1"/>
    <col min="8715" max="8715" width="14.5" style="526" customWidth="1"/>
    <col min="8716" max="8716" width="11.375" style="526" customWidth="1"/>
    <col min="8717" max="8717" width="17.25" style="526" customWidth="1"/>
    <col min="8718" max="8718" width="10.875" style="526" customWidth="1"/>
    <col min="8719" max="8719" width="43.125" style="526" customWidth="1"/>
    <col min="8720" max="8967" width="11" style="526"/>
    <col min="8968" max="8968" width="23" style="526" customWidth="1"/>
    <col min="8969" max="8969" width="17.375" style="526" customWidth="1"/>
    <col min="8970" max="8970" width="16.375" style="526" customWidth="1"/>
    <col min="8971" max="8971" width="14.5" style="526" customWidth="1"/>
    <col min="8972" max="8972" width="11.375" style="526" customWidth="1"/>
    <col min="8973" max="8973" width="17.25" style="526" customWidth="1"/>
    <col min="8974" max="8974" width="10.875" style="526" customWidth="1"/>
    <col min="8975" max="8975" width="43.125" style="526" customWidth="1"/>
    <col min="8976" max="9223" width="11" style="526"/>
    <col min="9224" max="9224" width="23" style="526" customWidth="1"/>
    <col min="9225" max="9225" width="17.375" style="526" customWidth="1"/>
    <col min="9226" max="9226" width="16.375" style="526" customWidth="1"/>
    <col min="9227" max="9227" width="14.5" style="526" customWidth="1"/>
    <col min="9228" max="9228" width="11.375" style="526" customWidth="1"/>
    <col min="9229" max="9229" width="17.25" style="526" customWidth="1"/>
    <col min="9230" max="9230" width="10.875" style="526" customWidth="1"/>
    <col min="9231" max="9231" width="43.125" style="526" customWidth="1"/>
    <col min="9232" max="9479" width="11" style="526"/>
    <col min="9480" max="9480" width="23" style="526" customWidth="1"/>
    <col min="9481" max="9481" width="17.375" style="526" customWidth="1"/>
    <col min="9482" max="9482" width="16.375" style="526" customWidth="1"/>
    <col min="9483" max="9483" width="14.5" style="526" customWidth="1"/>
    <col min="9484" max="9484" width="11.375" style="526" customWidth="1"/>
    <col min="9485" max="9485" width="17.25" style="526" customWidth="1"/>
    <col min="9486" max="9486" width="10.875" style="526" customWidth="1"/>
    <col min="9487" max="9487" width="43.125" style="526" customWidth="1"/>
    <col min="9488" max="9735" width="11" style="526"/>
    <col min="9736" max="9736" width="23" style="526" customWidth="1"/>
    <col min="9737" max="9737" width="17.375" style="526" customWidth="1"/>
    <col min="9738" max="9738" width="16.375" style="526" customWidth="1"/>
    <col min="9739" max="9739" width="14.5" style="526" customWidth="1"/>
    <col min="9740" max="9740" width="11.375" style="526" customWidth="1"/>
    <col min="9741" max="9741" width="17.25" style="526" customWidth="1"/>
    <col min="9742" max="9742" width="10.875" style="526" customWidth="1"/>
    <col min="9743" max="9743" width="43.125" style="526" customWidth="1"/>
    <col min="9744" max="9991" width="11" style="526"/>
    <col min="9992" max="9992" width="23" style="526" customWidth="1"/>
    <col min="9993" max="9993" width="17.375" style="526" customWidth="1"/>
    <col min="9994" max="9994" width="16.375" style="526" customWidth="1"/>
    <col min="9995" max="9995" width="14.5" style="526" customWidth="1"/>
    <col min="9996" max="9996" width="11.375" style="526" customWidth="1"/>
    <col min="9997" max="9997" width="17.25" style="526" customWidth="1"/>
    <col min="9998" max="9998" width="10.875" style="526" customWidth="1"/>
    <col min="9999" max="9999" width="43.125" style="526" customWidth="1"/>
    <col min="10000" max="10247" width="11" style="526"/>
    <col min="10248" max="10248" width="23" style="526" customWidth="1"/>
    <col min="10249" max="10249" width="17.375" style="526" customWidth="1"/>
    <col min="10250" max="10250" width="16.375" style="526" customWidth="1"/>
    <col min="10251" max="10251" width="14.5" style="526" customWidth="1"/>
    <col min="10252" max="10252" width="11.375" style="526" customWidth="1"/>
    <col min="10253" max="10253" width="17.25" style="526" customWidth="1"/>
    <col min="10254" max="10254" width="10.875" style="526" customWidth="1"/>
    <col min="10255" max="10255" width="43.125" style="526" customWidth="1"/>
    <col min="10256" max="10503" width="11" style="526"/>
    <col min="10504" max="10504" width="23" style="526" customWidth="1"/>
    <col min="10505" max="10505" width="17.375" style="526" customWidth="1"/>
    <col min="10506" max="10506" width="16.375" style="526" customWidth="1"/>
    <col min="10507" max="10507" width="14.5" style="526" customWidth="1"/>
    <col min="10508" max="10508" width="11.375" style="526" customWidth="1"/>
    <col min="10509" max="10509" width="17.25" style="526" customWidth="1"/>
    <col min="10510" max="10510" width="10.875" style="526" customWidth="1"/>
    <col min="10511" max="10511" width="43.125" style="526" customWidth="1"/>
    <col min="10512" max="10759" width="11" style="526"/>
    <col min="10760" max="10760" width="23" style="526" customWidth="1"/>
    <col min="10761" max="10761" width="17.375" style="526" customWidth="1"/>
    <col min="10762" max="10762" width="16.375" style="526" customWidth="1"/>
    <col min="10763" max="10763" width="14.5" style="526" customWidth="1"/>
    <col min="10764" max="10764" width="11.375" style="526" customWidth="1"/>
    <col min="10765" max="10765" width="17.25" style="526" customWidth="1"/>
    <col min="10766" max="10766" width="10.875" style="526" customWidth="1"/>
    <col min="10767" max="10767" width="43.125" style="526" customWidth="1"/>
    <col min="10768" max="11015" width="11" style="526"/>
    <col min="11016" max="11016" width="23" style="526" customWidth="1"/>
    <col min="11017" max="11017" width="17.375" style="526" customWidth="1"/>
    <col min="11018" max="11018" width="16.375" style="526" customWidth="1"/>
    <col min="11019" max="11019" width="14.5" style="526" customWidth="1"/>
    <col min="11020" max="11020" width="11.375" style="526" customWidth="1"/>
    <col min="11021" max="11021" width="17.25" style="526" customWidth="1"/>
    <col min="11022" max="11022" width="10.875" style="526" customWidth="1"/>
    <col min="11023" max="11023" width="43.125" style="526" customWidth="1"/>
    <col min="11024" max="11271" width="11" style="526"/>
    <col min="11272" max="11272" width="23" style="526" customWidth="1"/>
    <col min="11273" max="11273" width="17.375" style="526" customWidth="1"/>
    <col min="11274" max="11274" width="16.375" style="526" customWidth="1"/>
    <col min="11275" max="11275" width="14.5" style="526" customWidth="1"/>
    <col min="11276" max="11276" width="11.375" style="526" customWidth="1"/>
    <col min="11277" max="11277" width="17.25" style="526" customWidth="1"/>
    <col min="11278" max="11278" width="10.875" style="526" customWidth="1"/>
    <col min="11279" max="11279" width="43.125" style="526" customWidth="1"/>
    <col min="11280" max="11527" width="11" style="526"/>
    <col min="11528" max="11528" width="23" style="526" customWidth="1"/>
    <col min="11529" max="11529" width="17.375" style="526" customWidth="1"/>
    <col min="11530" max="11530" width="16.375" style="526" customWidth="1"/>
    <col min="11531" max="11531" width="14.5" style="526" customWidth="1"/>
    <col min="11532" max="11532" width="11.375" style="526" customWidth="1"/>
    <col min="11533" max="11533" width="17.25" style="526" customWidth="1"/>
    <col min="11534" max="11534" width="10.875" style="526" customWidth="1"/>
    <col min="11535" max="11535" width="43.125" style="526" customWidth="1"/>
    <col min="11536" max="11783" width="11" style="526"/>
    <col min="11784" max="11784" width="23" style="526" customWidth="1"/>
    <col min="11785" max="11785" width="17.375" style="526" customWidth="1"/>
    <col min="11786" max="11786" width="16.375" style="526" customWidth="1"/>
    <col min="11787" max="11787" width="14.5" style="526" customWidth="1"/>
    <col min="11788" max="11788" width="11.375" style="526" customWidth="1"/>
    <col min="11789" max="11789" width="17.25" style="526" customWidth="1"/>
    <col min="11790" max="11790" width="10.875" style="526" customWidth="1"/>
    <col min="11791" max="11791" width="43.125" style="526" customWidth="1"/>
    <col min="11792" max="12039" width="11" style="526"/>
    <col min="12040" max="12040" width="23" style="526" customWidth="1"/>
    <col min="12041" max="12041" width="17.375" style="526" customWidth="1"/>
    <col min="12042" max="12042" width="16.375" style="526" customWidth="1"/>
    <col min="12043" max="12043" width="14.5" style="526" customWidth="1"/>
    <col min="12044" max="12044" width="11.375" style="526" customWidth="1"/>
    <col min="12045" max="12045" width="17.25" style="526" customWidth="1"/>
    <col min="12046" max="12046" width="10.875" style="526" customWidth="1"/>
    <col min="12047" max="12047" width="43.125" style="526" customWidth="1"/>
    <col min="12048" max="12295" width="11" style="526"/>
    <col min="12296" max="12296" width="23" style="526" customWidth="1"/>
    <col min="12297" max="12297" width="17.375" style="526" customWidth="1"/>
    <col min="12298" max="12298" width="16.375" style="526" customWidth="1"/>
    <col min="12299" max="12299" width="14.5" style="526" customWidth="1"/>
    <col min="12300" max="12300" width="11.375" style="526" customWidth="1"/>
    <col min="12301" max="12301" width="17.25" style="526" customWidth="1"/>
    <col min="12302" max="12302" width="10.875" style="526" customWidth="1"/>
    <col min="12303" max="12303" width="43.125" style="526" customWidth="1"/>
    <col min="12304" max="12551" width="11" style="526"/>
    <col min="12552" max="12552" width="23" style="526" customWidth="1"/>
    <col min="12553" max="12553" width="17.375" style="526" customWidth="1"/>
    <col min="12554" max="12554" width="16.375" style="526" customWidth="1"/>
    <col min="12555" max="12555" width="14.5" style="526" customWidth="1"/>
    <col min="12556" max="12556" width="11.375" style="526" customWidth="1"/>
    <col min="12557" max="12557" width="17.25" style="526" customWidth="1"/>
    <col min="12558" max="12558" width="10.875" style="526" customWidth="1"/>
    <col min="12559" max="12559" width="43.125" style="526" customWidth="1"/>
    <col min="12560" max="12807" width="11" style="526"/>
    <col min="12808" max="12808" width="23" style="526" customWidth="1"/>
    <col min="12809" max="12809" width="17.375" style="526" customWidth="1"/>
    <col min="12810" max="12810" width="16.375" style="526" customWidth="1"/>
    <col min="12811" max="12811" width="14.5" style="526" customWidth="1"/>
    <col min="12812" max="12812" width="11.375" style="526" customWidth="1"/>
    <col min="12813" max="12813" width="17.25" style="526" customWidth="1"/>
    <col min="12814" max="12814" width="10.875" style="526" customWidth="1"/>
    <col min="12815" max="12815" width="43.125" style="526" customWidth="1"/>
    <col min="12816" max="13063" width="11" style="526"/>
    <col min="13064" max="13064" width="23" style="526" customWidth="1"/>
    <col min="13065" max="13065" width="17.375" style="526" customWidth="1"/>
    <col min="13066" max="13066" width="16.375" style="526" customWidth="1"/>
    <col min="13067" max="13067" width="14.5" style="526" customWidth="1"/>
    <col min="13068" max="13068" width="11.375" style="526" customWidth="1"/>
    <col min="13069" max="13069" width="17.25" style="526" customWidth="1"/>
    <col min="13070" max="13070" width="10.875" style="526" customWidth="1"/>
    <col min="13071" max="13071" width="43.125" style="526" customWidth="1"/>
    <col min="13072" max="13319" width="11" style="526"/>
    <col min="13320" max="13320" width="23" style="526" customWidth="1"/>
    <col min="13321" max="13321" width="17.375" style="526" customWidth="1"/>
    <col min="13322" max="13322" width="16.375" style="526" customWidth="1"/>
    <col min="13323" max="13323" width="14.5" style="526" customWidth="1"/>
    <col min="13324" max="13324" width="11.375" style="526" customWidth="1"/>
    <col min="13325" max="13325" width="17.25" style="526" customWidth="1"/>
    <col min="13326" max="13326" width="10.875" style="526" customWidth="1"/>
    <col min="13327" max="13327" width="43.125" style="526" customWidth="1"/>
    <col min="13328" max="13575" width="11" style="526"/>
    <col min="13576" max="13576" width="23" style="526" customWidth="1"/>
    <col min="13577" max="13577" width="17.375" style="526" customWidth="1"/>
    <col min="13578" max="13578" width="16.375" style="526" customWidth="1"/>
    <col min="13579" max="13579" width="14.5" style="526" customWidth="1"/>
    <col min="13580" max="13580" width="11.375" style="526" customWidth="1"/>
    <col min="13581" max="13581" width="17.25" style="526" customWidth="1"/>
    <col min="13582" max="13582" width="10.875" style="526" customWidth="1"/>
    <col min="13583" max="13583" width="43.125" style="526" customWidth="1"/>
    <col min="13584" max="13831" width="11" style="526"/>
    <col min="13832" max="13832" width="23" style="526" customWidth="1"/>
    <col min="13833" max="13833" width="17.375" style="526" customWidth="1"/>
    <col min="13834" max="13834" width="16.375" style="526" customWidth="1"/>
    <col min="13835" max="13835" width="14.5" style="526" customWidth="1"/>
    <col min="13836" max="13836" width="11.375" style="526" customWidth="1"/>
    <col min="13837" max="13837" width="17.25" style="526" customWidth="1"/>
    <col min="13838" max="13838" width="10.875" style="526" customWidth="1"/>
    <col min="13839" max="13839" width="43.125" style="526" customWidth="1"/>
    <col min="13840" max="14087" width="11" style="526"/>
    <col min="14088" max="14088" width="23" style="526" customWidth="1"/>
    <col min="14089" max="14089" width="17.375" style="526" customWidth="1"/>
    <col min="14090" max="14090" width="16.375" style="526" customWidth="1"/>
    <col min="14091" max="14091" width="14.5" style="526" customWidth="1"/>
    <col min="14092" max="14092" width="11.375" style="526" customWidth="1"/>
    <col min="14093" max="14093" width="17.25" style="526" customWidth="1"/>
    <col min="14094" max="14094" width="10.875" style="526" customWidth="1"/>
    <col min="14095" max="14095" width="43.125" style="526" customWidth="1"/>
    <col min="14096" max="14343" width="11" style="526"/>
    <col min="14344" max="14344" width="23" style="526" customWidth="1"/>
    <col min="14345" max="14345" width="17.375" style="526" customWidth="1"/>
    <col min="14346" max="14346" width="16.375" style="526" customWidth="1"/>
    <col min="14347" max="14347" width="14.5" style="526" customWidth="1"/>
    <col min="14348" max="14348" width="11.375" style="526" customWidth="1"/>
    <col min="14349" max="14349" width="17.25" style="526" customWidth="1"/>
    <col min="14350" max="14350" width="10.875" style="526" customWidth="1"/>
    <col min="14351" max="14351" width="43.125" style="526" customWidth="1"/>
    <col min="14352" max="14599" width="11" style="526"/>
    <col min="14600" max="14600" width="23" style="526" customWidth="1"/>
    <col min="14601" max="14601" width="17.375" style="526" customWidth="1"/>
    <col min="14602" max="14602" width="16.375" style="526" customWidth="1"/>
    <col min="14603" max="14603" width="14.5" style="526" customWidth="1"/>
    <col min="14604" max="14604" width="11.375" style="526" customWidth="1"/>
    <col min="14605" max="14605" width="17.25" style="526" customWidth="1"/>
    <col min="14606" max="14606" width="10.875" style="526" customWidth="1"/>
    <col min="14607" max="14607" width="43.125" style="526" customWidth="1"/>
    <col min="14608" max="14855" width="11" style="526"/>
    <col min="14856" max="14856" width="23" style="526" customWidth="1"/>
    <col min="14857" max="14857" width="17.375" style="526" customWidth="1"/>
    <col min="14858" max="14858" width="16.375" style="526" customWidth="1"/>
    <col min="14859" max="14859" width="14.5" style="526" customWidth="1"/>
    <col min="14860" max="14860" width="11.375" style="526" customWidth="1"/>
    <col min="14861" max="14861" width="17.25" style="526" customWidth="1"/>
    <col min="14862" max="14862" width="10.875" style="526" customWidth="1"/>
    <col min="14863" max="14863" width="43.125" style="526" customWidth="1"/>
    <col min="14864" max="15111" width="11" style="526"/>
    <col min="15112" max="15112" width="23" style="526" customWidth="1"/>
    <col min="15113" max="15113" width="17.375" style="526" customWidth="1"/>
    <col min="15114" max="15114" width="16.375" style="526" customWidth="1"/>
    <col min="15115" max="15115" width="14.5" style="526" customWidth="1"/>
    <col min="15116" max="15116" width="11.375" style="526" customWidth="1"/>
    <col min="15117" max="15117" width="17.25" style="526" customWidth="1"/>
    <col min="15118" max="15118" width="10.875" style="526" customWidth="1"/>
    <col min="15119" max="15119" width="43.125" style="526" customWidth="1"/>
    <col min="15120" max="15367" width="11" style="526"/>
    <col min="15368" max="15368" width="23" style="526" customWidth="1"/>
    <col min="15369" max="15369" width="17.375" style="526" customWidth="1"/>
    <col min="15370" max="15370" width="16.375" style="526" customWidth="1"/>
    <col min="15371" max="15371" width="14.5" style="526" customWidth="1"/>
    <col min="15372" max="15372" width="11.375" style="526" customWidth="1"/>
    <col min="15373" max="15373" width="17.25" style="526" customWidth="1"/>
    <col min="15374" max="15374" width="10.875" style="526" customWidth="1"/>
    <col min="15375" max="15375" width="43.125" style="526" customWidth="1"/>
    <col min="15376" max="15623" width="11" style="526"/>
    <col min="15624" max="15624" width="23" style="526" customWidth="1"/>
    <col min="15625" max="15625" width="17.375" style="526" customWidth="1"/>
    <col min="15626" max="15626" width="16.375" style="526" customWidth="1"/>
    <col min="15627" max="15627" width="14.5" style="526" customWidth="1"/>
    <col min="15628" max="15628" width="11.375" style="526" customWidth="1"/>
    <col min="15629" max="15629" width="17.25" style="526" customWidth="1"/>
    <col min="15630" max="15630" width="10.875" style="526" customWidth="1"/>
    <col min="15631" max="15631" width="43.125" style="526" customWidth="1"/>
    <col min="15632" max="15879" width="11" style="526"/>
    <col min="15880" max="15880" width="23" style="526" customWidth="1"/>
    <col min="15881" max="15881" width="17.375" style="526" customWidth="1"/>
    <col min="15882" max="15882" width="16.375" style="526" customWidth="1"/>
    <col min="15883" max="15883" width="14.5" style="526" customWidth="1"/>
    <col min="15884" max="15884" width="11.375" style="526" customWidth="1"/>
    <col min="15885" max="15885" width="17.25" style="526" customWidth="1"/>
    <col min="15886" max="15886" width="10.875" style="526" customWidth="1"/>
    <col min="15887" max="15887" width="43.125" style="526" customWidth="1"/>
    <col min="15888" max="16135" width="11" style="526"/>
    <col min="16136" max="16136" width="23" style="526" customWidth="1"/>
    <col min="16137" max="16137" width="17.375" style="526" customWidth="1"/>
    <col min="16138" max="16138" width="16.375" style="526" customWidth="1"/>
    <col min="16139" max="16139" width="14.5" style="526" customWidth="1"/>
    <col min="16140" max="16140" width="11.375" style="526" customWidth="1"/>
    <col min="16141" max="16141" width="17.25" style="526" customWidth="1"/>
    <col min="16142" max="16142" width="10.875" style="526" customWidth="1"/>
    <col min="16143" max="16143" width="43.125" style="526" customWidth="1"/>
    <col min="16144" max="16384" width="11" style="526"/>
  </cols>
  <sheetData>
    <row r="1" spans="1:17" ht="99.75" customHeight="1">
      <c r="A1" s="517" t="s">
        <v>419</v>
      </c>
      <c r="B1" s="518" t="s">
        <v>420</v>
      </c>
      <c r="C1" s="518" t="s">
        <v>421</v>
      </c>
      <c r="D1" s="519" t="s">
        <v>845</v>
      </c>
      <c r="E1" s="519" t="s">
        <v>846</v>
      </c>
      <c r="F1" s="519" t="s">
        <v>847</v>
      </c>
      <c r="G1" s="519" t="s">
        <v>848</v>
      </c>
      <c r="H1" s="519" t="s">
        <v>849</v>
      </c>
      <c r="I1" s="519" t="s">
        <v>850</v>
      </c>
      <c r="J1" s="519" t="s">
        <v>852</v>
      </c>
      <c r="K1" s="519" t="s">
        <v>853</v>
      </c>
      <c r="L1" s="520" t="s">
        <v>851</v>
      </c>
      <c r="M1" s="521" t="s">
        <v>422</v>
      </c>
      <c r="N1" s="522" t="s">
        <v>880</v>
      </c>
      <c r="O1" s="523" t="s">
        <v>861</v>
      </c>
      <c r="P1" s="524" t="s">
        <v>423</v>
      </c>
      <c r="Q1" s="525" t="s">
        <v>424</v>
      </c>
    </row>
    <row r="2" spans="1:17" ht="14.25" customHeight="1">
      <c r="A2" s="527">
        <v>1321648522</v>
      </c>
      <c r="B2" s="528">
        <v>43101</v>
      </c>
      <c r="C2" s="529">
        <v>43131</v>
      </c>
      <c r="D2" s="530">
        <f>SUMIFS('HORAS TRABAJADAS'!G$1:G$65538,'HORAS TRABAJADAS'!A$1:A$65538,A2,'HORAS TRABAJADAS'!B$1:B$65538,"&gt;="&amp;B2,'HORAS TRABAJADAS'!B$1:B$65538,"&lt;="&amp;C2)</f>
        <v>8</v>
      </c>
      <c r="E2" s="531">
        <f>SUMIFS('HORAS TRABAJADAS'!H:H,'HORAS TRABAJADAS'!A:A,A2,'HORAS TRABAJADAS'!B:B,"&gt;="&amp;B2,'HORAS TRABAJADAS'!B:B,"&lt;="&amp;C2)</f>
        <v>0</v>
      </c>
      <c r="F2" s="531">
        <f>SUMIFS('HORAS TRABAJADAS'!I:I,'HORAS TRABAJADAS'!A:A,A2,'HORAS TRABAJADAS'!B:B,"&gt;="&amp;B2,'HORAS TRABAJADAS'!B:B,"&lt;="&amp;C2)</f>
        <v>3</v>
      </c>
      <c r="G2" s="531">
        <f>SUMIFS('HORAS TRABAJADAS'!J:J,'HORAS TRABAJADAS'!A:A,A2,'HORAS TRABAJADAS'!B:B,"&gt;="&amp;B2,'HORAS TRABAJADAS'!B:B,"&lt;="&amp;C2)</f>
        <v>0</v>
      </c>
      <c r="H2" s="531">
        <f>SUMIFS('HORAS TRABAJADAS'!K:K,'HORAS TRABAJADAS'!A:A,A2,'HORAS TRABAJADAS'!B:B,"&gt;="&amp;B2,'HORAS TRABAJADAS'!B:B,"&lt;="&amp;C2)</f>
        <v>0</v>
      </c>
      <c r="I2" s="531">
        <f>SUMIFS('HORAS TRABAJADAS'!L:L,'HORAS TRABAJADAS'!A:A,A2,'HORAS TRABAJADAS'!B:B,"&gt;="&amp;B2,'HORAS TRABAJADAS'!B:B,"&lt;="&amp;C2)</f>
        <v>0</v>
      </c>
      <c r="J2" s="531">
        <f>SUMIFS('HORAS TRABAJADAS'!M:M,'HORAS TRABAJADAS'!A:A,A2,'HORAS TRABAJADAS'!B:B,"&gt;="&amp;B2,'HORAS TRABAJADAS'!B:B,"&lt;="&amp;C2)</f>
        <v>0</v>
      </c>
      <c r="K2" s="532">
        <f>SUMIFS('HORAS TRABAJADAS'!N:N,'HORAS TRABAJADAS'!A:A,A2,'HORAS TRABAJADAS'!B:B,"&gt;="&amp;B2,'HORAS TRABAJADAS'!B:B,"&lt;="&amp;C2)</f>
        <v>0</v>
      </c>
      <c r="L2" s="533" t="str">
        <f>INT(CONVERT(M2,"mn","hr"))&amp;" horas y "&amp;MOD(M2,60)&amp;" minutos"</f>
        <v>10 horas y 0 minutos</v>
      </c>
      <c r="M2" s="534">
        <f>SUMIFS('HORAS TRABAJADAS'!Q:Q,'HORAS TRABAJADAS'!A:A,A2,'HORAS TRABAJADAS'!B:B,"&gt;="&amp;B2,'HORAS TRABAJADAS'!B:B,"&lt;="&amp;C2)</f>
        <v>600</v>
      </c>
      <c r="N2" s="535">
        <f>SUM(F2,G2,J2,K2)*60</f>
        <v>180</v>
      </c>
      <c r="O2" s="847" t="s">
        <v>18</v>
      </c>
      <c r="P2" s="847"/>
      <c r="Q2" s="536"/>
    </row>
    <row r="3" spans="1:17">
      <c r="A3" s="527">
        <v>1323384207</v>
      </c>
      <c r="B3" s="528">
        <v>43101</v>
      </c>
      <c r="C3" s="529">
        <v>43131</v>
      </c>
      <c r="D3" s="537">
        <f>SUMIFS('HORAS TRABAJADAS'!G$1:G$65538,'HORAS TRABAJADAS'!A$1:A$65538,A3,'HORAS TRABAJADAS'!B$1:B$65538,"&gt;="&amp;B3,'HORAS TRABAJADAS'!B$1:B$65538,"&lt;="&amp;C3)</f>
        <v>15</v>
      </c>
      <c r="E3" s="538">
        <f>SUMIFS('HORAS TRABAJADAS'!H:H,'HORAS TRABAJADAS'!A:A,A3,'HORAS TRABAJADAS'!B:B,"&gt;="&amp;B3,'HORAS TRABAJADAS'!B:B,"&lt;="&amp;C3)</f>
        <v>0</v>
      </c>
      <c r="F3" s="538">
        <f>SUMIFS('HORAS TRABAJADAS'!I:I,'HORAS TRABAJADAS'!A:A,A3,'HORAS TRABAJADAS'!B:B,"&gt;="&amp;B3,'HORAS TRABAJADAS'!B:B,"&lt;="&amp;C3)</f>
        <v>1</v>
      </c>
      <c r="G3" s="538">
        <f>SUMIFS('HORAS TRABAJADAS'!J:J,'HORAS TRABAJADAS'!A:A,A3,'HORAS TRABAJADAS'!B:B,"&gt;="&amp;B3,'HORAS TRABAJADAS'!B:B,"&lt;="&amp;C3)</f>
        <v>0</v>
      </c>
      <c r="H3" s="538">
        <f>SUMIFS('HORAS TRABAJADAS'!K:K,'HORAS TRABAJADAS'!A:A,A3,'HORAS TRABAJADAS'!B:B,"&gt;="&amp;B3,'HORAS TRABAJADAS'!B:B,"&lt;="&amp;C3)</f>
        <v>0</v>
      </c>
      <c r="I3" s="538">
        <f>SUMIFS('HORAS TRABAJADAS'!L:L,'HORAS TRABAJADAS'!A:A,A3,'HORAS TRABAJADAS'!B:B,"&gt;="&amp;B3,'HORAS TRABAJADAS'!B:B,"&lt;="&amp;C3)</f>
        <v>0</v>
      </c>
      <c r="J3" s="538">
        <f>SUMIFS('HORAS TRABAJADAS'!M:M,'HORAS TRABAJADAS'!A:A,A3,'HORAS TRABAJADAS'!B:B,"&gt;="&amp;B3,'HORAS TRABAJADAS'!B:B,"&lt;="&amp;C3)</f>
        <v>0</v>
      </c>
      <c r="K3" s="539">
        <f>SUMIFS('HORAS TRABAJADAS'!N:N,'HORAS TRABAJADAS'!A:A,A3,'HORAS TRABAJADAS'!B:B,"&gt;="&amp;B3,'HORAS TRABAJADAS'!B:B,"&lt;="&amp;C3)</f>
        <v>0</v>
      </c>
      <c r="L3" s="533" t="str">
        <f t="shared" ref="L3:L11" si="0">INT(CONVERT(M3,"mn","hr"))&amp;" horas y "&amp;MOD(M3,60)&amp;" minutos"</f>
        <v>14 horas y 0 minutos</v>
      </c>
      <c r="M3" s="534">
        <f>SUMIFS('HORAS TRABAJADAS'!Q:Q,'HORAS TRABAJADAS'!A:A,A3,'HORAS TRABAJADAS'!B:B,"&gt;="&amp;B3,'HORAS TRABAJADAS'!B:B,"&lt;="&amp;C3)</f>
        <v>840</v>
      </c>
      <c r="N3" s="535">
        <f t="shared" ref="N3:N66" si="1">SUM(F3,G3,J3,K3)*60</f>
        <v>60</v>
      </c>
      <c r="O3" s="848" t="s">
        <v>17</v>
      </c>
      <c r="P3" s="848"/>
      <c r="Q3" s="536"/>
    </row>
    <row r="4" spans="1:17">
      <c r="A4" s="527">
        <v>1237462775</v>
      </c>
      <c r="B4" s="528">
        <v>43101</v>
      </c>
      <c r="C4" s="529">
        <v>43131</v>
      </c>
      <c r="D4" s="537">
        <f>SUMIFS('HORAS TRABAJADAS'!G$1:G$65538,'HORAS TRABAJADAS'!A$1:A$65538,A4,'HORAS TRABAJADAS'!B$1:B$65538,"&gt;="&amp;B4,'HORAS TRABAJADAS'!B$1:B$65538,"&lt;="&amp;C4)</f>
        <v>8</v>
      </c>
      <c r="E4" s="538">
        <f>SUMIFS('HORAS TRABAJADAS'!H:H,'HORAS TRABAJADAS'!A:A,A4,'HORAS TRABAJADAS'!B:B,"&gt;="&amp;B4,'HORAS TRABAJADAS'!B:B,"&lt;="&amp;C4)</f>
        <v>0</v>
      </c>
      <c r="F4" s="538">
        <f>SUMIFS('HORAS TRABAJADAS'!I:I,'HORAS TRABAJADAS'!A:A,A4,'HORAS TRABAJADAS'!B:B,"&gt;="&amp;B4,'HORAS TRABAJADAS'!B:B,"&lt;="&amp;C4)</f>
        <v>1</v>
      </c>
      <c r="G4" s="538">
        <f>SUMIFS('HORAS TRABAJADAS'!J:J,'HORAS TRABAJADAS'!A:A,A4,'HORAS TRABAJADAS'!B:B,"&gt;="&amp;B4,'HORAS TRABAJADAS'!B:B,"&lt;="&amp;C4)</f>
        <v>0</v>
      </c>
      <c r="H4" s="538">
        <f>SUMIFS('HORAS TRABAJADAS'!K:K,'HORAS TRABAJADAS'!A:A,A4,'HORAS TRABAJADAS'!B:B,"&gt;="&amp;B4,'HORAS TRABAJADAS'!B:B,"&lt;="&amp;C4)</f>
        <v>0</v>
      </c>
      <c r="I4" s="538">
        <f>SUMIFS('HORAS TRABAJADAS'!L:L,'HORAS TRABAJADAS'!A:A,A4,'HORAS TRABAJADAS'!B:B,"&gt;="&amp;B4,'HORAS TRABAJADAS'!B:B,"&lt;="&amp;C4)</f>
        <v>0</v>
      </c>
      <c r="J4" s="538">
        <f>SUMIFS('HORAS TRABAJADAS'!M:M,'HORAS TRABAJADAS'!A:A,A4,'HORAS TRABAJADAS'!B:B,"&gt;="&amp;B4,'HORAS TRABAJADAS'!B:B,"&lt;="&amp;C4)</f>
        <v>0</v>
      </c>
      <c r="K4" s="539">
        <f>SUMIFS('HORAS TRABAJADAS'!N:N,'HORAS TRABAJADAS'!A:A,A4,'HORAS TRABAJADAS'!B:B,"&gt;="&amp;B4,'HORAS TRABAJADAS'!B:B,"&lt;="&amp;C4)</f>
        <v>0</v>
      </c>
      <c r="L4" s="533" t="str">
        <f t="shared" si="0"/>
        <v>8 horas y 20 minutos</v>
      </c>
      <c r="M4" s="534">
        <f>SUMIFS('HORAS TRABAJADAS'!Q:Q,'HORAS TRABAJADAS'!A:A,A4,'HORAS TRABAJADAS'!B:B,"&gt;="&amp;B4,'HORAS TRABAJADAS'!B:B,"&lt;="&amp;C4)</f>
        <v>500</v>
      </c>
      <c r="N4" s="535">
        <f t="shared" si="1"/>
        <v>60</v>
      </c>
      <c r="O4" s="848" t="s">
        <v>1029</v>
      </c>
      <c r="P4" s="848"/>
      <c r="Q4" s="536"/>
    </row>
    <row r="5" spans="1:17">
      <c r="A5" s="527">
        <v>1285748000</v>
      </c>
      <c r="B5" s="528">
        <v>43101</v>
      </c>
      <c r="C5" s="529">
        <v>43131</v>
      </c>
      <c r="D5" s="537">
        <f>SUMIFS('HORAS TRABAJADAS'!G$1:G$65538,'HORAS TRABAJADAS'!A$1:A$65538,A5,'HORAS TRABAJADAS'!B$1:B$65538,"&gt;="&amp;B5,'HORAS TRABAJADAS'!B$1:B$65538,"&lt;="&amp;C5)</f>
        <v>4</v>
      </c>
      <c r="E5" s="538">
        <f>SUMIFS('HORAS TRABAJADAS'!H:H,'HORAS TRABAJADAS'!A:A,A5,'HORAS TRABAJADAS'!B:B,"&gt;="&amp;B5,'HORAS TRABAJADAS'!B:B,"&lt;="&amp;C5)</f>
        <v>4</v>
      </c>
      <c r="F5" s="538">
        <f>SUMIFS('HORAS TRABAJADAS'!I:I,'HORAS TRABAJADAS'!A:A,A5,'HORAS TRABAJADAS'!B:B,"&gt;="&amp;B5,'HORAS TRABAJADAS'!B:B,"&lt;="&amp;C5)</f>
        <v>0</v>
      </c>
      <c r="G5" s="538">
        <f>SUMIFS('HORAS TRABAJADAS'!J:J,'HORAS TRABAJADAS'!A:A,A5,'HORAS TRABAJADAS'!B:B,"&gt;="&amp;B5,'HORAS TRABAJADAS'!B:B,"&lt;="&amp;C5)</f>
        <v>0</v>
      </c>
      <c r="H5" s="538">
        <f>SUMIFS('HORAS TRABAJADAS'!K:K,'HORAS TRABAJADAS'!A:A,A5,'HORAS TRABAJADAS'!B:B,"&gt;="&amp;B5,'HORAS TRABAJADAS'!B:B,"&lt;="&amp;C5)</f>
        <v>0</v>
      </c>
      <c r="I5" s="538">
        <f>SUMIFS('HORAS TRABAJADAS'!L:L,'HORAS TRABAJADAS'!A:A,A5,'HORAS TRABAJADAS'!B:B,"&gt;="&amp;B5,'HORAS TRABAJADAS'!B:B,"&lt;="&amp;C5)</f>
        <v>0</v>
      </c>
      <c r="J5" s="538">
        <f>SUMIFS('HORAS TRABAJADAS'!M:M,'HORAS TRABAJADAS'!A:A,A5,'HORAS TRABAJADAS'!B:B,"&gt;="&amp;B5,'HORAS TRABAJADAS'!B:B,"&lt;="&amp;C5)</f>
        <v>0</v>
      </c>
      <c r="K5" s="539">
        <f>SUMIFS('HORAS TRABAJADAS'!N:N,'HORAS TRABAJADAS'!A:A,A5,'HORAS TRABAJADAS'!B:B,"&gt;="&amp;B5,'HORAS TRABAJADAS'!B:B,"&lt;="&amp;C5)</f>
        <v>0</v>
      </c>
      <c r="L5" s="533" t="str">
        <f t="shared" si="0"/>
        <v>7 horas y 20 minutos</v>
      </c>
      <c r="M5" s="534">
        <f>SUMIFS('HORAS TRABAJADAS'!Q:Q,'HORAS TRABAJADAS'!A:A,A5,'HORAS TRABAJADAS'!B:B,"&gt;="&amp;B5,'HORAS TRABAJADAS'!B:B,"&lt;="&amp;C5)</f>
        <v>440</v>
      </c>
      <c r="N5" s="535">
        <f t="shared" si="1"/>
        <v>0</v>
      </c>
      <c r="O5" s="848" t="s">
        <v>1030</v>
      </c>
      <c r="P5" s="848"/>
    </row>
    <row r="6" spans="1:17">
      <c r="A6" s="527">
        <v>1247550875</v>
      </c>
      <c r="B6" s="528">
        <v>43101</v>
      </c>
      <c r="C6" s="529">
        <v>43131</v>
      </c>
      <c r="D6" s="537">
        <f>SUMIFS('HORAS TRABAJADAS'!G$1:G$65538,'HORAS TRABAJADAS'!A$1:A$65538,A6,'HORAS TRABAJADAS'!B$1:B$65538,"&gt;="&amp;B6,'HORAS TRABAJADAS'!B$1:B$65538,"&lt;="&amp;C6)</f>
        <v>16</v>
      </c>
      <c r="E6" s="538">
        <f>SUMIFS('HORAS TRABAJADAS'!H:H,'HORAS TRABAJADAS'!A:A,A6,'HORAS TRABAJADAS'!B:B,"&gt;="&amp;B6,'HORAS TRABAJADAS'!B:B,"&lt;="&amp;C6)</f>
        <v>0</v>
      </c>
      <c r="F6" s="538">
        <f>SUMIFS('HORAS TRABAJADAS'!I:I,'HORAS TRABAJADAS'!A:A,A6,'HORAS TRABAJADAS'!B:B,"&gt;="&amp;B6,'HORAS TRABAJADAS'!B:B,"&lt;="&amp;C6)</f>
        <v>2</v>
      </c>
      <c r="G6" s="538">
        <f>SUMIFS('HORAS TRABAJADAS'!J:J,'HORAS TRABAJADAS'!A:A,A6,'HORAS TRABAJADAS'!B:B,"&gt;="&amp;B6,'HORAS TRABAJADAS'!B:B,"&lt;="&amp;C6)</f>
        <v>0</v>
      </c>
      <c r="H6" s="538">
        <f>SUMIFS('HORAS TRABAJADAS'!K:K,'HORAS TRABAJADAS'!A:A,A6,'HORAS TRABAJADAS'!B:B,"&gt;="&amp;B6,'HORAS TRABAJADAS'!B:B,"&lt;="&amp;C6)</f>
        <v>0</v>
      </c>
      <c r="I6" s="538">
        <f>SUMIFS('HORAS TRABAJADAS'!L:L,'HORAS TRABAJADAS'!A:A,A6,'HORAS TRABAJADAS'!B:B,"&gt;="&amp;B6,'HORAS TRABAJADAS'!B:B,"&lt;="&amp;C6)</f>
        <v>0</v>
      </c>
      <c r="J6" s="538">
        <f>SUMIFS('HORAS TRABAJADAS'!M:M,'HORAS TRABAJADAS'!A:A,A6,'HORAS TRABAJADAS'!B:B,"&gt;="&amp;B6,'HORAS TRABAJADAS'!B:B,"&lt;="&amp;C6)</f>
        <v>0</v>
      </c>
      <c r="K6" s="539">
        <f>SUMIFS('HORAS TRABAJADAS'!N:N,'HORAS TRABAJADAS'!A:A,A6,'HORAS TRABAJADAS'!B:B,"&gt;="&amp;B6,'HORAS TRABAJADAS'!B:B,"&lt;="&amp;C6)</f>
        <v>0</v>
      </c>
      <c r="L6" s="533" t="str">
        <f t="shared" si="0"/>
        <v>16 horas y 0 minutos</v>
      </c>
      <c r="M6" s="534">
        <f>SUMIFS('HORAS TRABAJADAS'!Q:Q,'HORAS TRABAJADAS'!A:A,A6,'HORAS TRABAJADAS'!B:B,"&gt;="&amp;B6,'HORAS TRABAJADAS'!B:B,"&lt;="&amp;C6)</f>
        <v>960</v>
      </c>
      <c r="N6" s="535">
        <f t="shared" si="1"/>
        <v>120</v>
      </c>
    </row>
    <row r="7" spans="1:17">
      <c r="A7" s="527">
        <v>1311966071</v>
      </c>
      <c r="B7" s="528">
        <v>43101</v>
      </c>
      <c r="C7" s="529">
        <v>43131</v>
      </c>
      <c r="D7" s="537">
        <f>SUMIFS('HORAS TRABAJADAS'!G$1:G$65538,'HORAS TRABAJADAS'!A$1:A$65538,A7,'HORAS TRABAJADAS'!B$1:B$65538,"&gt;="&amp;B7,'HORAS TRABAJADAS'!B$1:B$65538,"&lt;="&amp;C7)</f>
        <v>8</v>
      </c>
      <c r="E7" s="538">
        <f>SUMIFS('HORAS TRABAJADAS'!H:H,'HORAS TRABAJADAS'!A:A,A7,'HORAS TRABAJADAS'!B:B,"&gt;="&amp;B7,'HORAS TRABAJADAS'!B:B,"&lt;="&amp;C7)</f>
        <v>0</v>
      </c>
      <c r="F7" s="538">
        <f>SUMIFS('HORAS TRABAJADAS'!I:I,'HORAS TRABAJADAS'!A:A,A7,'HORAS TRABAJADAS'!B:B,"&gt;="&amp;B7,'HORAS TRABAJADAS'!B:B,"&lt;="&amp;C7)</f>
        <v>1</v>
      </c>
      <c r="G7" s="538">
        <f>SUMIFS('HORAS TRABAJADAS'!J:J,'HORAS TRABAJADAS'!A:A,A7,'HORAS TRABAJADAS'!B:B,"&gt;="&amp;B7,'HORAS TRABAJADAS'!B:B,"&lt;="&amp;C7)</f>
        <v>0</v>
      </c>
      <c r="H7" s="538">
        <f>SUMIFS('HORAS TRABAJADAS'!K:K,'HORAS TRABAJADAS'!A:A,A7,'HORAS TRABAJADAS'!B:B,"&gt;="&amp;B7,'HORAS TRABAJADAS'!B:B,"&lt;="&amp;C7)</f>
        <v>0</v>
      </c>
      <c r="I7" s="538">
        <f>SUMIFS('HORAS TRABAJADAS'!L:L,'HORAS TRABAJADAS'!A:A,A7,'HORAS TRABAJADAS'!B:B,"&gt;="&amp;B7,'HORAS TRABAJADAS'!B:B,"&lt;="&amp;C7)</f>
        <v>0</v>
      </c>
      <c r="J7" s="538">
        <f>SUMIFS('HORAS TRABAJADAS'!M:M,'HORAS TRABAJADAS'!A:A,A7,'HORAS TRABAJADAS'!B:B,"&gt;="&amp;B7,'HORAS TRABAJADAS'!B:B,"&lt;="&amp;C7)</f>
        <v>0</v>
      </c>
      <c r="K7" s="539">
        <f>SUMIFS('HORAS TRABAJADAS'!N:N,'HORAS TRABAJADAS'!A:A,A7,'HORAS TRABAJADAS'!B:B,"&gt;="&amp;B7,'HORAS TRABAJADAS'!B:B,"&lt;="&amp;C7)</f>
        <v>0</v>
      </c>
      <c r="L7" s="533" t="str">
        <f t="shared" si="0"/>
        <v>8 horas y 0 minutos</v>
      </c>
      <c r="M7" s="534">
        <f>SUMIFS('HORAS TRABAJADAS'!Q:Q,'HORAS TRABAJADAS'!A:A,A7,'HORAS TRABAJADAS'!B:B,"&gt;="&amp;B7,'HORAS TRABAJADAS'!B:B,"&lt;="&amp;C7)</f>
        <v>480</v>
      </c>
      <c r="N7" s="535">
        <f t="shared" si="1"/>
        <v>60</v>
      </c>
    </row>
    <row r="8" spans="1:17">
      <c r="A8" s="527">
        <v>1317424267</v>
      </c>
      <c r="B8" s="528">
        <v>43101</v>
      </c>
      <c r="C8" s="529">
        <v>43131</v>
      </c>
      <c r="D8" s="537">
        <f>SUMIFS('HORAS TRABAJADAS'!G$1:G$65538,'HORAS TRABAJADAS'!A$1:A$65538,A8,'HORAS TRABAJADAS'!B$1:B$65538,"&gt;="&amp;B8,'HORAS TRABAJADAS'!B$1:B$65538,"&lt;="&amp;C8)</f>
        <v>0</v>
      </c>
      <c r="E8" s="538">
        <f>SUMIFS('HORAS TRABAJADAS'!H:H,'HORAS TRABAJADAS'!A:A,A8,'HORAS TRABAJADAS'!B:B,"&gt;="&amp;B8,'HORAS TRABAJADAS'!B:B,"&lt;="&amp;C8)</f>
        <v>0</v>
      </c>
      <c r="F8" s="538">
        <f>SUMIFS('HORAS TRABAJADAS'!I:I,'HORAS TRABAJADAS'!A:A,A8,'HORAS TRABAJADAS'!B:B,"&gt;="&amp;B8,'HORAS TRABAJADAS'!B:B,"&lt;="&amp;C8)</f>
        <v>0</v>
      </c>
      <c r="G8" s="538">
        <f>SUMIFS('HORAS TRABAJADAS'!J:J,'HORAS TRABAJADAS'!A:A,A8,'HORAS TRABAJADAS'!B:B,"&gt;="&amp;B8,'HORAS TRABAJADAS'!B:B,"&lt;="&amp;C8)</f>
        <v>0</v>
      </c>
      <c r="H8" s="538">
        <f>SUMIFS('HORAS TRABAJADAS'!K:K,'HORAS TRABAJADAS'!A:A,A8,'HORAS TRABAJADAS'!B:B,"&gt;="&amp;B8,'HORAS TRABAJADAS'!B:B,"&lt;="&amp;C8)</f>
        <v>8</v>
      </c>
      <c r="I8" s="538">
        <f>SUMIFS('HORAS TRABAJADAS'!L:L,'HORAS TRABAJADAS'!A:A,A8,'HORAS TRABAJADAS'!B:B,"&gt;="&amp;B8,'HORAS TRABAJADAS'!B:B,"&lt;="&amp;C8)</f>
        <v>0</v>
      </c>
      <c r="J8" s="538">
        <f>SUMIFS('HORAS TRABAJADAS'!M:M,'HORAS TRABAJADAS'!A:A,A8,'HORAS TRABAJADAS'!B:B,"&gt;="&amp;B8,'HORAS TRABAJADAS'!B:B,"&lt;="&amp;C8)</f>
        <v>1</v>
      </c>
      <c r="K8" s="539">
        <f>SUMIFS('HORAS TRABAJADAS'!N:N,'HORAS TRABAJADAS'!A:A,A8,'HORAS TRABAJADAS'!B:B,"&gt;="&amp;B8,'HORAS TRABAJADAS'!B:B,"&lt;="&amp;C8)</f>
        <v>0</v>
      </c>
      <c r="L8" s="533" t="str">
        <f t="shared" si="0"/>
        <v>8 horas y 0 minutos</v>
      </c>
      <c r="M8" s="534">
        <f>SUMIFS('HORAS TRABAJADAS'!Q:Q,'HORAS TRABAJADAS'!A:A,A8,'HORAS TRABAJADAS'!B:B,"&gt;="&amp;B8,'HORAS TRABAJADAS'!B:B,"&lt;="&amp;C8)</f>
        <v>480</v>
      </c>
      <c r="N8" s="535">
        <f t="shared" si="1"/>
        <v>60</v>
      </c>
    </row>
    <row r="9" spans="1:17">
      <c r="A9" s="527">
        <v>1315211554</v>
      </c>
      <c r="B9" s="528">
        <v>43101</v>
      </c>
      <c r="C9" s="529">
        <v>43131</v>
      </c>
      <c r="D9" s="537">
        <f>SUMIFS('HORAS TRABAJADAS'!G$1:G$65538,'HORAS TRABAJADAS'!A$1:A$65538,A9,'HORAS TRABAJADAS'!B$1:B$65538,"&gt;="&amp;B9,'HORAS TRABAJADAS'!B$1:B$65538,"&lt;="&amp;C9)</f>
        <v>8</v>
      </c>
      <c r="E9" s="538">
        <f>SUMIFS('HORAS TRABAJADAS'!H:H,'HORAS TRABAJADAS'!A:A,A9,'HORAS TRABAJADAS'!B:B,"&gt;="&amp;B9,'HORAS TRABAJADAS'!B:B,"&lt;="&amp;C9)</f>
        <v>0</v>
      </c>
      <c r="F9" s="538">
        <f>SUMIFS('HORAS TRABAJADAS'!I:I,'HORAS TRABAJADAS'!A:A,A9,'HORAS TRABAJADAS'!B:B,"&gt;="&amp;B9,'HORAS TRABAJADAS'!B:B,"&lt;="&amp;C9)</f>
        <v>0</v>
      </c>
      <c r="G9" s="538">
        <f>SUMIFS('HORAS TRABAJADAS'!J:J,'HORAS TRABAJADAS'!A:A,A9,'HORAS TRABAJADAS'!B:B,"&gt;="&amp;B9,'HORAS TRABAJADAS'!B:B,"&lt;="&amp;C9)</f>
        <v>1</v>
      </c>
      <c r="H9" s="538">
        <f>SUMIFS('HORAS TRABAJADAS'!K:K,'HORAS TRABAJADAS'!A:A,A9,'HORAS TRABAJADAS'!B:B,"&gt;="&amp;B9,'HORAS TRABAJADAS'!B:B,"&lt;="&amp;C9)</f>
        <v>0</v>
      </c>
      <c r="I9" s="538">
        <f>SUMIFS('HORAS TRABAJADAS'!L:L,'HORAS TRABAJADAS'!A:A,A9,'HORAS TRABAJADAS'!B:B,"&gt;="&amp;B9,'HORAS TRABAJADAS'!B:B,"&lt;="&amp;C9)</f>
        <v>0</v>
      </c>
      <c r="J9" s="538">
        <f>SUMIFS('HORAS TRABAJADAS'!M:M,'HORAS TRABAJADAS'!A:A,A9,'HORAS TRABAJADAS'!B:B,"&gt;="&amp;B9,'HORAS TRABAJADAS'!B:B,"&lt;="&amp;C9)</f>
        <v>0</v>
      </c>
      <c r="K9" s="539">
        <f>SUMIFS('HORAS TRABAJADAS'!N:N,'HORAS TRABAJADAS'!A:A,A9,'HORAS TRABAJADAS'!B:B,"&gt;="&amp;B9,'HORAS TRABAJADAS'!B:B,"&lt;="&amp;C9)</f>
        <v>0</v>
      </c>
      <c r="L9" s="533" t="str">
        <f t="shared" si="0"/>
        <v>8 horas y 0 minutos</v>
      </c>
      <c r="M9" s="534">
        <f>SUMIFS('HORAS TRABAJADAS'!Q:Q,'HORAS TRABAJADAS'!A:A,A9,'HORAS TRABAJADAS'!B:B,"&gt;="&amp;B9,'HORAS TRABAJADAS'!B:B,"&lt;="&amp;C9)</f>
        <v>480</v>
      </c>
      <c r="N9" s="535">
        <f t="shared" si="1"/>
        <v>60</v>
      </c>
    </row>
    <row r="10" spans="1:17">
      <c r="A10" s="527">
        <v>1241318672</v>
      </c>
      <c r="B10" s="528">
        <v>43101</v>
      </c>
      <c r="C10" s="529">
        <v>43131</v>
      </c>
      <c r="D10" s="537">
        <f>SUMIFS('HORAS TRABAJADAS'!G$1:G$65538,'HORAS TRABAJADAS'!A$1:A$65538,A10,'HORAS TRABAJADAS'!B$1:B$65538,"&gt;="&amp;B10,'HORAS TRABAJADAS'!B$1:B$65538,"&lt;="&amp;C10)</f>
        <v>7</v>
      </c>
      <c r="E10" s="538">
        <f>SUMIFS('HORAS TRABAJADAS'!H:H,'HORAS TRABAJADAS'!A:A,A10,'HORAS TRABAJADAS'!B:B,"&gt;="&amp;B10,'HORAS TRABAJADAS'!B:B,"&lt;="&amp;C10)</f>
        <v>1</v>
      </c>
      <c r="F10" s="538">
        <f>SUMIFS('HORAS TRABAJADAS'!I:I,'HORAS TRABAJADAS'!A:A,A10,'HORAS TRABAJADAS'!B:B,"&gt;="&amp;B10,'HORAS TRABAJADAS'!B:B,"&lt;="&amp;C10)</f>
        <v>0</v>
      </c>
      <c r="G10" s="538">
        <f>SUMIFS('HORAS TRABAJADAS'!J:J,'HORAS TRABAJADAS'!A:A,A10,'HORAS TRABAJADAS'!B:B,"&gt;="&amp;B10,'HORAS TRABAJADAS'!B:B,"&lt;="&amp;C10)</f>
        <v>1</v>
      </c>
      <c r="H10" s="538">
        <f>SUMIFS('HORAS TRABAJADAS'!K:K,'HORAS TRABAJADAS'!A:A,A10,'HORAS TRABAJADAS'!B:B,"&gt;="&amp;B10,'HORAS TRABAJADAS'!B:B,"&lt;="&amp;C10)</f>
        <v>0</v>
      </c>
      <c r="I10" s="538">
        <f>SUMIFS('HORAS TRABAJADAS'!L:L,'HORAS TRABAJADAS'!A:A,A10,'HORAS TRABAJADAS'!B:B,"&gt;="&amp;B10,'HORAS TRABAJADAS'!B:B,"&lt;="&amp;C10)</f>
        <v>0</v>
      </c>
      <c r="J10" s="538">
        <f>SUMIFS('HORAS TRABAJADAS'!M:M,'HORAS TRABAJADAS'!A:A,A10,'HORAS TRABAJADAS'!B:B,"&gt;="&amp;B10,'HORAS TRABAJADAS'!B:B,"&lt;="&amp;C10)</f>
        <v>0</v>
      </c>
      <c r="K10" s="539">
        <f>SUMIFS('HORAS TRABAJADAS'!N:N,'HORAS TRABAJADAS'!A:A,A10,'HORAS TRABAJADAS'!B:B,"&gt;="&amp;B10,'HORAS TRABAJADAS'!B:B,"&lt;="&amp;C10)</f>
        <v>0</v>
      </c>
      <c r="L10" s="533" t="str">
        <f t="shared" si="0"/>
        <v>8 horas y 0 minutos</v>
      </c>
      <c r="M10" s="534">
        <f>SUMIFS('HORAS TRABAJADAS'!Q:Q,'HORAS TRABAJADAS'!A:A,A10,'HORAS TRABAJADAS'!B:B,"&gt;="&amp;B10,'HORAS TRABAJADAS'!B:B,"&lt;="&amp;C10)</f>
        <v>480</v>
      </c>
      <c r="N10" s="535">
        <f t="shared" si="1"/>
        <v>60</v>
      </c>
    </row>
    <row r="11" spans="1:17">
      <c r="A11" s="527">
        <v>1324063080</v>
      </c>
      <c r="B11" s="528">
        <v>43101</v>
      </c>
      <c r="C11" s="529">
        <v>43131</v>
      </c>
      <c r="D11" s="537">
        <f>SUMIFS('HORAS TRABAJADAS'!G$1:G$65538,'HORAS TRABAJADAS'!A$1:A$65538,A11,'HORAS TRABAJADAS'!B$1:B$65538,"&gt;="&amp;B11,'HORAS TRABAJADAS'!B$1:B$65538,"&lt;="&amp;C11)</f>
        <v>6</v>
      </c>
      <c r="E11" s="538">
        <f>SUMIFS('HORAS TRABAJADAS'!H:H,'HORAS TRABAJADAS'!A:A,A11,'HORAS TRABAJADAS'!B:B,"&gt;="&amp;B11,'HORAS TRABAJADAS'!B:B,"&lt;="&amp;C11)</f>
        <v>2</v>
      </c>
      <c r="F11" s="538">
        <f>SUMIFS('HORAS TRABAJADAS'!I:I,'HORAS TRABAJADAS'!A:A,A11,'HORAS TRABAJADAS'!B:B,"&gt;="&amp;B11,'HORAS TRABAJADAS'!B:B,"&lt;="&amp;C11)</f>
        <v>0</v>
      </c>
      <c r="G11" s="538">
        <f>SUMIFS('HORAS TRABAJADAS'!J:J,'HORAS TRABAJADAS'!A:A,A11,'HORAS TRABAJADAS'!B:B,"&gt;="&amp;B11,'HORAS TRABAJADAS'!B:B,"&lt;="&amp;C11)</f>
        <v>1</v>
      </c>
      <c r="H11" s="538">
        <f>SUMIFS('HORAS TRABAJADAS'!K:K,'HORAS TRABAJADAS'!A:A,A11,'HORAS TRABAJADAS'!B:B,"&gt;="&amp;B11,'HORAS TRABAJADAS'!B:B,"&lt;="&amp;C11)</f>
        <v>0</v>
      </c>
      <c r="I11" s="538">
        <f>SUMIFS('HORAS TRABAJADAS'!L:L,'HORAS TRABAJADAS'!A:A,A11,'HORAS TRABAJADAS'!B:B,"&gt;="&amp;B11,'HORAS TRABAJADAS'!B:B,"&lt;="&amp;C11)</f>
        <v>0</v>
      </c>
      <c r="J11" s="538">
        <f>SUMIFS('HORAS TRABAJADAS'!M:M,'HORAS TRABAJADAS'!A:A,A11,'HORAS TRABAJADAS'!B:B,"&gt;="&amp;B11,'HORAS TRABAJADAS'!B:B,"&lt;="&amp;C11)</f>
        <v>0</v>
      </c>
      <c r="K11" s="539">
        <f>SUMIFS('HORAS TRABAJADAS'!N:N,'HORAS TRABAJADAS'!A:A,A11,'HORAS TRABAJADAS'!B:B,"&gt;="&amp;B11,'HORAS TRABAJADAS'!B:B,"&lt;="&amp;C11)</f>
        <v>0</v>
      </c>
      <c r="L11" s="533" t="str">
        <f t="shared" si="0"/>
        <v>8 horas y 0 minutos</v>
      </c>
      <c r="M11" s="534">
        <f>SUMIFS('HORAS TRABAJADAS'!Q:Q,'HORAS TRABAJADAS'!A:A,A11,'HORAS TRABAJADAS'!B:B,"&gt;="&amp;B11,'HORAS TRABAJADAS'!B:B,"&lt;="&amp;C11)</f>
        <v>480</v>
      </c>
      <c r="N11" s="535">
        <f t="shared" si="1"/>
        <v>60</v>
      </c>
    </row>
    <row r="12" spans="1:17">
      <c r="A12" s="527">
        <v>1259425899</v>
      </c>
      <c r="B12" s="528">
        <v>43101</v>
      </c>
      <c r="C12" s="529">
        <v>43131</v>
      </c>
      <c r="D12" s="537">
        <f>SUMIFS('HORAS TRABAJADAS'!G$1:G$65538,'HORAS TRABAJADAS'!A$1:A$65538,A12,'HORAS TRABAJADAS'!B$1:B$65538,"&gt;="&amp;B12,'HORAS TRABAJADAS'!B$1:B$65538,"&lt;="&amp;C12)</f>
        <v>4</v>
      </c>
      <c r="E12" s="538">
        <f>SUMIFS('HORAS TRABAJADAS'!H:H,'HORAS TRABAJADAS'!A:A,A12,'HORAS TRABAJADAS'!B:B,"&gt;="&amp;B12,'HORAS TRABAJADAS'!B:B,"&lt;="&amp;C12)</f>
        <v>4</v>
      </c>
      <c r="F12" s="538">
        <f>SUMIFS('HORAS TRABAJADAS'!I:I,'HORAS TRABAJADAS'!A:A,A12,'HORAS TRABAJADAS'!B:B,"&gt;="&amp;B12,'HORAS TRABAJADAS'!B:B,"&lt;="&amp;C12)</f>
        <v>0</v>
      </c>
      <c r="G12" s="538">
        <f>SUMIFS('HORAS TRABAJADAS'!J:J,'HORAS TRABAJADAS'!A:A,A12,'HORAS TRABAJADAS'!B:B,"&gt;="&amp;B12,'HORAS TRABAJADAS'!B:B,"&lt;="&amp;C12)</f>
        <v>0</v>
      </c>
      <c r="H12" s="538">
        <f>SUMIFS('HORAS TRABAJADAS'!K:K,'HORAS TRABAJADAS'!A:A,A12,'HORAS TRABAJADAS'!B:B,"&gt;="&amp;B12,'HORAS TRABAJADAS'!B:B,"&lt;="&amp;C12)</f>
        <v>0</v>
      </c>
      <c r="I12" s="538">
        <f>SUMIFS('HORAS TRABAJADAS'!L:L,'HORAS TRABAJADAS'!A:A,A12,'HORAS TRABAJADAS'!B:B,"&gt;="&amp;B12,'HORAS TRABAJADAS'!B:B,"&lt;="&amp;C12)</f>
        <v>0</v>
      </c>
      <c r="J12" s="538">
        <f>SUMIFS('HORAS TRABAJADAS'!M:M,'HORAS TRABAJADAS'!A:A,A12,'HORAS TRABAJADAS'!B:B,"&gt;="&amp;B12,'HORAS TRABAJADAS'!B:B,"&lt;="&amp;C12)</f>
        <v>0</v>
      </c>
      <c r="K12" s="539">
        <f>SUMIFS('HORAS TRABAJADAS'!N:N,'HORAS TRABAJADAS'!A:A,A12,'HORAS TRABAJADAS'!B:B,"&gt;="&amp;B12,'HORAS TRABAJADAS'!B:B,"&lt;="&amp;C12)</f>
        <v>0</v>
      </c>
      <c r="L12" s="533" t="str">
        <f>INT(CONVERT(M12,"mn","hr"))&amp;" horas y "&amp;MOD(M12,60)&amp;" minutos"</f>
        <v>7 horas y 20 minutos</v>
      </c>
      <c r="M12" s="534">
        <f>SUMIFS('HORAS TRABAJADAS'!Q:Q,'HORAS TRABAJADAS'!A:A,A12,'HORAS TRABAJADAS'!B:B,"&gt;="&amp;B12,'HORAS TRABAJADAS'!B:B,"&lt;="&amp;C12)</f>
        <v>440</v>
      </c>
      <c r="N12" s="535">
        <f t="shared" si="1"/>
        <v>0</v>
      </c>
    </row>
    <row r="13" spans="1:17">
      <c r="A13" s="541"/>
      <c r="B13" s="542"/>
      <c r="C13" s="543"/>
      <c r="D13" s="537">
        <f>SUMIFS('HORAS TRABAJADAS'!G$1:G$65538,'HORAS TRABAJADAS'!A$1:A$65538,A13,'HORAS TRABAJADAS'!B$1:B$65538,"&gt;="&amp;B13,'HORAS TRABAJADAS'!B$1:B$65538,"&lt;="&amp;C13)</f>
        <v>0</v>
      </c>
      <c r="E13" s="538">
        <f>SUMIFS('HORAS TRABAJADAS'!H:H,'HORAS TRABAJADAS'!A:A,A13,'HORAS TRABAJADAS'!B:B,"&gt;="&amp;B13,'HORAS TRABAJADAS'!B:B,"&lt;="&amp;C13)</f>
        <v>0</v>
      </c>
      <c r="F13" s="538">
        <f>SUMIFS('HORAS TRABAJADAS'!I:I,'HORAS TRABAJADAS'!A:A,A13,'HORAS TRABAJADAS'!B:B,"&gt;="&amp;B13,'HORAS TRABAJADAS'!B:B,"&lt;="&amp;C13)</f>
        <v>0</v>
      </c>
      <c r="G13" s="538">
        <f>SUMIFS('HORAS TRABAJADAS'!J:J,'HORAS TRABAJADAS'!A:A,A13,'HORAS TRABAJADAS'!B:B,"&gt;="&amp;B13,'HORAS TRABAJADAS'!B:B,"&lt;="&amp;C13)</f>
        <v>0</v>
      </c>
      <c r="H13" s="538">
        <f>SUMIFS('HORAS TRABAJADAS'!K:K,'HORAS TRABAJADAS'!A:A,A13,'HORAS TRABAJADAS'!B:B,"&gt;="&amp;B13,'HORAS TRABAJADAS'!B:B,"&lt;="&amp;C13)</f>
        <v>0</v>
      </c>
      <c r="I13" s="538">
        <f>SUMIFS('HORAS TRABAJADAS'!L:L,'HORAS TRABAJADAS'!A:A,A13,'HORAS TRABAJADAS'!B:B,"&gt;="&amp;B13,'HORAS TRABAJADAS'!B:B,"&lt;="&amp;C13)</f>
        <v>0</v>
      </c>
      <c r="J13" s="538">
        <f>SUMIFS('HORAS TRABAJADAS'!M:M,'HORAS TRABAJADAS'!A:A,A13,'HORAS TRABAJADAS'!B:B,"&gt;="&amp;B13,'HORAS TRABAJADAS'!B:B,"&lt;="&amp;C13)</f>
        <v>0</v>
      </c>
      <c r="K13" s="539">
        <f>SUMIFS('HORAS TRABAJADAS'!N:N,'HORAS TRABAJADAS'!A:A,A13,'HORAS TRABAJADAS'!B:B,"&gt;="&amp;B13,'HORAS TRABAJADAS'!B:B,"&lt;="&amp;C13)</f>
        <v>0</v>
      </c>
      <c r="L13" s="533" t="str">
        <f t="shared" ref="L13:L76" si="2">INT(CONVERT(M13,"mn","hr"))&amp;" horas y "&amp;MOD(M13,60)&amp;" minutos"</f>
        <v>0 horas y 0 minutos</v>
      </c>
      <c r="M13" s="534">
        <f>SUMIFS('HORAS TRABAJADAS'!Q:Q,'HORAS TRABAJADAS'!A:A,A13,'HORAS TRABAJADAS'!B:B,"&gt;="&amp;B13,'HORAS TRABAJADAS'!B:B,"&lt;="&amp;C13)</f>
        <v>0</v>
      </c>
      <c r="N13" s="535">
        <f t="shared" si="1"/>
        <v>0</v>
      </c>
    </row>
    <row r="14" spans="1:17">
      <c r="A14" s="544">
        <v>1321648522</v>
      </c>
      <c r="B14" s="545">
        <v>43132</v>
      </c>
      <c r="C14" s="546">
        <v>43159</v>
      </c>
      <c r="D14" s="537">
        <f>SUMIFS('HORAS TRABAJADAS'!G$1:G$65538,'HORAS TRABAJADAS'!A$1:A$65538,A14,'HORAS TRABAJADAS'!B$1:B$65538,"&gt;="&amp;B14,'HORAS TRABAJADAS'!B$1:B$65538,"&lt;="&amp;C14)</f>
        <v>0</v>
      </c>
      <c r="E14" s="538">
        <f>SUMIFS('HORAS TRABAJADAS'!H:H,'HORAS TRABAJADAS'!A:A,A14,'HORAS TRABAJADAS'!B:B,"&gt;="&amp;B14,'HORAS TRABAJADAS'!B:B,"&lt;="&amp;C14)</f>
        <v>0</v>
      </c>
      <c r="F14" s="538">
        <f>SUMIFS('HORAS TRABAJADAS'!I:I,'HORAS TRABAJADAS'!A:A,A14,'HORAS TRABAJADAS'!B:B,"&gt;="&amp;B14,'HORAS TRABAJADAS'!B:B,"&lt;="&amp;C14)</f>
        <v>0</v>
      </c>
      <c r="G14" s="538">
        <f>SUMIFS('HORAS TRABAJADAS'!J:J,'HORAS TRABAJADAS'!A:A,A14,'HORAS TRABAJADAS'!B:B,"&gt;="&amp;B14,'HORAS TRABAJADAS'!B:B,"&lt;="&amp;C14)</f>
        <v>0</v>
      </c>
      <c r="H14" s="538">
        <f>SUMIFS('HORAS TRABAJADAS'!K:K,'HORAS TRABAJADAS'!A:A,A14,'HORAS TRABAJADAS'!B:B,"&gt;="&amp;B14,'HORAS TRABAJADAS'!B:B,"&lt;="&amp;C14)</f>
        <v>0</v>
      </c>
      <c r="I14" s="538">
        <f>SUMIFS('HORAS TRABAJADAS'!L:L,'HORAS TRABAJADAS'!A:A,A14,'HORAS TRABAJADAS'!B:B,"&gt;="&amp;B14,'HORAS TRABAJADAS'!B:B,"&lt;="&amp;C14)</f>
        <v>0</v>
      </c>
      <c r="J14" s="538">
        <f>SUMIFS('HORAS TRABAJADAS'!M:M,'HORAS TRABAJADAS'!A:A,A14,'HORAS TRABAJADAS'!B:B,"&gt;="&amp;B14,'HORAS TRABAJADAS'!B:B,"&lt;="&amp;C14)</f>
        <v>0</v>
      </c>
      <c r="K14" s="539">
        <f>SUMIFS('HORAS TRABAJADAS'!N:N,'HORAS TRABAJADAS'!A:A,A14,'HORAS TRABAJADAS'!B:B,"&gt;="&amp;B14,'HORAS TRABAJADAS'!B:B,"&lt;="&amp;C14)</f>
        <v>0</v>
      </c>
      <c r="L14" s="533" t="str">
        <f t="shared" si="2"/>
        <v>0 horas y 0 minutos</v>
      </c>
      <c r="M14" s="534">
        <f>SUMIFS('HORAS TRABAJADAS'!Q:Q,'HORAS TRABAJADAS'!A:A,A14,'HORAS TRABAJADAS'!B:B,"&gt;="&amp;B14,'HORAS TRABAJADAS'!B:B,"&lt;="&amp;C14)</f>
        <v>0</v>
      </c>
      <c r="N14" s="535">
        <f t="shared" si="1"/>
        <v>0</v>
      </c>
    </row>
    <row r="15" spans="1:17">
      <c r="A15" s="544">
        <v>1323384207</v>
      </c>
      <c r="B15" s="545">
        <v>43132</v>
      </c>
      <c r="C15" s="546">
        <v>43159</v>
      </c>
      <c r="D15" s="537">
        <f>SUMIFS('HORAS TRABAJADAS'!G$1:G$65538,'HORAS TRABAJADAS'!A$1:A$65538,A15,'HORAS TRABAJADAS'!B$1:B$65538,"&gt;="&amp;B15,'HORAS TRABAJADAS'!B$1:B$65538,"&lt;="&amp;C15)</f>
        <v>0</v>
      </c>
      <c r="E15" s="538">
        <f>SUMIFS('HORAS TRABAJADAS'!H:H,'HORAS TRABAJADAS'!A:A,A15,'HORAS TRABAJADAS'!B:B,"&gt;="&amp;B15,'HORAS TRABAJADAS'!B:B,"&lt;="&amp;C15)</f>
        <v>0</v>
      </c>
      <c r="F15" s="538">
        <f>SUMIFS('HORAS TRABAJADAS'!I:I,'HORAS TRABAJADAS'!A:A,A15,'HORAS TRABAJADAS'!B:B,"&gt;="&amp;B15,'HORAS TRABAJADAS'!B:B,"&lt;="&amp;C15)</f>
        <v>0</v>
      </c>
      <c r="G15" s="538">
        <f>SUMIFS('HORAS TRABAJADAS'!J:J,'HORAS TRABAJADAS'!A:A,A15,'HORAS TRABAJADAS'!B:B,"&gt;="&amp;B15,'HORAS TRABAJADAS'!B:B,"&lt;="&amp;C15)</f>
        <v>0</v>
      </c>
      <c r="H15" s="538">
        <f>SUMIFS('HORAS TRABAJADAS'!K:K,'HORAS TRABAJADAS'!A:A,A15,'HORAS TRABAJADAS'!B:B,"&gt;="&amp;B15,'HORAS TRABAJADAS'!B:B,"&lt;="&amp;C15)</f>
        <v>0</v>
      </c>
      <c r="I15" s="538">
        <f>SUMIFS('HORAS TRABAJADAS'!L:L,'HORAS TRABAJADAS'!A:A,A15,'HORAS TRABAJADAS'!B:B,"&gt;="&amp;B15,'HORAS TRABAJADAS'!B:B,"&lt;="&amp;C15)</f>
        <v>0</v>
      </c>
      <c r="J15" s="538">
        <f>SUMIFS('HORAS TRABAJADAS'!M:M,'HORAS TRABAJADAS'!A:A,A15,'HORAS TRABAJADAS'!B:B,"&gt;="&amp;B15,'HORAS TRABAJADAS'!B:B,"&lt;="&amp;C15)</f>
        <v>0</v>
      </c>
      <c r="K15" s="539">
        <f>SUMIFS('HORAS TRABAJADAS'!N:N,'HORAS TRABAJADAS'!A:A,A15,'HORAS TRABAJADAS'!B:B,"&gt;="&amp;B15,'HORAS TRABAJADAS'!B:B,"&lt;="&amp;C15)</f>
        <v>0</v>
      </c>
      <c r="L15" s="533" t="str">
        <f t="shared" si="2"/>
        <v>0 horas y 0 minutos</v>
      </c>
      <c r="M15" s="534">
        <f>SUMIFS('HORAS TRABAJADAS'!Q:Q,'HORAS TRABAJADAS'!A:A,A15,'HORAS TRABAJADAS'!B:B,"&gt;="&amp;B15,'HORAS TRABAJADAS'!B:B,"&lt;="&amp;C15)</f>
        <v>0</v>
      </c>
      <c r="N15" s="535">
        <f t="shared" si="1"/>
        <v>0</v>
      </c>
    </row>
    <row r="16" spans="1:17">
      <c r="A16" s="544">
        <v>1237462775</v>
      </c>
      <c r="B16" s="545">
        <v>43132</v>
      </c>
      <c r="C16" s="546">
        <v>43159</v>
      </c>
      <c r="D16" s="537">
        <f>SUMIFS('HORAS TRABAJADAS'!G$1:G$65538,'HORAS TRABAJADAS'!A$1:A$65538,A16,'HORAS TRABAJADAS'!B$1:B$65538,"&gt;="&amp;B16,'HORAS TRABAJADAS'!B$1:B$65538,"&lt;="&amp;C16)</f>
        <v>0</v>
      </c>
      <c r="E16" s="538">
        <f>SUMIFS('HORAS TRABAJADAS'!H:H,'HORAS TRABAJADAS'!A:A,A16,'HORAS TRABAJADAS'!B:B,"&gt;="&amp;B16,'HORAS TRABAJADAS'!B:B,"&lt;="&amp;C16)</f>
        <v>0</v>
      </c>
      <c r="F16" s="538">
        <f>SUMIFS('HORAS TRABAJADAS'!I:I,'HORAS TRABAJADAS'!A:A,A16,'HORAS TRABAJADAS'!B:B,"&gt;="&amp;B16,'HORAS TRABAJADAS'!B:B,"&lt;="&amp;C16)</f>
        <v>0</v>
      </c>
      <c r="G16" s="538">
        <f>SUMIFS('HORAS TRABAJADAS'!J:J,'HORAS TRABAJADAS'!A:A,A16,'HORAS TRABAJADAS'!B:B,"&gt;="&amp;B16,'HORAS TRABAJADAS'!B:B,"&lt;="&amp;C16)</f>
        <v>0</v>
      </c>
      <c r="H16" s="538">
        <f>SUMIFS('HORAS TRABAJADAS'!K:K,'HORAS TRABAJADAS'!A:A,A16,'HORAS TRABAJADAS'!B:B,"&gt;="&amp;B16,'HORAS TRABAJADAS'!B:B,"&lt;="&amp;C16)</f>
        <v>0</v>
      </c>
      <c r="I16" s="538">
        <f>SUMIFS('HORAS TRABAJADAS'!L:L,'HORAS TRABAJADAS'!A:A,A16,'HORAS TRABAJADAS'!B:B,"&gt;="&amp;B16,'HORAS TRABAJADAS'!B:B,"&lt;="&amp;C16)</f>
        <v>0</v>
      </c>
      <c r="J16" s="538">
        <f>SUMIFS('HORAS TRABAJADAS'!M:M,'HORAS TRABAJADAS'!A:A,A16,'HORAS TRABAJADAS'!B:B,"&gt;="&amp;B16,'HORAS TRABAJADAS'!B:B,"&lt;="&amp;C16)</f>
        <v>0</v>
      </c>
      <c r="K16" s="539">
        <f>SUMIFS('HORAS TRABAJADAS'!N:N,'HORAS TRABAJADAS'!A:A,A16,'HORAS TRABAJADAS'!B:B,"&gt;="&amp;B16,'HORAS TRABAJADAS'!B:B,"&lt;="&amp;C16)</f>
        <v>0</v>
      </c>
      <c r="L16" s="533" t="str">
        <f t="shared" si="2"/>
        <v>0 horas y 0 minutos</v>
      </c>
      <c r="M16" s="534">
        <f>SUMIFS('HORAS TRABAJADAS'!Q:Q,'HORAS TRABAJADAS'!A:A,A16,'HORAS TRABAJADAS'!B:B,"&gt;="&amp;B16,'HORAS TRABAJADAS'!B:B,"&lt;="&amp;C16)</f>
        <v>0</v>
      </c>
      <c r="N16" s="535">
        <f t="shared" si="1"/>
        <v>0</v>
      </c>
    </row>
    <row r="17" spans="1:14">
      <c r="A17" s="544">
        <v>1285748000</v>
      </c>
      <c r="B17" s="545">
        <v>43132</v>
      </c>
      <c r="C17" s="546">
        <v>43159</v>
      </c>
      <c r="D17" s="537">
        <f>SUMIFS('HORAS TRABAJADAS'!G$1:G$65538,'HORAS TRABAJADAS'!A$1:A$65538,A17,'HORAS TRABAJADAS'!B$1:B$65538,"&gt;="&amp;B17,'HORAS TRABAJADAS'!B$1:B$65538,"&lt;="&amp;C17)</f>
        <v>0</v>
      </c>
      <c r="E17" s="538">
        <f>SUMIFS('HORAS TRABAJADAS'!H:H,'HORAS TRABAJADAS'!A:A,A17,'HORAS TRABAJADAS'!B:B,"&gt;="&amp;B17,'HORAS TRABAJADAS'!B:B,"&lt;="&amp;C17)</f>
        <v>0</v>
      </c>
      <c r="F17" s="538">
        <f>SUMIFS('HORAS TRABAJADAS'!I:I,'HORAS TRABAJADAS'!A:A,A17,'HORAS TRABAJADAS'!B:B,"&gt;="&amp;B17,'HORAS TRABAJADAS'!B:B,"&lt;="&amp;C17)</f>
        <v>0</v>
      </c>
      <c r="G17" s="538">
        <f>SUMIFS('HORAS TRABAJADAS'!J:J,'HORAS TRABAJADAS'!A:A,A17,'HORAS TRABAJADAS'!B:B,"&gt;="&amp;B17,'HORAS TRABAJADAS'!B:B,"&lt;="&amp;C17)</f>
        <v>0</v>
      </c>
      <c r="H17" s="538">
        <f>SUMIFS('HORAS TRABAJADAS'!K:K,'HORAS TRABAJADAS'!A:A,A17,'HORAS TRABAJADAS'!B:B,"&gt;="&amp;B17,'HORAS TRABAJADAS'!B:B,"&lt;="&amp;C17)</f>
        <v>0</v>
      </c>
      <c r="I17" s="538">
        <f>SUMIFS('HORAS TRABAJADAS'!L:L,'HORAS TRABAJADAS'!A:A,A17,'HORAS TRABAJADAS'!B:B,"&gt;="&amp;B17,'HORAS TRABAJADAS'!B:B,"&lt;="&amp;C17)</f>
        <v>0</v>
      </c>
      <c r="J17" s="538">
        <f>SUMIFS('HORAS TRABAJADAS'!M:M,'HORAS TRABAJADAS'!A:A,A17,'HORAS TRABAJADAS'!B:B,"&gt;="&amp;B17,'HORAS TRABAJADAS'!B:B,"&lt;="&amp;C17)</f>
        <v>0</v>
      </c>
      <c r="K17" s="539">
        <f>SUMIFS('HORAS TRABAJADAS'!N:N,'HORAS TRABAJADAS'!A:A,A17,'HORAS TRABAJADAS'!B:B,"&gt;="&amp;B17,'HORAS TRABAJADAS'!B:B,"&lt;="&amp;C17)</f>
        <v>0</v>
      </c>
      <c r="L17" s="533" t="str">
        <f t="shared" si="2"/>
        <v>0 horas y 0 minutos</v>
      </c>
      <c r="M17" s="534">
        <f>SUMIFS('HORAS TRABAJADAS'!Q:Q,'HORAS TRABAJADAS'!A:A,A17,'HORAS TRABAJADAS'!B:B,"&gt;="&amp;B17,'HORAS TRABAJADAS'!B:B,"&lt;="&amp;C17)</f>
        <v>0</v>
      </c>
      <c r="N17" s="535">
        <f t="shared" si="1"/>
        <v>0</v>
      </c>
    </row>
    <row r="18" spans="1:14">
      <c r="A18" s="544">
        <v>1247550875</v>
      </c>
      <c r="B18" s="545">
        <v>43132</v>
      </c>
      <c r="C18" s="546">
        <v>43159</v>
      </c>
      <c r="D18" s="537">
        <f>SUMIFS('HORAS TRABAJADAS'!G$1:G$65538,'HORAS TRABAJADAS'!A$1:A$65538,A18,'HORAS TRABAJADAS'!B$1:B$65538,"&gt;="&amp;B18,'HORAS TRABAJADAS'!B$1:B$65538,"&lt;="&amp;C18)</f>
        <v>0</v>
      </c>
      <c r="E18" s="538">
        <f>SUMIFS('HORAS TRABAJADAS'!H:H,'HORAS TRABAJADAS'!A:A,A18,'HORAS TRABAJADAS'!B:B,"&gt;="&amp;B18,'HORAS TRABAJADAS'!B:B,"&lt;="&amp;C18)</f>
        <v>0</v>
      </c>
      <c r="F18" s="538">
        <f>SUMIFS('HORAS TRABAJADAS'!I:I,'HORAS TRABAJADAS'!A:A,A18,'HORAS TRABAJADAS'!B:B,"&gt;="&amp;B18,'HORAS TRABAJADAS'!B:B,"&lt;="&amp;C18)</f>
        <v>0</v>
      </c>
      <c r="G18" s="538">
        <f>SUMIFS('HORAS TRABAJADAS'!J:J,'HORAS TRABAJADAS'!A:A,A18,'HORAS TRABAJADAS'!B:B,"&gt;="&amp;B18,'HORAS TRABAJADAS'!B:B,"&lt;="&amp;C18)</f>
        <v>0</v>
      </c>
      <c r="H18" s="538">
        <f>SUMIFS('HORAS TRABAJADAS'!K:K,'HORAS TRABAJADAS'!A:A,A18,'HORAS TRABAJADAS'!B:B,"&gt;="&amp;B18,'HORAS TRABAJADAS'!B:B,"&lt;="&amp;C18)</f>
        <v>0</v>
      </c>
      <c r="I18" s="538">
        <f>SUMIFS('HORAS TRABAJADAS'!L:L,'HORAS TRABAJADAS'!A:A,A18,'HORAS TRABAJADAS'!B:B,"&gt;="&amp;B18,'HORAS TRABAJADAS'!B:B,"&lt;="&amp;C18)</f>
        <v>0</v>
      </c>
      <c r="J18" s="538">
        <f>SUMIFS('HORAS TRABAJADAS'!M:M,'HORAS TRABAJADAS'!A:A,A18,'HORAS TRABAJADAS'!B:B,"&gt;="&amp;B18,'HORAS TRABAJADAS'!B:B,"&lt;="&amp;C18)</f>
        <v>0</v>
      </c>
      <c r="K18" s="539">
        <f>SUMIFS('HORAS TRABAJADAS'!N:N,'HORAS TRABAJADAS'!A:A,A18,'HORAS TRABAJADAS'!B:B,"&gt;="&amp;B18,'HORAS TRABAJADAS'!B:B,"&lt;="&amp;C18)</f>
        <v>0</v>
      </c>
      <c r="L18" s="533" t="str">
        <f t="shared" si="2"/>
        <v>0 horas y 0 minutos</v>
      </c>
      <c r="M18" s="534">
        <f>SUMIFS('HORAS TRABAJADAS'!Q:Q,'HORAS TRABAJADAS'!A:A,A18,'HORAS TRABAJADAS'!B:B,"&gt;="&amp;B18,'HORAS TRABAJADAS'!B:B,"&lt;="&amp;C18)</f>
        <v>0</v>
      </c>
      <c r="N18" s="535">
        <f t="shared" si="1"/>
        <v>0</v>
      </c>
    </row>
    <row r="19" spans="1:14">
      <c r="A19" s="544">
        <v>1311966071</v>
      </c>
      <c r="B19" s="545">
        <v>43132</v>
      </c>
      <c r="C19" s="546">
        <v>43159</v>
      </c>
      <c r="D19" s="537">
        <f>SUMIFS('HORAS TRABAJADAS'!G$1:G$65538,'HORAS TRABAJADAS'!A$1:A$65538,A19,'HORAS TRABAJADAS'!B$1:B$65538,"&gt;="&amp;B19,'HORAS TRABAJADAS'!B$1:B$65538,"&lt;="&amp;C19)</f>
        <v>0</v>
      </c>
      <c r="E19" s="538">
        <f>SUMIFS('HORAS TRABAJADAS'!H:H,'HORAS TRABAJADAS'!A:A,A19,'HORAS TRABAJADAS'!B:B,"&gt;="&amp;B19,'HORAS TRABAJADAS'!B:B,"&lt;="&amp;C19)</f>
        <v>0</v>
      </c>
      <c r="F19" s="538">
        <f>SUMIFS('HORAS TRABAJADAS'!I:I,'HORAS TRABAJADAS'!A:A,A19,'HORAS TRABAJADAS'!B:B,"&gt;="&amp;B19,'HORAS TRABAJADAS'!B:B,"&lt;="&amp;C19)</f>
        <v>0</v>
      </c>
      <c r="G19" s="538">
        <f>SUMIFS('HORAS TRABAJADAS'!J:J,'HORAS TRABAJADAS'!A:A,A19,'HORAS TRABAJADAS'!B:B,"&gt;="&amp;B19,'HORAS TRABAJADAS'!B:B,"&lt;="&amp;C19)</f>
        <v>0</v>
      </c>
      <c r="H19" s="538">
        <f>SUMIFS('HORAS TRABAJADAS'!K:K,'HORAS TRABAJADAS'!A:A,A19,'HORAS TRABAJADAS'!B:B,"&gt;="&amp;B19,'HORAS TRABAJADAS'!B:B,"&lt;="&amp;C19)</f>
        <v>0</v>
      </c>
      <c r="I19" s="538">
        <f>SUMIFS('HORAS TRABAJADAS'!L:L,'HORAS TRABAJADAS'!A:A,A19,'HORAS TRABAJADAS'!B:B,"&gt;="&amp;B19,'HORAS TRABAJADAS'!B:B,"&lt;="&amp;C19)</f>
        <v>0</v>
      </c>
      <c r="J19" s="538">
        <f>SUMIFS('HORAS TRABAJADAS'!M:M,'HORAS TRABAJADAS'!A:A,A19,'HORAS TRABAJADAS'!B:B,"&gt;="&amp;B19,'HORAS TRABAJADAS'!B:B,"&lt;="&amp;C19)</f>
        <v>0</v>
      </c>
      <c r="K19" s="539">
        <f>SUMIFS('HORAS TRABAJADAS'!N:N,'HORAS TRABAJADAS'!A:A,A19,'HORAS TRABAJADAS'!B:B,"&gt;="&amp;B19,'HORAS TRABAJADAS'!B:B,"&lt;="&amp;C19)</f>
        <v>0</v>
      </c>
      <c r="L19" s="533" t="str">
        <f t="shared" si="2"/>
        <v>0 horas y 0 minutos</v>
      </c>
      <c r="M19" s="534">
        <f>SUMIFS('HORAS TRABAJADAS'!Q:Q,'HORAS TRABAJADAS'!A:A,A19,'HORAS TRABAJADAS'!B:B,"&gt;="&amp;B19,'HORAS TRABAJADAS'!B:B,"&lt;="&amp;C19)</f>
        <v>0</v>
      </c>
      <c r="N19" s="535">
        <f t="shared" si="1"/>
        <v>0</v>
      </c>
    </row>
    <row r="20" spans="1:14">
      <c r="A20" s="544">
        <v>1317424267</v>
      </c>
      <c r="B20" s="545">
        <v>43132</v>
      </c>
      <c r="C20" s="546">
        <v>43159</v>
      </c>
      <c r="D20" s="537">
        <f>SUMIFS('HORAS TRABAJADAS'!G$1:G$65538,'HORAS TRABAJADAS'!A$1:A$65538,A20,'HORAS TRABAJADAS'!B$1:B$65538,"&gt;="&amp;B20,'HORAS TRABAJADAS'!B$1:B$65538,"&lt;="&amp;C20)</f>
        <v>0</v>
      </c>
      <c r="E20" s="538">
        <f>SUMIFS('HORAS TRABAJADAS'!H:H,'HORAS TRABAJADAS'!A:A,A20,'HORAS TRABAJADAS'!B:B,"&gt;="&amp;B20,'HORAS TRABAJADAS'!B:B,"&lt;="&amp;C20)</f>
        <v>0</v>
      </c>
      <c r="F20" s="538">
        <f>SUMIFS('HORAS TRABAJADAS'!I:I,'HORAS TRABAJADAS'!A:A,A20,'HORAS TRABAJADAS'!B:B,"&gt;="&amp;B20,'HORAS TRABAJADAS'!B:B,"&lt;="&amp;C20)</f>
        <v>0</v>
      </c>
      <c r="G20" s="538">
        <f>SUMIFS('HORAS TRABAJADAS'!J:J,'HORAS TRABAJADAS'!A:A,A20,'HORAS TRABAJADAS'!B:B,"&gt;="&amp;B20,'HORAS TRABAJADAS'!B:B,"&lt;="&amp;C20)</f>
        <v>0</v>
      </c>
      <c r="H20" s="538">
        <f>SUMIFS('HORAS TRABAJADAS'!K:K,'HORAS TRABAJADAS'!A:A,A20,'HORAS TRABAJADAS'!B:B,"&gt;="&amp;B20,'HORAS TRABAJADAS'!B:B,"&lt;="&amp;C20)</f>
        <v>0</v>
      </c>
      <c r="I20" s="538">
        <f>SUMIFS('HORAS TRABAJADAS'!L:L,'HORAS TRABAJADAS'!A:A,A20,'HORAS TRABAJADAS'!B:B,"&gt;="&amp;B20,'HORAS TRABAJADAS'!B:B,"&lt;="&amp;C20)</f>
        <v>0</v>
      </c>
      <c r="J20" s="538">
        <f>SUMIFS('HORAS TRABAJADAS'!M:M,'HORAS TRABAJADAS'!A:A,A20,'HORAS TRABAJADAS'!B:B,"&gt;="&amp;B20,'HORAS TRABAJADAS'!B:B,"&lt;="&amp;C20)</f>
        <v>0</v>
      </c>
      <c r="K20" s="539">
        <f>SUMIFS('HORAS TRABAJADAS'!N:N,'HORAS TRABAJADAS'!A:A,A20,'HORAS TRABAJADAS'!B:B,"&gt;="&amp;B20,'HORAS TRABAJADAS'!B:B,"&lt;="&amp;C20)</f>
        <v>0</v>
      </c>
      <c r="L20" s="533" t="str">
        <f t="shared" si="2"/>
        <v>0 horas y 0 minutos</v>
      </c>
      <c r="M20" s="534">
        <f>SUMIFS('HORAS TRABAJADAS'!Q:Q,'HORAS TRABAJADAS'!A:A,A20,'HORAS TRABAJADAS'!B:B,"&gt;="&amp;B20,'HORAS TRABAJADAS'!B:B,"&lt;="&amp;C20)</f>
        <v>0</v>
      </c>
      <c r="N20" s="535">
        <f t="shared" si="1"/>
        <v>0</v>
      </c>
    </row>
    <row r="21" spans="1:14">
      <c r="A21" s="544">
        <v>1315211554</v>
      </c>
      <c r="B21" s="545">
        <v>43132</v>
      </c>
      <c r="C21" s="546">
        <v>43159</v>
      </c>
      <c r="D21" s="537">
        <f>SUMIFS('HORAS TRABAJADAS'!G$1:G$65538,'HORAS TRABAJADAS'!A$1:A$65538,A21,'HORAS TRABAJADAS'!B$1:B$65538,"&gt;="&amp;B21,'HORAS TRABAJADAS'!B$1:B$65538,"&lt;="&amp;C21)</f>
        <v>0</v>
      </c>
      <c r="E21" s="538">
        <f>SUMIFS('HORAS TRABAJADAS'!H:H,'HORAS TRABAJADAS'!A:A,A21,'HORAS TRABAJADAS'!B:B,"&gt;="&amp;B21,'HORAS TRABAJADAS'!B:B,"&lt;="&amp;C21)</f>
        <v>0</v>
      </c>
      <c r="F21" s="538">
        <f>SUMIFS('HORAS TRABAJADAS'!I:I,'HORAS TRABAJADAS'!A:A,A21,'HORAS TRABAJADAS'!B:B,"&gt;="&amp;B21,'HORAS TRABAJADAS'!B:B,"&lt;="&amp;C21)</f>
        <v>0</v>
      </c>
      <c r="G21" s="538">
        <f>SUMIFS('HORAS TRABAJADAS'!J:J,'HORAS TRABAJADAS'!A:A,A21,'HORAS TRABAJADAS'!B:B,"&gt;="&amp;B21,'HORAS TRABAJADAS'!B:B,"&lt;="&amp;C21)</f>
        <v>0</v>
      </c>
      <c r="H21" s="538">
        <f>SUMIFS('HORAS TRABAJADAS'!K:K,'HORAS TRABAJADAS'!A:A,A21,'HORAS TRABAJADAS'!B:B,"&gt;="&amp;B21,'HORAS TRABAJADAS'!B:B,"&lt;="&amp;C21)</f>
        <v>0</v>
      </c>
      <c r="I21" s="538">
        <f>SUMIFS('HORAS TRABAJADAS'!L:L,'HORAS TRABAJADAS'!A:A,A21,'HORAS TRABAJADAS'!B:B,"&gt;="&amp;B21,'HORAS TRABAJADAS'!B:B,"&lt;="&amp;C21)</f>
        <v>0</v>
      </c>
      <c r="J21" s="538">
        <f>SUMIFS('HORAS TRABAJADAS'!M:M,'HORAS TRABAJADAS'!A:A,A21,'HORAS TRABAJADAS'!B:B,"&gt;="&amp;B21,'HORAS TRABAJADAS'!B:B,"&lt;="&amp;C21)</f>
        <v>0</v>
      </c>
      <c r="K21" s="539">
        <f>SUMIFS('HORAS TRABAJADAS'!N:N,'HORAS TRABAJADAS'!A:A,A21,'HORAS TRABAJADAS'!B:B,"&gt;="&amp;B21,'HORAS TRABAJADAS'!B:B,"&lt;="&amp;C21)</f>
        <v>0</v>
      </c>
      <c r="L21" s="533" t="str">
        <f t="shared" si="2"/>
        <v>0 horas y 0 minutos</v>
      </c>
      <c r="M21" s="534">
        <f>SUMIFS('HORAS TRABAJADAS'!Q:Q,'HORAS TRABAJADAS'!A:A,A21,'HORAS TRABAJADAS'!B:B,"&gt;="&amp;B21,'HORAS TRABAJADAS'!B:B,"&lt;="&amp;C21)</f>
        <v>0</v>
      </c>
      <c r="N21" s="535">
        <f t="shared" si="1"/>
        <v>0</v>
      </c>
    </row>
    <row r="22" spans="1:14">
      <c r="A22" s="544">
        <v>1241318672</v>
      </c>
      <c r="B22" s="545">
        <v>43132</v>
      </c>
      <c r="C22" s="546">
        <v>43159</v>
      </c>
      <c r="D22" s="537">
        <f>SUMIFS('HORAS TRABAJADAS'!G$1:G$65538,'HORAS TRABAJADAS'!A$1:A$65538,A22,'HORAS TRABAJADAS'!B$1:B$65538,"&gt;="&amp;B22,'HORAS TRABAJADAS'!B$1:B$65538,"&lt;="&amp;C22)</f>
        <v>0</v>
      </c>
      <c r="E22" s="538">
        <f>SUMIFS('HORAS TRABAJADAS'!H:H,'HORAS TRABAJADAS'!A:A,A22,'HORAS TRABAJADAS'!B:B,"&gt;="&amp;B22,'HORAS TRABAJADAS'!B:B,"&lt;="&amp;C22)</f>
        <v>0</v>
      </c>
      <c r="F22" s="538">
        <f>SUMIFS('HORAS TRABAJADAS'!I:I,'HORAS TRABAJADAS'!A:A,A22,'HORAS TRABAJADAS'!B:B,"&gt;="&amp;B22,'HORAS TRABAJADAS'!B:B,"&lt;="&amp;C22)</f>
        <v>0</v>
      </c>
      <c r="G22" s="538">
        <f>SUMIFS('HORAS TRABAJADAS'!J:J,'HORAS TRABAJADAS'!A:A,A22,'HORAS TRABAJADAS'!B:B,"&gt;="&amp;B22,'HORAS TRABAJADAS'!B:B,"&lt;="&amp;C22)</f>
        <v>0</v>
      </c>
      <c r="H22" s="538">
        <f>SUMIFS('HORAS TRABAJADAS'!K:K,'HORAS TRABAJADAS'!A:A,A22,'HORAS TRABAJADAS'!B:B,"&gt;="&amp;B22,'HORAS TRABAJADAS'!B:B,"&lt;="&amp;C22)</f>
        <v>0</v>
      </c>
      <c r="I22" s="538">
        <f>SUMIFS('HORAS TRABAJADAS'!L:L,'HORAS TRABAJADAS'!A:A,A22,'HORAS TRABAJADAS'!B:B,"&gt;="&amp;B22,'HORAS TRABAJADAS'!B:B,"&lt;="&amp;C22)</f>
        <v>0</v>
      </c>
      <c r="J22" s="538">
        <f>SUMIFS('HORAS TRABAJADAS'!M:M,'HORAS TRABAJADAS'!A:A,A22,'HORAS TRABAJADAS'!B:B,"&gt;="&amp;B22,'HORAS TRABAJADAS'!B:B,"&lt;="&amp;C22)</f>
        <v>0</v>
      </c>
      <c r="K22" s="539">
        <f>SUMIFS('HORAS TRABAJADAS'!N:N,'HORAS TRABAJADAS'!A:A,A22,'HORAS TRABAJADAS'!B:B,"&gt;="&amp;B22,'HORAS TRABAJADAS'!B:B,"&lt;="&amp;C22)</f>
        <v>0</v>
      </c>
      <c r="L22" s="533" t="str">
        <f t="shared" si="2"/>
        <v>0 horas y 0 minutos</v>
      </c>
      <c r="M22" s="534">
        <f>SUMIFS('HORAS TRABAJADAS'!Q:Q,'HORAS TRABAJADAS'!A:A,A22,'HORAS TRABAJADAS'!B:B,"&gt;="&amp;B22,'HORAS TRABAJADAS'!B:B,"&lt;="&amp;C22)</f>
        <v>0</v>
      </c>
      <c r="N22" s="535">
        <f t="shared" si="1"/>
        <v>0</v>
      </c>
    </row>
    <row r="23" spans="1:14">
      <c r="A23" s="544">
        <v>1324063080</v>
      </c>
      <c r="B23" s="545">
        <v>43132</v>
      </c>
      <c r="C23" s="546">
        <v>43159</v>
      </c>
      <c r="D23" s="537">
        <f>SUMIFS('HORAS TRABAJADAS'!G$1:G$65538,'HORAS TRABAJADAS'!A$1:A$65538,A23,'HORAS TRABAJADAS'!B$1:B$65538,"&gt;="&amp;B23,'HORAS TRABAJADAS'!B$1:B$65538,"&lt;="&amp;C23)</f>
        <v>0</v>
      </c>
      <c r="E23" s="538">
        <f>SUMIFS('HORAS TRABAJADAS'!H:H,'HORAS TRABAJADAS'!A:A,A23,'HORAS TRABAJADAS'!B:B,"&gt;="&amp;B23,'HORAS TRABAJADAS'!B:B,"&lt;="&amp;C23)</f>
        <v>0</v>
      </c>
      <c r="F23" s="538">
        <f>SUMIFS('HORAS TRABAJADAS'!I:I,'HORAS TRABAJADAS'!A:A,A23,'HORAS TRABAJADAS'!B:B,"&gt;="&amp;B23,'HORAS TRABAJADAS'!B:B,"&lt;="&amp;C23)</f>
        <v>0</v>
      </c>
      <c r="G23" s="538">
        <f>SUMIFS('HORAS TRABAJADAS'!J:J,'HORAS TRABAJADAS'!A:A,A23,'HORAS TRABAJADAS'!B:B,"&gt;="&amp;B23,'HORAS TRABAJADAS'!B:B,"&lt;="&amp;C23)</f>
        <v>0</v>
      </c>
      <c r="H23" s="538">
        <f>SUMIFS('HORAS TRABAJADAS'!K:K,'HORAS TRABAJADAS'!A:A,A23,'HORAS TRABAJADAS'!B:B,"&gt;="&amp;B23,'HORAS TRABAJADAS'!B:B,"&lt;="&amp;C23)</f>
        <v>0</v>
      </c>
      <c r="I23" s="538">
        <f>SUMIFS('HORAS TRABAJADAS'!L:L,'HORAS TRABAJADAS'!A:A,A23,'HORAS TRABAJADAS'!B:B,"&gt;="&amp;B23,'HORAS TRABAJADAS'!B:B,"&lt;="&amp;C23)</f>
        <v>0</v>
      </c>
      <c r="J23" s="538">
        <f>SUMIFS('HORAS TRABAJADAS'!M:M,'HORAS TRABAJADAS'!A:A,A23,'HORAS TRABAJADAS'!B:B,"&gt;="&amp;B23,'HORAS TRABAJADAS'!B:B,"&lt;="&amp;C23)</f>
        <v>0</v>
      </c>
      <c r="K23" s="539">
        <f>SUMIFS('HORAS TRABAJADAS'!N:N,'HORAS TRABAJADAS'!A:A,A23,'HORAS TRABAJADAS'!B:B,"&gt;="&amp;B23,'HORAS TRABAJADAS'!B:B,"&lt;="&amp;C23)</f>
        <v>0</v>
      </c>
      <c r="L23" s="533" t="str">
        <f t="shared" si="2"/>
        <v>0 horas y 0 minutos</v>
      </c>
      <c r="M23" s="534">
        <f>SUMIFS('HORAS TRABAJADAS'!Q:Q,'HORAS TRABAJADAS'!A:A,A23,'HORAS TRABAJADAS'!B:B,"&gt;="&amp;B23,'HORAS TRABAJADAS'!B:B,"&lt;="&amp;C23)</f>
        <v>0</v>
      </c>
      <c r="N23" s="535">
        <f t="shared" si="1"/>
        <v>0</v>
      </c>
    </row>
    <row r="24" spans="1:14">
      <c r="A24" s="544">
        <v>1259425899</v>
      </c>
      <c r="B24" s="545">
        <v>43132</v>
      </c>
      <c r="C24" s="546">
        <v>43159</v>
      </c>
      <c r="D24" s="537">
        <f>SUMIFS('HORAS TRABAJADAS'!G$1:G$65538,'HORAS TRABAJADAS'!A$1:A$65538,A24,'HORAS TRABAJADAS'!B$1:B$65538,"&gt;="&amp;B24,'HORAS TRABAJADAS'!B$1:B$65538,"&lt;="&amp;C24)</f>
        <v>0</v>
      </c>
      <c r="E24" s="538">
        <f>SUMIFS('HORAS TRABAJADAS'!H:H,'HORAS TRABAJADAS'!A:A,A24,'HORAS TRABAJADAS'!B:B,"&gt;="&amp;B24,'HORAS TRABAJADAS'!B:B,"&lt;="&amp;C24)</f>
        <v>0</v>
      </c>
      <c r="F24" s="538">
        <f>SUMIFS('HORAS TRABAJADAS'!I:I,'HORAS TRABAJADAS'!A:A,A24,'HORAS TRABAJADAS'!B:B,"&gt;="&amp;B24,'HORAS TRABAJADAS'!B:B,"&lt;="&amp;C24)</f>
        <v>0</v>
      </c>
      <c r="G24" s="538">
        <f>SUMIFS('HORAS TRABAJADAS'!J:J,'HORAS TRABAJADAS'!A:A,A24,'HORAS TRABAJADAS'!B:B,"&gt;="&amp;B24,'HORAS TRABAJADAS'!B:B,"&lt;="&amp;C24)</f>
        <v>0</v>
      </c>
      <c r="H24" s="538">
        <f>SUMIFS('HORAS TRABAJADAS'!K:K,'HORAS TRABAJADAS'!A:A,A24,'HORAS TRABAJADAS'!B:B,"&gt;="&amp;B24,'HORAS TRABAJADAS'!B:B,"&lt;="&amp;C24)</f>
        <v>0</v>
      </c>
      <c r="I24" s="538">
        <f>SUMIFS('HORAS TRABAJADAS'!L:L,'HORAS TRABAJADAS'!A:A,A24,'HORAS TRABAJADAS'!B:B,"&gt;="&amp;B24,'HORAS TRABAJADAS'!B:B,"&lt;="&amp;C24)</f>
        <v>0</v>
      </c>
      <c r="J24" s="538">
        <f>SUMIFS('HORAS TRABAJADAS'!M:M,'HORAS TRABAJADAS'!A:A,A24,'HORAS TRABAJADAS'!B:B,"&gt;="&amp;B24,'HORAS TRABAJADAS'!B:B,"&lt;="&amp;C24)</f>
        <v>0</v>
      </c>
      <c r="K24" s="539">
        <f>SUMIFS('HORAS TRABAJADAS'!N:N,'HORAS TRABAJADAS'!A:A,A24,'HORAS TRABAJADAS'!B:B,"&gt;="&amp;B24,'HORAS TRABAJADAS'!B:B,"&lt;="&amp;C24)</f>
        <v>0</v>
      </c>
      <c r="L24" s="533" t="str">
        <f t="shared" si="2"/>
        <v>0 horas y 0 minutos</v>
      </c>
      <c r="M24" s="534">
        <f>SUMIFS('HORAS TRABAJADAS'!Q:Q,'HORAS TRABAJADAS'!A:A,A24,'HORAS TRABAJADAS'!B:B,"&gt;="&amp;B24,'HORAS TRABAJADAS'!B:B,"&lt;="&amp;C24)</f>
        <v>0</v>
      </c>
      <c r="N24" s="535">
        <f t="shared" si="1"/>
        <v>0</v>
      </c>
    </row>
    <row r="25" spans="1:14">
      <c r="A25" s="541"/>
      <c r="B25" s="542"/>
      <c r="C25" s="543"/>
      <c r="D25" s="537">
        <f>SUMIFS('HORAS TRABAJADAS'!G$1:G$65538,'HORAS TRABAJADAS'!A$1:A$65538,A25,'HORAS TRABAJADAS'!B$1:B$65538,"&gt;="&amp;B25,'HORAS TRABAJADAS'!B$1:B$65538,"&lt;="&amp;C25)</f>
        <v>0</v>
      </c>
      <c r="E25" s="538">
        <f>SUMIFS('HORAS TRABAJADAS'!H:H,'HORAS TRABAJADAS'!A:A,A25,'HORAS TRABAJADAS'!B:B,"&gt;="&amp;B25,'HORAS TRABAJADAS'!B:B,"&lt;="&amp;C25)</f>
        <v>0</v>
      </c>
      <c r="F25" s="538">
        <f>SUMIFS('HORAS TRABAJADAS'!I:I,'HORAS TRABAJADAS'!A:A,A25,'HORAS TRABAJADAS'!B:B,"&gt;="&amp;B25,'HORAS TRABAJADAS'!B:B,"&lt;="&amp;C25)</f>
        <v>0</v>
      </c>
      <c r="G25" s="538">
        <f>SUMIFS('HORAS TRABAJADAS'!J:J,'HORAS TRABAJADAS'!A:A,A25,'HORAS TRABAJADAS'!B:B,"&gt;="&amp;B25,'HORAS TRABAJADAS'!B:B,"&lt;="&amp;C25)</f>
        <v>0</v>
      </c>
      <c r="H25" s="538">
        <f>SUMIFS('HORAS TRABAJADAS'!K:K,'HORAS TRABAJADAS'!A:A,A25,'HORAS TRABAJADAS'!B:B,"&gt;="&amp;B25,'HORAS TRABAJADAS'!B:B,"&lt;="&amp;C25)</f>
        <v>0</v>
      </c>
      <c r="I25" s="538">
        <f>SUMIFS('HORAS TRABAJADAS'!L:L,'HORAS TRABAJADAS'!A:A,A25,'HORAS TRABAJADAS'!B:B,"&gt;="&amp;B25,'HORAS TRABAJADAS'!B:B,"&lt;="&amp;C25)</f>
        <v>0</v>
      </c>
      <c r="J25" s="538">
        <f>SUMIFS('HORAS TRABAJADAS'!M:M,'HORAS TRABAJADAS'!A:A,A25,'HORAS TRABAJADAS'!B:B,"&gt;="&amp;B25,'HORAS TRABAJADAS'!B:B,"&lt;="&amp;C25)</f>
        <v>0</v>
      </c>
      <c r="K25" s="539">
        <f>SUMIFS('HORAS TRABAJADAS'!N:N,'HORAS TRABAJADAS'!A:A,A25,'HORAS TRABAJADAS'!B:B,"&gt;="&amp;B25,'HORAS TRABAJADAS'!B:B,"&lt;="&amp;C25)</f>
        <v>0</v>
      </c>
      <c r="L25" s="533" t="str">
        <f t="shared" si="2"/>
        <v>0 horas y 0 minutos</v>
      </c>
      <c r="M25" s="534">
        <f>SUMIFS('HORAS TRABAJADAS'!Q:Q,'HORAS TRABAJADAS'!A:A,A25,'HORAS TRABAJADAS'!B:B,"&gt;="&amp;B25,'HORAS TRABAJADAS'!B:B,"&lt;="&amp;C25)</f>
        <v>0</v>
      </c>
      <c r="N25" s="535">
        <f t="shared" si="1"/>
        <v>0</v>
      </c>
    </row>
    <row r="26" spans="1:14">
      <c r="A26" s="547">
        <v>1321648522</v>
      </c>
      <c r="B26" s="548">
        <v>43160</v>
      </c>
      <c r="C26" s="549">
        <v>43190</v>
      </c>
      <c r="D26" s="537">
        <f>SUMIFS('HORAS TRABAJADAS'!G$1:G$65538,'HORAS TRABAJADAS'!A$1:A$65538,A26,'HORAS TRABAJADAS'!B$1:B$65538,"&gt;="&amp;B26,'HORAS TRABAJADAS'!B$1:B$65538,"&lt;="&amp;C26)</f>
        <v>0</v>
      </c>
      <c r="E26" s="538">
        <f>SUMIFS('HORAS TRABAJADAS'!H:H,'HORAS TRABAJADAS'!A:A,A26,'HORAS TRABAJADAS'!B:B,"&gt;="&amp;B26,'HORAS TRABAJADAS'!B:B,"&lt;="&amp;C26)</f>
        <v>0</v>
      </c>
      <c r="F26" s="538">
        <f>SUMIFS('HORAS TRABAJADAS'!I:I,'HORAS TRABAJADAS'!A:A,A26,'HORAS TRABAJADAS'!B:B,"&gt;="&amp;B26,'HORAS TRABAJADAS'!B:B,"&lt;="&amp;C26)</f>
        <v>0</v>
      </c>
      <c r="G26" s="538">
        <f>SUMIFS('HORAS TRABAJADAS'!J:J,'HORAS TRABAJADAS'!A:A,A26,'HORAS TRABAJADAS'!B:B,"&gt;="&amp;B26,'HORAS TRABAJADAS'!B:B,"&lt;="&amp;C26)</f>
        <v>0</v>
      </c>
      <c r="H26" s="538">
        <f>SUMIFS('HORAS TRABAJADAS'!K:K,'HORAS TRABAJADAS'!A:A,A26,'HORAS TRABAJADAS'!B:B,"&gt;="&amp;B26,'HORAS TRABAJADAS'!B:B,"&lt;="&amp;C26)</f>
        <v>0</v>
      </c>
      <c r="I26" s="538">
        <f>SUMIFS('HORAS TRABAJADAS'!L:L,'HORAS TRABAJADAS'!A:A,A26,'HORAS TRABAJADAS'!B:B,"&gt;="&amp;B26,'HORAS TRABAJADAS'!B:B,"&lt;="&amp;C26)</f>
        <v>0</v>
      </c>
      <c r="J26" s="538">
        <f>SUMIFS('HORAS TRABAJADAS'!M:M,'HORAS TRABAJADAS'!A:A,A26,'HORAS TRABAJADAS'!B:B,"&gt;="&amp;B26,'HORAS TRABAJADAS'!B:B,"&lt;="&amp;C26)</f>
        <v>0</v>
      </c>
      <c r="K26" s="539">
        <f>SUMIFS('HORAS TRABAJADAS'!N:N,'HORAS TRABAJADAS'!A:A,A26,'HORAS TRABAJADAS'!B:B,"&gt;="&amp;B26,'HORAS TRABAJADAS'!B:B,"&lt;="&amp;C26)</f>
        <v>0</v>
      </c>
      <c r="L26" s="533" t="str">
        <f t="shared" si="2"/>
        <v>0 horas y 0 minutos</v>
      </c>
      <c r="M26" s="534">
        <f>SUMIFS('HORAS TRABAJADAS'!Q:Q,'HORAS TRABAJADAS'!A:A,A26,'HORAS TRABAJADAS'!B:B,"&gt;="&amp;B26,'HORAS TRABAJADAS'!B:B,"&lt;="&amp;C26)</f>
        <v>0</v>
      </c>
      <c r="N26" s="535">
        <f t="shared" si="1"/>
        <v>0</v>
      </c>
    </row>
    <row r="27" spans="1:14">
      <c r="A27" s="547">
        <v>1323384207</v>
      </c>
      <c r="B27" s="548">
        <v>43160</v>
      </c>
      <c r="C27" s="549">
        <v>43190</v>
      </c>
      <c r="D27" s="537">
        <f>SUMIFS('HORAS TRABAJADAS'!G$1:G$65538,'HORAS TRABAJADAS'!A$1:A$65538,A27,'HORAS TRABAJADAS'!B$1:B$65538,"&gt;="&amp;B27,'HORAS TRABAJADAS'!B$1:B$65538,"&lt;="&amp;C27)</f>
        <v>0</v>
      </c>
      <c r="E27" s="538">
        <f>SUMIFS('HORAS TRABAJADAS'!H:H,'HORAS TRABAJADAS'!A:A,A27,'HORAS TRABAJADAS'!B:B,"&gt;="&amp;B27,'HORAS TRABAJADAS'!B:B,"&lt;="&amp;C27)</f>
        <v>0</v>
      </c>
      <c r="F27" s="538">
        <f>SUMIFS('HORAS TRABAJADAS'!I:I,'HORAS TRABAJADAS'!A:A,A27,'HORAS TRABAJADAS'!B:B,"&gt;="&amp;B27,'HORAS TRABAJADAS'!B:B,"&lt;="&amp;C27)</f>
        <v>0</v>
      </c>
      <c r="G27" s="538">
        <f>SUMIFS('HORAS TRABAJADAS'!J:J,'HORAS TRABAJADAS'!A:A,A27,'HORAS TRABAJADAS'!B:B,"&gt;="&amp;B27,'HORAS TRABAJADAS'!B:B,"&lt;="&amp;C27)</f>
        <v>0</v>
      </c>
      <c r="H27" s="538">
        <f>SUMIFS('HORAS TRABAJADAS'!K:K,'HORAS TRABAJADAS'!A:A,A27,'HORAS TRABAJADAS'!B:B,"&gt;="&amp;B27,'HORAS TRABAJADAS'!B:B,"&lt;="&amp;C27)</f>
        <v>0</v>
      </c>
      <c r="I27" s="538">
        <f>SUMIFS('HORAS TRABAJADAS'!L:L,'HORAS TRABAJADAS'!A:A,A27,'HORAS TRABAJADAS'!B:B,"&gt;="&amp;B27,'HORAS TRABAJADAS'!B:B,"&lt;="&amp;C27)</f>
        <v>0</v>
      </c>
      <c r="J27" s="538">
        <f>SUMIFS('HORAS TRABAJADAS'!M:M,'HORAS TRABAJADAS'!A:A,A27,'HORAS TRABAJADAS'!B:B,"&gt;="&amp;B27,'HORAS TRABAJADAS'!B:B,"&lt;="&amp;C27)</f>
        <v>0</v>
      </c>
      <c r="K27" s="539">
        <f>SUMIFS('HORAS TRABAJADAS'!N:N,'HORAS TRABAJADAS'!A:A,A27,'HORAS TRABAJADAS'!B:B,"&gt;="&amp;B27,'HORAS TRABAJADAS'!B:B,"&lt;="&amp;C27)</f>
        <v>0</v>
      </c>
      <c r="L27" s="533" t="str">
        <f t="shared" si="2"/>
        <v>0 horas y 0 minutos</v>
      </c>
      <c r="M27" s="534">
        <f>SUMIFS('HORAS TRABAJADAS'!Q:Q,'HORAS TRABAJADAS'!A:A,A27,'HORAS TRABAJADAS'!B:B,"&gt;="&amp;B27,'HORAS TRABAJADAS'!B:B,"&lt;="&amp;C27)</f>
        <v>0</v>
      </c>
      <c r="N27" s="535">
        <f t="shared" si="1"/>
        <v>0</v>
      </c>
    </row>
    <row r="28" spans="1:14">
      <c r="A28" s="547">
        <v>1237462775</v>
      </c>
      <c r="B28" s="548">
        <v>43160</v>
      </c>
      <c r="C28" s="549">
        <v>43190</v>
      </c>
      <c r="D28" s="537">
        <f>SUMIFS('HORAS TRABAJADAS'!G$1:G$65538,'HORAS TRABAJADAS'!A$1:A$65538,A28,'HORAS TRABAJADAS'!B$1:B$65538,"&gt;="&amp;B28,'HORAS TRABAJADAS'!B$1:B$65538,"&lt;="&amp;C28)</f>
        <v>0</v>
      </c>
      <c r="E28" s="538">
        <f>SUMIFS('HORAS TRABAJADAS'!H:H,'HORAS TRABAJADAS'!A:A,A28,'HORAS TRABAJADAS'!B:B,"&gt;="&amp;B28,'HORAS TRABAJADAS'!B:B,"&lt;="&amp;C28)</f>
        <v>0</v>
      </c>
      <c r="F28" s="538">
        <f>SUMIFS('HORAS TRABAJADAS'!I:I,'HORAS TRABAJADAS'!A:A,A28,'HORAS TRABAJADAS'!B:B,"&gt;="&amp;B28,'HORAS TRABAJADAS'!B:B,"&lt;="&amp;C28)</f>
        <v>0</v>
      </c>
      <c r="G28" s="538">
        <f>SUMIFS('HORAS TRABAJADAS'!J:J,'HORAS TRABAJADAS'!A:A,A28,'HORAS TRABAJADAS'!B:B,"&gt;="&amp;B28,'HORAS TRABAJADAS'!B:B,"&lt;="&amp;C28)</f>
        <v>0</v>
      </c>
      <c r="H28" s="538">
        <f>SUMIFS('HORAS TRABAJADAS'!K:K,'HORAS TRABAJADAS'!A:A,A28,'HORAS TRABAJADAS'!B:B,"&gt;="&amp;B28,'HORAS TRABAJADAS'!B:B,"&lt;="&amp;C28)</f>
        <v>0</v>
      </c>
      <c r="I28" s="538">
        <f>SUMIFS('HORAS TRABAJADAS'!L:L,'HORAS TRABAJADAS'!A:A,A28,'HORAS TRABAJADAS'!B:B,"&gt;="&amp;B28,'HORAS TRABAJADAS'!B:B,"&lt;="&amp;C28)</f>
        <v>0</v>
      </c>
      <c r="J28" s="538">
        <f>SUMIFS('HORAS TRABAJADAS'!M:M,'HORAS TRABAJADAS'!A:A,A28,'HORAS TRABAJADAS'!B:B,"&gt;="&amp;B28,'HORAS TRABAJADAS'!B:B,"&lt;="&amp;C28)</f>
        <v>0</v>
      </c>
      <c r="K28" s="539">
        <f>SUMIFS('HORAS TRABAJADAS'!N:N,'HORAS TRABAJADAS'!A:A,A28,'HORAS TRABAJADAS'!B:B,"&gt;="&amp;B28,'HORAS TRABAJADAS'!B:B,"&lt;="&amp;C28)</f>
        <v>0</v>
      </c>
      <c r="L28" s="533" t="str">
        <f t="shared" si="2"/>
        <v>0 horas y 0 minutos</v>
      </c>
      <c r="M28" s="534">
        <f>SUMIFS('HORAS TRABAJADAS'!Q:Q,'HORAS TRABAJADAS'!A:A,A28,'HORAS TRABAJADAS'!B:B,"&gt;="&amp;B28,'HORAS TRABAJADAS'!B:B,"&lt;="&amp;C28)</f>
        <v>0</v>
      </c>
      <c r="N28" s="535">
        <f t="shared" si="1"/>
        <v>0</v>
      </c>
    </row>
    <row r="29" spans="1:14">
      <c r="A29" s="547">
        <v>1285748000</v>
      </c>
      <c r="B29" s="548">
        <v>43160</v>
      </c>
      <c r="C29" s="549">
        <v>43190</v>
      </c>
      <c r="D29" s="537">
        <f>SUMIFS('HORAS TRABAJADAS'!G$1:G$65538,'HORAS TRABAJADAS'!A$1:A$65538,A29,'HORAS TRABAJADAS'!B$1:B$65538,"&gt;="&amp;B29,'HORAS TRABAJADAS'!B$1:B$65538,"&lt;="&amp;C29)</f>
        <v>0</v>
      </c>
      <c r="E29" s="538">
        <f>SUMIFS('HORAS TRABAJADAS'!H:H,'HORAS TRABAJADAS'!A:A,A29,'HORAS TRABAJADAS'!B:B,"&gt;="&amp;B29,'HORAS TRABAJADAS'!B:B,"&lt;="&amp;C29)</f>
        <v>0</v>
      </c>
      <c r="F29" s="538">
        <f>SUMIFS('HORAS TRABAJADAS'!I:I,'HORAS TRABAJADAS'!A:A,A29,'HORAS TRABAJADAS'!B:B,"&gt;="&amp;B29,'HORAS TRABAJADAS'!B:B,"&lt;="&amp;C29)</f>
        <v>0</v>
      </c>
      <c r="G29" s="538">
        <f>SUMIFS('HORAS TRABAJADAS'!J:J,'HORAS TRABAJADAS'!A:A,A29,'HORAS TRABAJADAS'!B:B,"&gt;="&amp;B29,'HORAS TRABAJADAS'!B:B,"&lt;="&amp;C29)</f>
        <v>0</v>
      </c>
      <c r="H29" s="538">
        <f>SUMIFS('HORAS TRABAJADAS'!K:K,'HORAS TRABAJADAS'!A:A,A29,'HORAS TRABAJADAS'!B:B,"&gt;="&amp;B29,'HORAS TRABAJADAS'!B:B,"&lt;="&amp;C29)</f>
        <v>0</v>
      </c>
      <c r="I29" s="538">
        <f>SUMIFS('HORAS TRABAJADAS'!L:L,'HORAS TRABAJADAS'!A:A,A29,'HORAS TRABAJADAS'!B:B,"&gt;="&amp;B29,'HORAS TRABAJADAS'!B:B,"&lt;="&amp;C29)</f>
        <v>0</v>
      </c>
      <c r="J29" s="538">
        <f>SUMIFS('HORAS TRABAJADAS'!M:M,'HORAS TRABAJADAS'!A:A,A29,'HORAS TRABAJADAS'!B:B,"&gt;="&amp;B29,'HORAS TRABAJADAS'!B:B,"&lt;="&amp;C29)</f>
        <v>0</v>
      </c>
      <c r="K29" s="539">
        <f>SUMIFS('HORAS TRABAJADAS'!N:N,'HORAS TRABAJADAS'!A:A,A29,'HORAS TRABAJADAS'!B:B,"&gt;="&amp;B29,'HORAS TRABAJADAS'!B:B,"&lt;="&amp;C29)</f>
        <v>0</v>
      </c>
      <c r="L29" s="533" t="str">
        <f t="shared" si="2"/>
        <v>0 horas y 0 minutos</v>
      </c>
      <c r="M29" s="534">
        <f>SUMIFS('HORAS TRABAJADAS'!Q:Q,'HORAS TRABAJADAS'!A:A,A29,'HORAS TRABAJADAS'!B:B,"&gt;="&amp;B29,'HORAS TRABAJADAS'!B:B,"&lt;="&amp;C29)</f>
        <v>0</v>
      </c>
      <c r="N29" s="535">
        <f t="shared" si="1"/>
        <v>0</v>
      </c>
    </row>
    <row r="30" spans="1:14">
      <c r="A30" s="547">
        <v>1247550875</v>
      </c>
      <c r="B30" s="548">
        <v>43160</v>
      </c>
      <c r="C30" s="549">
        <v>43190</v>
      </c>
      <c r="D30" s="537">
        <f>SUMIFS('HORAS TRABAJADAS'!G$1:G$65538,'HORAS TRABAJADAS'!A$1:A$65538,A30,'HORAS TRABAJADAS'!B$1:B$65538,"&gt;="&amp;B30,'HORAS TRABAJADAS'!B$1:B$65538,"&lt;="&amp;C30)</f>
        <v>0</v>
      </c>
      <c r="E30" s="538">
        <f>SUMIFS('HORAS TRABAJADAS'!H:H,'HORAS TRABAJADAS'!A:A,A30,'HORAS TRABAJADAS'!B:B,"&gt;="&amp;B30,'HORAS TRABAJADAS'!B:B,"&lt;="&amp;C30)</f>
        <v>0</v>
      </c>
      <c r="F30" s="538">
        <f>SUMIFS('HORAS TRABAJADAS'!I:I,'HORAS TRABAJADAS'!A:A,A30,'HORAS TRABAJADAS'!B:B,"&gt;="&amp;B30,'HORAS TRABAJADAS'!B:B,"&lt;="&amp;C30)</f>
        <v>0</v>
      </c>
      <c r="G30" s="538">
        <f>SUMIFS('HORAS TRABAJADAS'!J:J,'HORAS TRABAJADAS'!A:A,A30,'HORAS TRABAJADAS'!B:B,"&gt;="&amp;B30,'HORAS TRABAJADAS'!B:B,"&lt;="&amp;C30)</f>
        <v>0</v>
      </c>
      <c r="H30" s="538">
        <f>SUMIFS('HORAS TRABAJADAS'!K:K,'HORAS TRABAJADAS'!A:A,A30,'HORAS TRABAJADAS'!B:B,"&gt;="&amp;B30,'HORAS TRABAJADAS'!B:B,"&lt;="&amp;C30)</f>
        <v>0</v>
      </c>
      <c r="I30" s="538">
        <f>SUMIFS('HORAS TRABAJADAS'!L:L,'HORAS TRABAJADAS'!A:A,A30,'HORAS TRABAJADAS'!B:B,"&gt;="&amp;B30,'HORAS TRABAJADAS'!B:B,"&lt;="&amp;C30)</f>
        <v>0</v>
      </c>
      <c r="J30" s="538">
        <f>SUMIFS('HORAS TRABAJADAS'!M:M,'HORAS TRABAJADAS'!A:A,A30,'HORAS TRABAJADAS'!B:B,"&gt;="&amp;B30,'HORAS TRABAJADAS'!B:B,"&lt;="&amp;C30)</f>
        <v>0</v>
      </c>
      <c r="K30" s="539">
        <f>SUMIFS('HORAS TRABAJADAS'!N:N,'HORAS TRABAJADAS'!A:A,A30,'HORAS TRABAJADAS'!B:B,"&gt;="&amp;B30,'HORAS TRABAJADAS'!B:B,"&lt;="&amp;C30)</f>
        <v>0</v>
      </c>
      <c r="L30" s="533" t="str">
        <f t="shared" si="2"/>
        <v>0 horas y 0 minutos</v>
      </c>
      <c r="M30" s="534">
        <f>SUMIFS('HORAS TRABAJADAS'!Q:Q,'HORAS TRABAJADAS'!A:A,A30,'HORAS TRABAJADAS'!B:B,"&gt;="&amp;B30,'HORAS TRABAJADAS'!B:B,"&lt;="&amp;C30)</f>
        <v>0</v>
      </c>
      <c r="N30" s="535">
        <f t="shared" si="1"/>
        <v>0</v>
      </c>
    </row>
    <row r="31" spans="1:14">
      <c r="A31" s="547">
        <v>1311966071</v>
      </c>
      <c r="B31" s="548">
        <v>43160</v>
      </c>
      <c r="C31" s="549">
        <v>43190</v>
      </c>
      <c r="D31" s="537">
        <f>SUMIFS('HORAS TRABAJADAS'!G$1:G$65538,'HORAS TRABAJADAS'!A$1:A$65538,A31,'HORAS TRABAJADAS'!B$1:B$65538,"&gt;="&amp;B31,'HORAS TRABAJADAS'!B$1:B$65538,"&lt;="&amp;C31)</f>
        <v>0</v>
      </c>
      <c r="E31" s="538">
        <f>SUMIFS('HORAS TRABAJADAS'!H:H,'HORAS TRABAJADAS'!A:A,A31,'HORAS TRABAJADAS'!B:B,"&gt;="&amp;B31,'HORAS TRABAJADAS'!B:B,"&lt;="&amp;C31)</f>
        <v>0</v>
      </c>
      <c r="F31" s="538">
        <f>SUMIFS('HORAS TRABAJADAS'!I:I,'HORAS TRABAJADAS'!A:A,A31,'HORAS TRABAJADAS'!B:B,"&gt;="&amp;B31,'HORAS TRABAJADAS'!B:B,"&lt;="&amp;C31)</f>
        <v>0</v>
      </c>
      <c r="G31" s="538">
        <f>SUMIFS('HORAS TRABAJADAS'!J:J,'HORAS TRABAJADAS'!A:A,A31,'HORAS TRABAJADAS'!B:B,"&gt;="&amp;B31,'HORAS TRABAJADAS'!B:B,"&lt;="&amp;C31)</f>
        <v>0</v>
      </c>
      <c r="H31" s="538">
        <f>SUMIFS('HORAS TRABAJADAS'!K:K,'HORAS TRABAJADAS'!A:A,A31,'HORAS TRABAJADAS'!B:B,"&gt;="&amp;B31,'HORAS TRABAJADAS'!B:B,"&lt;="&amp;C31)</f>
        <v>0</v>
      </c>
      <c r="I31" s="538">
        <f>SUMIFS('HORAS TRABAJADAS'!L:L,'HORAS TRABAJADAS'!A:A,A31,'HORAS TRABAJADAS'!B:B,"&gt;="&amp;B31,'HORAS TRABAJADAS'!B:B,"&lt;="&amp;C31)</f>
        <v>0</v>
      </c>
      <c r="J31" s="538">
        <f>SUMIFS('HORAS TRABAJADAS'!M:M,'HORAS TRABAJADAS'!A:A,A31,'HORAS TRABAJADAS'!B:B,"&gt;="&amp;B31,'HORAS TRABAJADAS'!B:B,"&lt;="&amp;C31)</f>
        <v>0</v>
      </c>
      <c r="K31" s="539">
        <f>SUMIFS('HORAS TRABAJADAS'!N:N,'HORAS TRABAJADAS'!A:A,A31,'HORAS TRABAJADAS'!B:B,"&gt;="&amp;B31,'HORAS TRABAJADAS'!B:B,"&lt;="&amp;C31)</f>
        <v>0</v>
      </c>
      <c r="L31" s="533" t="str">
        <f t="shared" si="2"/>
        <v>0 horas y 0 minutos</v>
      </c>
      <c r="M31" s="534">
        <f>SUMIFS('HORAS TRABAJADAS'!Q:Q,'HORAS TRABAJADAS'!A:A,A31,'HORAS TRABAJADAS'!B:B,"&gt;="&amp;B31,'HORAS TRABAJADAS'!B:B,"&lt;="&amp;C31)</f>
        <v>0</v>
      </c>
      <c r="N31" s="535">
        <f t="shared" si="1"/>
        <v>0</v>
      </c>
    </row>
    <row r="32" spans="1:14">
      <c r="A32" s="547">
        <v>1317424267</v>
      </c>
      <c r="B32" s="548">
        <v>43160</v>
      </c>
      <c r="C32" s="549">
        <v>43190</v>
      </c>
      <c r="D32" s="537">
        <f>SUMIFS('HORAS TRABAJADAS'!G$1:G$65538,'HORAS TRABAJADAS'!A$1:A$65538,A32,'HORAS TRABAJADAS'!B$1:B$65538,"&gt;="&amp;B32,'HORAS TRABAJADAS'!B$1:B$65538,"&lt;="&amp;C32)</f>
        <v>0</v>
      </c>
      <c r="E32" s="538">
        <f>SUMIFS('HORAS TRABAJADAS'!H:H,'HORAS TRABAJADAS'!A:A,A32,'HORAS TRABAJADAS'!B:B,"&gt;="&amp;B32,'HORAS TRABAJADAS'!B:B,"&lt;="&amp;C32)</f>
        <v>0</v>
      </c>
      <c r="F32" s="538">
        <f>SUMIFS('HORAS TRABAJADAS'!I:I,'HORAS TRABAJADAS'!A:A,A32,'HORAS TRABAJADAS'!B:B,"&gt;="&amp;B32,'HORAS TRABAJADAS'!B:B,"&lt;="&amp;C32)</f>
        <v>0</v>
      </c>
      <c r="G32" s="538">
        <f>SUMIFS('HORAS TRABAJADAS'!J:J,'HORAS TRABAJADAS'!A:A,A32,'HORAS TRABAJADAS'!B:B,"&gt;="&amp;B32,'HORAS TRABAJADAS'!B:B,"&lt;="&amp;C32)</f>
        <v>0</v>
      </c>
      <c r="H32" s="538">
        <f>SUMIFS('HORAS TRABAJADAS'!K:K,'HORAS TRABAJADAS'!A:A,A32,'HORAS TRABAJADAS'!B:B,"&gt;="&amp;B32,'HORAS TRABAJADAS'!B:B,"&lt;="&amp;C32)</f>
        <v>0</v>
      </c>
      <c r="I32" s="538">
        <f>SUMIFS('HORAS TRABAJADAS'!L:L,'HORAS TRABAJADAS'!A:A,A32,'HORAS TRABAJADAS'!B:B,"&gt;="&amp;B32,'HORAS TRABAJADAS'!B:B,"&lt;="&amp;C32)</f>
        <v>0</v>
      </c>
      <c r="J32" s="538">
        <f>SUMIFS('HORAS TRABAJADAS'!M:M,'HORAS TRABAJADAS'!A:A,A32,'HORAS TRABAJADAS'!B:B,"&gt;="&amp;B32,'HORAS TRABAJADAS'!B:B,"&lt;="&amp;C32)</f>
        <v>0</v>
      </c>
      <c r="K32" s="539">
        <f>SUMIFS('HORAS TRABAJADAS'!N:N,'HORAS TRABAJADAS'!A:A,A32,'HORAS TRABAJADAS'!B:B,"&gt;="&amp;B32,'HORAS TRABAJADAS'!B:B,"&lt;="&amp;C32)</f>
        <v>0</v>
      </c>
      <c r="L32" s="533" t="str">
        <f t="shared" si="2"/>
        <v>0 horas y 0 minutos</v>
      </c>
      <c r="M32" s="534">
        <f>SUMIFS('HORAS TRABAJADAS'!Q:Q,'HORAS TRABAJADAS'!A:A,A32,'HORAS TRABAJADAS'!B:B,"&gt;="&amp;B32,'HORAS TRABAJADAS'!B:B,"&lt;="&amp;C32)</f>
        <v>0</v>
      </c>
      <c r="N32" s="535">
        <f t="shared" si="1"/>
        <v>0</v>
      </c>
    </row>
    <row r="33" spans="1:14">
      <c r="A33" s="547">
        <v>1315211554</v>
      </c>
      <c r="B33" s="548">
        <v>43160</v>
      </c>
      <c r="C33" s="549">
        <v>43190</v>
      </c>
      <c r="D33" s="537">
        <f>SUMIFS('HORAS TRABAJADAS'!G$1:G$65538,'HORAS TRABAJADAS'!A$1:A$65538,A33,'HORAS TRABAJADAS'!B$1:B$65538,"&gt;="&amp;B33,'HORAS TRABAJADAS'!B$1:B$65538,"&lt;="&amp;C33)</f>
        <v>0</v>
      </c>
      <c r="E33" s="538">
        <f>SUMIFS('HORAS TRABAJADAS'!H:H,'HORAS TRABAJADAS'!A:A,A33,'HORAS TRABAJADAS'!B:B,"&gt;="&amp;B33,'HORAS TRABAJADAS'!B:B,"&lt;="&amp;C33)</f>
        <v>0</v>
      </c>
      <c r="F33" s="538">
        <f>SUMIFS('HORAS TRABAJADAS'!I:I,'HORAS TRABAJADAS'!A:A,A33,'HORAS TRABAJADAS'!B:B,"&gt;="&amp;B33,'HORAS TRABAJADAS'!B:B,"&lt;="&amp;C33)</f>
        <v>0</v>
      </c>
      <c r="G33" s="538">
        <f>SUMIFS('HORAS TRABAJADAS'!J:J,'HORAS TRABAJADAS'!A:A,A33,'HORAS TRABAJADAS'!B:B,"&gt;="&amp;B33,'HORAS TRABAJADAS'!B:B,"&lt;="&amp;C33)</f>
        <v>0</v>
      </c>
      <c r="H33" s="538">
        <f>SUMIFS('HORAS TRABAJADAS'!K:K,'HORAS TRABAJADAS'!A:A,A33,'HORAS TRABAJADAS'!B:B,"&gt;="&amp;B33,'HORAS TRABAJADAS'!B:B,"&lt;="&amp;C33)</f>
        <v>0</v>
      </c>
      <c r="I33" s="538">
        <f>SUMIFS('HORAS TRABAJADAS'!L:L,'HORAS TRABAJADAS'!A:A,A33,'HORAS TRABAJADAS'!B:B,"&gt;="&amp;B33,'HORAS TRABAJADAS'!B:B,"&lt;="&amp;C33)</f>
        <v>0</v>
      </c>
      <c r="J33" s="538">
        <f>SUMIFS('HORAS TRABAJADAS'!M:M,'HORAS TRABAJADAS'!A:A,A33,'HORAS TRABAJADAS'!B:B,"&gt;="&amp;B33,'HORAS TRABAJADAS'!B:B,"&lt;="&amp;C33)</f>
        <v>0</v>
      </c>
      <c r="K33" s="539">
        <f>SUMIFS('HORAS TRABAJADAS'!N:N,'HORAS TRABAJADAS'!A:A,A33,'HORAS TRABAJADAS'!B:B,"&gt;="&amp;B33,'HORAS TRABAJADAS'!B:B,"&lt;="&amp;C33)</f>
        <v>0</v>
      </c>
      <c r="L33" s="533" t="str">
        <f t="shared" si="2"/>
        <v>0 horas y 0 minutos</v>
      </c>
      <c r="M33" s="534">
        <f>SUMIFS('HORAS TRABAJADAS'!Q:Q,'HORAS TRABAJADAS'!A:A,A33,'HORAS TRABAJADAS'!B:B,"&gt;="&amp;B33,'HORAS TRABAJADAS'!B:B,"&lt;="&amp;C33)</f>
        <v>0</v>
      </c>
      <c r="N33" s="535">
        <f t="shared" si="1"/>
        <v>0</v>
      </c>
    </row>
    <row r="34" spans="1:14">
      <c r="A34" s="547">
        <v>1241318672</v>
      </c>
      <c r="B34" s="548">
        <v>43160</v>
      </c>
      <c r="C34" s="549">
        <v>43190</v>
      </c>
      <c r="D34" s="537">
        <f>SUMIFS('HORAS TRABAJADAS'!G$1:G$65538,'HORAS TRABAJADAS'!A$1:A$65538,A34,'HORAS TRABAJADAS'!B$1:B$65538,"&gt;="&amp;B34,'HORAS TRABAJADAS'!B$1:B$65538,"&lt;="&amp;C34)</f>
        <v>0</v>
      </c>
      <c r="E34" s="538">
        <f>SUMIFS('HORAS TRABAJADAS'!H:H,'HORAS TRABAJADAS'!A:A,A34,'HORAS TRABAJADAS'!B:B,"&gt;="&amp;B34,'HORAS TRABAJADAS'!B:B,"&lt;="&amp;C34)</f>
        <v>0</v>
      </c>
      <c r="F34" s="538">
        <f>SUMIFS('HORAS TRABAJADAS'!I:I,'HORAS TRABAJADAS'!A:A,A34,'HORAS TRABAJADAS'!B:B,"&gt;="&amp;B34,'HORAS TRABAJADAS'!B:B,"&lt;="&amp;C34)</f>
        <v>0</v>
      </c>
      <c r="G34" s="538">
        <f>SUMIFS('HORAS TRABAJADAS'!J:J,'HORAS TRABAJADAS'!A:A,A34,'HORAS TRABAJADAS'!B:B,"&gt;="&amp;B34,'HORAS TRABAJADAS'!B:B,"&lt;="&amp;C34)</f>
        <v>0</v>
      </c>
      <c r="H34" s="538">
        <f>SUMIFS('HORAS TRABAJADAS'!K:K,'HORAS TRABAJADAS'!A:A,A34,'HORAS TRABAJADAS'!B:B,"&gt;="&amp;B34,'HORAS TRABAJADAS'!B:B,"&lt;="&amp;C34)</f>
        <v>0</v>
      </c>
      <c r="I34" s="538">
        <f>SUMIFS('HORAS TRABAJADAS'!L:L,'HORAS TRABAJADAS'!A:A,A34,'HORAS TRABAJADAS'!B:B,"&gt;="&amp;B34,'HORAS TRABAJADAS'!B:B,"&lt;="&amp;C34)</f>
        <v>0</v>
      </c>
      <c r="J34" s="538">
        <f>SUMIFS('HORAS TRABAJADAS'!M:M,'HORAS TRABAJADAS'!A:A,A34,'HORAS TRABAJADAS'!B:B,"&gt;="&amp;B34,'HORAS TRABAJADAS'!B:B,"&lt;="&amp;C34)</f>
        <v>0</v>
      </c>
      <c r="K34" s="539">
        <f>SUMIFS('HORAS TRABAJADAS'!N:N,'HORAS TRABAJADAS'!A:A,A34,'HORAS TRABAJADAS'!B:B,"&gt;="&amp;B34,'HORAS TRABAJADAS'!B:B,"&lt;="&amp;C34)</f>
        <v>0</v>
      </c>
      <c r="L34" s="533" t="str">
        <f t="shared" si="2"/>
        <v>0 horas y 0 minutos</v>
      </c>
      <c r="M34" s="534">
        <f>SUMIFS('HORAS TRABAJADAS'!Q:Q,'HORAS TRABAJADAS'!A:A,A34,'HORAS TRABAJADAS'!B:B,"&gt;="&amp;B34,'HORAS TRABAJADAS'!B:B,"&lt;="&amp;C34)</f>
        <v>0</v>
      </c>
      <c r="N34" s="535">
        <f t="shared" si="1"/>
        <v>0</v>
      </c>
    </row>
    <row r="35" spans="1:14">
      <c r="A35" s="547">
        <v>1324063080</v>
      </c>
      <c r="B35" s="548">
        <v>43160</v>
      </c>
      <c r="C35" s="549">
        <v>43190</v>
      </c>
      <c r="D35" s="537">
        <f>SUMIFS('HORAS TRABAJADAS'!G$1:G$65538,'HORAS TRABAJADAS'!A$1:A$65538,A35,'HORAS TRABAJADAS'!B$1:B$65538,"&gt;="&amp;B35,'HORAS TRABAJADAS'!B$1:B$65538,"&lt;="&amp;C35)</f>
        <v>0</v>
      </c>
      <c r="E35" s="538">
        <f>SUMIFS('HORAS TRABAJADAS'!H:H,'HORAS TRABAJADAS'!A:A,A35,'HORAS TRABAJADAS'!B:B,"&gt;="&amp;B35,'HORAS TRABAJADAS'!B:B,"&lt;="&amp;C35)</f>
        <v>0</v>
      </c>
      <c r="F35" s="538">
        <f>SUMIFS('HORAS TRABAJADAS'!I:I,'HORAS TRABAJADAS'!A:A,A35,'HORAS TRABAJADAS'!B:B,"&gt;="&amp;B35,'HORAS TRABAJADAS'!B:B,"&lt;="&amp;C35)</f>
        <v>0</v>
      </c>
      <c r="G35" s="538">
        <f>SUMIFS('HORAS TRABAJADAS'!J:J,'HORAS TRABAJADAS'!A:A,A35,'HORAS TRABAJADAS'!B:B,"&gt;="&amp;B35,'HORAS TRABAJADAS'!B:B,"&lt;="&amp;C35)</f>
        <v>0</v>
      </c>
      <c r="H35" s="538">
        <f>SUMIFS('HORAS TRABAJADAS'!K:K,'HORAS TRABAJADAS'!A:A,A35,'HORAS TRABAJADAS'!B:B,"&gt;="&amp;B35,'HORAS TRABAJADAS'!B:B,"&lt;="&amp;C35)</f>
        <v>0</v>
      </c>
      <c r="I35" s="538">
        <f>SUMIFS('HORAS TRABAJADAS'!L:L,'HORAS TRABAJADAS'!A:A,A35,'HORAS TRABAJADAS'!B:B,"&gt;="&amp;B35,'HORAS TRABAJADAS'!B:B,"&lt;="&amp;C35)</f>
        <v>0</v>
      </c>
      <c r="J35" s="538">
        <f>SUMIFS('HORAS TRABAJADAS'!M:M,'HORAS TRABAJADAS'!A:A,A35,'HORAS TRABAJADAS'!B:B,"&gt;="&amp;B35,'HORAS TRABAJADAS'!B:B,"&lt;="&amp;C35)</f>
        <v>0</v>
      </c>
      <c r="K35" s="539">
        <f>SUMIFS('HORAS TRABAJADAS'!N:N,'HORAS TRABAJADAS'!A:A,A35,'HORAS TRABAJADAS'!B:B,"&gt;="&amp;B35,'HORAS TRABAJADAS'!B:B,"&lt;="&amp;C35)</f>
        <v>0</v>
      </c>
      <c r="L35" s="533" t="str">
        <f t="shared" si="2"/>
        <v>0 horas y 0 minutos</v>
      </c>
      <c r="M35" s="534">
        <f>SUMIFS('HORAS TRABAJADAS'!Q:Q,'HORAS TRABAJADAS'!A:A,A35,'HORAS TRABAJADAS'!B:B,"&gt;="&amp;B35,'HORAS TRABAJADAS'!B:B,"&lt;="&amp;C35)</f>
        <v>0</v>
      </c>
      <c r="N35" s="535">
        <f t="shared" si="1"/>
        <v>0</v>
      </c>
    </row>
    <row r="36" spans="1:14">
      <c r="A36" s="547">
        <v>1259425899</v>
      </c>
      <c r="B36" s="548">
        <v>43160</v>
      </c>
      <c r="C36" s="549">
        <v>43190</v>
      </c>
      <c r="D36" s="537">
        <f>SUMIFS('HORAS TRABAJADAS'!G$1:G$65538,'HORAS TRABAJADAS'!A$1:A$65538,A36,'HORAS TRABAJADAS'!B$1:B$65538,"&gt;="&amp;B36,'HORAS TRABAJADAS'!B$1:B$65538,"&lt;="&amp;C36)</f>
        <v>0</v>
      </c>
      <c r="E36" s="538">
        <f>SUMIFS('HORAS TRABAJADAS'!H:H,'HORAS TRABAJADAS'!A:A,A36,'HORAS TRABAJADAS'!B:B,"&gt;="&amp;B36,'HORAS TRABAJADAS'!B:B,"&lt;="&amp;C36)</f>
        <v>0</v>
      </c>
      <c r="F36" s="538">
        <f>SUMIFS('HORAS TRABAJADAS'!I:I,'HORAS TRABAJADAS'!A:A,A36,'HORAS TRABAJADAS'!B:B,"&gt;="&amp;B36,'HORAS TRABAJADAS'!B:B,"&lt;="&amp;C36)</f>
        <v>0</v>
      </c>
      <c r="G36" s="538">
        <f>SUMIFS('HORAS TRABAJADAS'!J:J,'HORAS TRABAJADAS'!A:A,A36,'HORAS TRABAJADAS'!B:B,"&gt;="&amp;B36,'HORAS TRABAJADAS'!B:B,"&lt;="&amp;C36)</f>
        <v>0</v>
      </c>
      <c r="H36" s="538">
        <f>SUMIFS('HORAS TRABAJADAS'!K:K,'HORAS TRABAJADAS'!A:A,A36,'HORAS TRABAJADAS'!B:B,"&gt;="&amp;B36,'HORAS TRABAJADAS'!B:B,"&lt;="&amp;C36)</f>
        <v>0</v>
      </c>
      <c r="I36" s="538">
        <f>SUMIFS('HORAS TRABAJADAS'!L:L,'HORAS TRABAJADAS'!A:A,A36,'HORAS TRABAJADAS'!B:B,"&gt;="&amp;B36,'HORAS TRABAJADAS'!B:B,"&lt;="&amp;C36)</f>
        <v>0</v>
      </c>
      <c r="J36" s="538">
        <f>SUMIFS('HORAS TRABAJADAS'!M:M,'HORAS TRABAJADAS'!A:A,A36,'HORAS TRABAJADAS'!B:B,"&gt;="&amp;B36,'HORAS TRABAJADAS'!B:B,"&lt;="&amp;C36)</f>
        <v>0</v>
      </c>
      <c r="K36" s="539">
        <f>SUMIFS('HORAS TRABAJADAS'!N:N,'HORAS TRABAJADAS'!A:A,A36,'HORAS TRABAJADAS'!B:B,"&gt;="&amp;B36,'HORAS TRABAJADAS'!B:B,"&lt;="&amp;C36)</f>
        <v>0</v>
      </c>
      <c r="L36" s="533" t="str">
        <f t="shared" si="2"/>
        <v>0 horas y 0 minutos</v>
      </c>
      <c r="M36" s="534">
        <f>SUMIFS('HORAS TRABAJADAS'!Q:Q,'HORAS TRABAJADAS'!A:A,A36,'HORAS TRABAJADAS'!B:B,"&gt;="&amp;B36,'HORAS TRABAJADAS'!B:B,"&lt;="&amp;C36)</f>
        <v>0</v>
      </c>
      <c r="N36" s="535">
        <f t="shared" si="1"/>
        <v>0</v>
      </c>
    </row>
    <row r="37" spans="1:14">
      <c r="A37" s="550"/>
      <c r="B37" s="551"/>
      <c r="C37" s="552"/>
      <c r="D37" s="537">
        <f>SUMIFS('HORAS TRABAJADAS'!G$1:G$65538,'HORAS TRABAJADAS'!A$1:A$65538,A37,'HORAS TRABAJADAS'!B$1:B$65538,"&gt;="&amp;B37,'HORAS TRABAJADAS'!B$1:B$65538,"&lt;="&amp;C37)</f>
        <v>0</v>
      </c>
      <c r="E37" s="538">
        <f>SUMIFS('HORAS TRABAJADAS'!H:H,'HORAS TRABAJADAS'!A:A,A37,'HORAS TRABAJADAS'!B:B,"&gt;="&amp;B37,'HORAS TRABAJADAS'!B:B,"&lt;="&amp;C37)</f>
        <v>0</v>
      </c>
      <c r="F37" s="538">
        <f>SUMIFS('HORAS TRABAJADAS'!I:I,'HORAS TRABAJADAS'!A:A,A37,'HORAS TRABAJADAS'!B:B,"&gt;="&amp;B37,'HORAS TRABAJADAS'!B:B,"&lt;="&amp;C37)</f>
        <v>0</v>
      </c>
      <c r="G37" s="538">
        <f>SUMIFS('HORAS TRABAJADAS'!J:J,'HORAS TRABAJADAS'!A:A,A37,'HORAS TRABAJADAS'!B:B,"&gt;="&amp;B37,'HORAS TRABAJADAS'!B:B,"&lt;="&amp;C37)</f>
        <v>0</v>
      </c>
      <c r="H37" s="538">
        <f>SUMIFS('HORAS TRABAJADAS'!K:K,'HORAS TRABAJADAS'!A:A,A37,'HORAS TRABAJADAS'!B:B,"&gt;="&amp;B37,'HORAS TRABAJADAS'!B:B,"&lt;="&amp;C37)</f>
        <v>0</v>
      </c>
      <c r="I37" s="538">
        <f>SUMIFS('HORAS TRABAJADAS'!L:L,'HORAS TRABAJADAS'!A:A,A37,'HORAS TRABAJADAS'!B:B,"&gt;="&amp;B37,'HORAS TRABAJADAS'!B:B,"&lt;="&amp;C37)</f>
        <v>0</v>
      </c>
      <c r="J37" s="538">
        <f>SUMIFS('HORAS TRABAJADAS'!M:M,'HORAS TRABAJADAS'!A:A,A37,'HORAS TRABAJADAS'!B:B,"&gt;="&amp;B37,'HORAS TRABAJADAS'!B:B,"&lt;="&amp;C37)</f>
        <v>0</v>
      </c>
      <c r="K37" s="539">
        <f>SUMIFS('HORAS TRABAJADAS'!N:N,'HORAS TRABAJADAS'!A:A,A37,'HORAS TRABAJADAS'!B:B,"&gt;="&amp;B37,'HORAS TRABAJADAS'!B:B,"&lt;="&amp;C37)</f>
        <v>0</v>
      </c>
      <c r="L37" s="533" t="str">
        <f t="shared" si="2"/>
        <v>0 horas y 0 minutos</v>
      </c>
      <c r="M37" s="534">
        <f>SUMIFS('HORAS TRABAJADAS'!Q:Q,'HORAS TRABAJADAS'!A:A,A37,'HORAS TRABAJADAS'!B:B,"&gt;="&amp;B37,'HORAS TRABAJADAS'!B:B,"&lt;="&amp;C37)</f>
        <v>0</v>
      </c>
      <c r="N37" s="535">
        <f t="shared" si="1"/>
        <v>0</v>
      </c>
    </row>
    <row r="38" spans="1:14">
      <c r="A38" s="553">
        <v>1321648522</v>
      </c>
      <c r="B38" s="554">
        <v>43191</v>
      </c>
      <c r="C38" s="555">
        <v>43220</v>
      </c>
      <c r="D38" s="537">
        <f>SUMIFS('HORAS TRABAJADAS'!G$1:G$65538,'HORAS TRABAJADAS'!A$1:A$65538,A38,'HORAS TRABAJADAS'!B$1:B$65538,"&gt;="&amp;B38,'HORAS TRABAJADAS'!B$1:B$65538,"&lt;="&amp;C38)</f>
        <v>0</v>
      </c>
      <c r="E38" s="538">
        <f>SUMIFS('HORAS TRABAJADAS'!H:H,'HORAS TRABAJADAS'!A:A,A38,'HORAS TRABAJADAS'!B:B,"&gt;="&amp;B38,'HORAS TRABAJADAS'!B:B,"&lt;="&amp;C38)</f>
        <v>0</v>
      </c>
      <c r="F38" s="538">
        <f>SUMIFS('HORAS TRABAJADAS'!I:I,'HORAS TRABAJADAS'!A:A,A38,'HORAS TRABAJADAS'!B:B,"&gt;="&amp;B38,'HORAS TRABAJADAS'!B:B,"&lt;="&amp;C38)</f>
        <v>0</v>
      </c>
      <c r="G38" s="538">
        <f>SUMIFS('HORAS TRABAJADAS'!J:J,'HORAS TRABAJADAS'!A:A,A38,'HORAS TRABAJADAS'!B:B,"&gt;="&amp;B38,'HORAS TRABAJADAS'!B:B,"&lt;="&amp;C38)</f>
        <v>0</v>
      </c>
      <c r="H38" s="538">
        <f>SUMIFS('HORAS TRABAJADAS'!K:K,'HORAS TRABAJADAS'!A:A,A38,'HORAS TRABAJADAS'!B:B,"&gt;="&amp;B38,'HORAS TRABAJADAS'!B:B,"&lt;="&amp;C38)</f>
        <v>0</v>
      </c>
      <c r="I38" s="538">
        <f>SUMIFS('HORAS TRABAJADAS'!L:L,'HORAS TRABAJADAS'!A:A,A38,'HORAS TRABAJADAS'!B:B,"&gt;="&amp;B38,'HORAS TRABAJADAS'!B:B,"&lt;="&amp;C38)</f>
        <v>0</v>
      </c>
      <c r="J38" s="538">
        <f>SUMIFS('HORAS TRABAJADAS'!M:M,'HORAS TRABAJADAS'!A:A,A38,'HORAS TRABAJADAS'!B:B,"&gt;="&amp;B38,'HORAS TRABAJADAS'!B:B,"&lt;="&amp;C38)</f>
        <v>0</v>
      </c>
      <c r="K38" s="539">
        <f>SUMIFS('HORAS TRABAJADAS'!N:N,'HORAS TRABAJADAS'!A:A,A38,'HORAS TRABAJADAS'!B:B,"&gt;="&amp;B38,'HORAS TRABAJADAS'!B:B,"&lt;="&amp;C38)</f>
        <v>0</v>
      </c>
      <c r="L38" s="533" t="str">
        <f t="shared" si="2"/>
        <v>0 horas y 0 minutos</v>
      </c>
      <c r="M38" s="534">
        <f>SUMIFS('HORAS TRABAJADAS'!Q:Q,'HORAS TRABAJADAS'!A:A,A38,'HORAS TRABAJADAS'!B:B,"&gt;="&amp;B38,'HORAS TRABAJADAS'!B:B,"&lt;="&amp;C38)</f>
        <v>0</v>
      </c>
      <c r="N38" s="535">
        <f t="shared" si="1"/>
        <v>0</v>
      </c>
    </row>
    <row r="39" spans="1:14">
      <c r="A39" s="553">
        <v>1323384207</v>
      </c>
      <c r="B39" s="554">
        <v>43191</v>
      </c>
      <c r="C39" s="555">
        <v>43220</v>
      </c>
      <c r="D39" s="537">
        <f>SUMIFS('HORAS TRABAJADAS'!G$1:G$65538,'HORAS TRABAJADAS'!A$1:A$65538,A39,'HORAS TRABAJADAS'!B$1:B$65538,"&gt;="&amp;B39,'HORAS TRABAJADAS'!B$1:B$65538,"&lt;="&amp;C39)</f>
        <v>0</v>
      </c>
      <c r="E39" s="538">
        <f>SUMIFS('HORAS TRABAJADAS'!H:H,'HORAS TRABAJADAS'!A:A,A39,'HORAS TRABAJADAS'!B:B,"&gt;="&amp;B39,'HORAS TRABAJADAS'!B:B,"&lt;="&amp;C39)</f>
        <v>0</v>
      </c>
      <c r="F39" s="538">
        <f>SUMIFS('HORAS TRABAJADAS'!I:I,'HORAS TRABAJADAS'!A:A,A39,'HORAS TRABAJADAS'!B:B,"&gt;="&amp;B39,'HORAS TRABAJADAS'!B:B,"&lt;="&amp;C39)</f>
        <v>0</v>
      </c>
      <c r="G39" s="538">
        <f>SUMIFS('HORAS TRABAJADAS'!J:J,'HORAS TRABAJADAS'!A:A,A39,'HORAS TRABAJADAS'!B:B,"&gt;="&amp;B39,'HORAS TRABAJADAS'!B:B,"&lt;="&amp;C39)</f>
        <v>0</v>
      </c>
      <c r="H39" s="538">
        <f>SUMIFS('HORAS TRABAJADAS'!K:K,'HORAS TRABAJADAS'!A:A,A39,'HORAS TRABAJADAS'!B:B,"&gt;="&amp;B39,'HORAS TRABAJADAS'!B:B,"&lt;="&amp;C39)</f>
        <v>0</v>
      </c>
      <c r="I39" s="538">
        <f>SUMIFS('HORAS TRABAJADAS'!L:L,'HORAS TRABAJADAS'!A:A,A39,'HORAS TRABAJADAS'!B:B,"&gt;="&amp;B39,'HORAS TRABAJADAS'!B:B,"&lt;="&amp;C39)</f>
        <v>0</v>
      </c>
      <c r="J39" s="538">
        <f>SUMIFS('HORAS TRABAJADAS'!M:M,'HORAS TRABAJADAS'!A:A,A39,'HORAS TRABAJADAS'!B:B,"&gt;="&amp;B39,'HORAS TRABAJADAS'!B:B,"&lt;="&amp;C39)</f>
        <v>0</v>
      </c>
      <c r="K39" s="539">
        <f>SUMIFS('HORAS TRABAJADAS'!N:N,'HORAS TRABAJADAS'!A:A,A39,'HORAS TRABAJADAS'!B:B,"&gt;="&amp;B39,'HORAS TRABAJADAS'!B:B,"&lt;="&amp;C39)</f>
        <v>0</v>
      </c>
      <c r="L39" s="533" t="str">
        <f t="shared" si="2"/>
        <v>0 horas y 0 minutos</v>
      </c>
      <c r="M39" s="534">
        <f>SUMIFS('HORAS TRABAJADAS'!Q:Q,'HORAS TRABAJADAS'!A:A,A39,'HORAS TRABAJADAS'!B:B,"&gt;="&amp;B39,'HORAS TRABAJADAS'!B:B,"&lt;="&amp;C39)</f>
        <v>0</v>
      </c>
      <c r="N39" s="535">
        <f t="shared" si="1"/>
        <v>0</v>
      </c>
    </row>
    <row r="40" spans="1:14">
      <c r="A40" s="553">
        <v>1237462775</v>
      </c>
      <c r="B40" s="554">
        <v>43191</v>
      </c>
      <c r="C40" s="555">
        <v>43220</v>
      </c>
      <c r="D40" s="537">
        <f>SUMIFS('HORAS TRABAJADAS'!G$1:G$65538,'HORAS TRABAJADAS'!A$1:A$65538,A40,'HORAS TRABAJADAS'!B$1:B$65538,"&gt;="&amp;B40,'HORAS TRABAJADAS'!B$1:B$65538,"&lt;="&amp;C40)</f>
        <v>0</v>
      </c>
      <c r="E40" s="538">
        <f>SUMIFS('HORAS TRABAJADAS'!H:H,'HORAS TRABAJADAS'!A:A,A40,'HORAS TRABAJADAS'!B:B,"&gt;="&amp;B40,'HORAS TRABAJADAS'!B:B,"&lt;="&amp;C40)</f>
        <v>0</v>
      </c>
      <c r="F40" s="538">
        <f>SUMIFS('HORAS TRABAJADAS'!I:I,'HORAS TRABAJADAS'!A:A,A40,'HORAS TRABAJADAS'!B:B,"&gt;="&amp;B40,'HORAS TRABAJADAS'!B:B,"&lt;="&amp;C40)</f>
        <v>0</v>
      </c>
      <c r="G40" s="538">
        <f>SUMIFS('HORAS TRABAJADAS'!J:J,'HORAS TRABAJADAS'!A:A,A40,'HORAS TRABAJADAS'!B:B,"&gt;="&amp;B40,'HORAS TRABAJADAS'!B:B,"&lt;="&amp;C40)</f>
        <v>0</v>
      </c>
      <c r="H40" s="538">
        <f>SUMIFS('HORAS TRABAJADAS'!K:K,'HORAS TRABAJADAS'!A:A,A40,'HORAS TRABAJADAS'!B:B,"&gt;="&amp;B40,'HORAS TRABAJADAS'!B:B,"&lt;="&amp;C40)</f>
        <v>0</v>
      </c>
      <c r="I40" s="538">
        <f>SUMIFS('HORAS TRABAJADAS'!L:L,'HORAS TRABAJADAS'!A:A,A40,'HORAS TRABAJADAS'!B:B,"&gt;="&amp;B40,'HORAS TRABAJADAS'!B:B,"&lt;="&amp;C40)</f>
        <v>0</v>
      </c>
      <c r="J40" s="538">
        <f>SUMIFS('HORAS TRABAJADAS'!M:M,'HORAS TRABAJADAS'!A:A,A40,'HORAS TRABAJADAS'!B:B,"&gt;="&amp;B40,'HORAS TRABAJADAS'!B:B,"&lt;="&amp;C40)</f>
        <v>0</v>
      </c>
      <c r="K40" s="539">
        <f>SUMIFS('HORAS TRABAJADAS'!N:N,'HORAS TRABAJADAS'!A:A,A40,'HORAS TRABAJADAS'!B:B,"&gt;="&amp;B40,'HORAS TRABAJADAS'!B:B,"&lt;="&amp;C40)</f>
        <v>0</v>
      </c>
      <c r="L40" s="533" t="str">
        <f t="shared" si="2"/>
        <v>0 horas y 0 minutos</v>
      </c>
      <c r="M40" s="534">
        <f>SUMIFS('HORAS TRABAJADAS'!Q:Q,'HORAS TRABAJADAS'!A:A,A40,'HORAS TRABAJADAS'!B:B,"&gt;="&amp;B40,'HORAS TRABAJADAS'!B:B,"&lt;="&amp;C40)</f>
        <v>0</v>
      </c>
      <c r="N40" s="535">
        <f t="shared" si="1"/>
        <v>0</v>
      </c>
    </row>
    <row r="41" spans="1:14">
      <c r="A41" s="553">
        <v>1285748000</v>
      </c>
      <c r="B41" s="554">
        <v>43191</v>
      </c>
      <c r="C41" s="555">
        <v>43220</v>
      </c>
      <c r="D41" s="537">
        <f>SUMIFS('HORAS TRABAJADAS'!G$1:G$65538,'HORAS TRABAJADAS'!A$1:A$65538,A41,'HORAS TRABAJADAS'!B$1:B$65538,"&gt;="&amp;B41,'HORAS TRABAJADAS'!B$1:B$65538,"&lt;="&amp;C41)</f>
        <v>0</v>
      </c>
      <c r="E41" s="538">
        <f>SUMIFS('HORAS TRABAJADAS'!H:H,'HORAS TRABAJADAS'!A:A,A41,'HORAS TRABAJADAS'!B:B,"&gt;="&amp;B41,'HORAS TRABAJADAS'!B:B,"&lt;="&amp;C41)</f>
        <v>0</v>
      </c>
      <c r="F41" s="538">
        <f>SUMIFS('HORAS TRABAJADAS'!I:I,'HORAS TRABAJADAS'!A:A,A41,'HORAS TRABAJADAS'!B:B,"&gt;="&amp;B41,'HORAS TRABAJADAS'!B:B,"&lt;="&amp;C41)</f>
        <v>0</v>
      </c>
      <c r="G41" s="538">
        <f>SUMIFS('HORAS TRABAJADAS'!J:J,'HORAS TRABAJADAS'!A:A,A41,'HORAS TRABAJADAS'!B:B,"&gt;="&amp;B41,'HORAS TRABAJADAS'!B:B,"&lt;="&amp;C41)</f>
        <v>0</v>
      </c>
      <c r="H41" s="538">
        <f>SUMIFS('HORAS TRABAJADAS'!K:K,'HORAS TRABAJADAS'!A:A,A41,'HORAS TRABAJADAS'!B:B,"&gt;="&amp;B41,'HORAS TRABAJADAS'!B:B,"&lt;="&amp;C41)</f>
        <v>0</v>
      </c>
      <c r="I41" s="538">
        <f>SUMIFS('HORAS TRABAJADAS'!L:L,'HORAS TRABAJADAS'!A:A,A41,'HORAS TRABAJADAS'!B:B,"&gt;="&amp;B41,'HORAS TRABAJADAS'!B:B,"&lt;="&amp;C41)</f>
        <v>0</v>
      </c>
      <c r="J41" s="538">
        <f>SUMIFS('HORAS TRABAJADAS'!M:M,'HORAS TRABAJADAS'!A:A,A41,'HORAS TRABAJADAS'!B:B,"&gt;="&amp;B41,'HORAS TRABAJADAS'!B:B,"&lt;="&amp;C41)</f>
        <v>0</v>
      </c>
      <c r="K41" s="539">
        <f>SUMIFS('HORAS TRABAJADAS'!N:N,'HORAS TRABAJADAS'!A:A,A41,'HORAS TRABAJADAS'!B:B,"&gt;="&amp;B41,'HORAS TRABAJADAS'!B:B,"&lt;="&amp;C41)</f>
        <v>0</v>
      </c>
      <c r="L41" s="533" t="str">
        <f t="shared" si="2"/>
        <v>0 horas y 0 minutos</v>
      </c>
      <c r="M41" s="534">
        <f>SUMIFS('HORAS TRABAJADAS'!Q:Q,'HORAS TRABAJADAS'!A:A,A41,'HORAS TRABAJADAS'!B:B,"&gt;="&amp;B41,'HORAS TRABAJADAS'!B:B,"&lt;="&amp;C41)</f>
        <v>0</v>
      </c>
      <c r="N41" s="535">
        <f t="shared" si="1"/>
        <v>0</v>
      </c>
    </row>
    <row r="42" spans="1:14">
      <c r="A42" s="553">
        <v>1247550875</v>
      </c>
      <c r="B42" s="554">
        <v>43191</v>
      </c>
      <c r="C42" s="555">
        <v>43220</v>
      </c>
      <c r="D42" s="537">
        <f>SUMIFS('HORAS TRABAJADAS'!G$1:G$65538,'HORAS TRABAJADAS'!A$1:A$65538,A42,'HORAS TRABAJADAS'!B$1:B$65538,"&gt;="&amp;B42,'HORAS TRABAJADAS'!B$1:B$65538,"&lt;="&amp;C42)</f>
        <v>0</v>
      </c>
      <c r="E42" s="538">
        <f>SUMIFS('HORAS TRABAJADAS'!H:H,'HORAS TRABAJADAS'!A:A,A42,'HORAS TRABAJADAS'!B:B,"&gt;="&amp;B42,'HORAS TRABAJADAS'!B:B,"&lt;="&amp;C42)</f>
        <v>0</v>
      </c>
      <c r="F42" s="538">
        <f>SUMIFS('HORAS TRABAJADAS'!I:I,'HORAS TRABAJADAS'!A:A,A42,'HORAS TRABAJADAS'!B:B,"&gt;="&amp;B42,'HORAS TRABAJADAS'!B:B,"&lt;="&amp;C42)</f>
        <v>0</v>
      </c>
      <c r="G42" s="538">
        <f>SUMIFS('HORAS TRABAJADAS'!J:J,'HORAS TRABAJADAS'!A:A,A42,'HORAS TRABAJADAS'!B:B,"&gt;="&amp;B42,'HORAS TRABAJADAS'!B:B,"&lt;="&amp;C42)</f>
        <v>0</v>
      </c>
      <c r="H42" s="538">
        <f>SUMIFS('HORAS TRABAJADAS'!K:K,'HORAS TRABAJADAS'!A:A,A42,'HORAS TRABAJADAS'!B:B,"&gt;="&amp;B42,'HORAS TRABAJADAS'!B:B,"&lt;="&amp;C42)</f>
        <v>0</v>
      </c>
      <c r="I42" s="538">
        <f>SUMIFS('HORAS TRABAJADAS'!L:L,'HORAS TRABAJADAS'!A:A,A42,'HORAS TRABAJADAS'!B:B,"&gt;="&amp;B42,'HORAS TRABAJADAS'!B:B,"&lt;="&amp;C42)</f>
        <v>0</v>
      </c>
      <c r="J42" s="538">
        <f>SUMIFS('HORAS TRABAJADAS'!M:M,'HORAS TRABAJADAS'!A:A,A42,'HORAS TRABAJADAS'!B:B,"&gt;="&amp;B42,'HORAS TRABAJADAS'!B:B,"&lt;="&amp;C42)</f>
        <v>0</v>
      </c>
      <c r="K42" s="539">
        <f>SUMIFS('HORAS TRABAJADAS'!N:N,'HORAS TRABAJADAS'!A:A,A42,'HORAS TRABAJADAS'!B:B,"&gt;="&amp;B42,'HORAS TRABAJADAS'!B:B,"&lt;="&amp;C42)</f>
        <v>0</v>
      </c>
      <c r="L42" s="533" t="str">
        <f t="shared" si="2"/>
        <v>0 horas y 0 minutos</v>
      </c>
      <c r="M42" s="534">
        <f>SUMIFS('HORAS TRABAJADAS'!Q:Q,'HORAS TRABAJADAS'!A:A,A42,'HORAS TRABAJADAS'!B:B,"&gt;="&amp;B42,'HORAS TRABAJADAS'!B:B,"&lt;="&amp;C42)</f>
        <v>0</v>
      </c>
      <c r="N42" s="535">
        <f t="shared" si="1"/>
        <v>0</v>
      </c>
    </row>
    <row r="43" spans="1:14">
      <c r="A43" s="553">
        <v>1311966071</v>
      </c>
      <c r="B43" s="554">
        <v>43191</v>
      </c>
      <c r="C43" s="555">
        <v>43220</v>
      </c>
      <c r="D43" s="537">
        <f>SUMIFS('HORAS TRABAJADAS'!G$1:G$65538,'HORAS TRABAJADAS'!A$1:A$65538,A43,'HORAS TRABAJADAS'!B$1:B$65538,"&gt;="&amp;B43,'HORAS TRABAJADAS'!B$1:B$65538,"&lt;="&amp;C43)</f>
        <v>0</v>
      </c>
      <c r="E43" s="538">
        <f>SUMIFS('HORAS TRABAJADAS'!H:H,'HORAS TRABAJADAS'!A:A,A43,'HORAS TRABAJADAS'!B:B,"&gt;="&amp;B43,'HORAS TRABAJADAS'!B:B,"&lt;="&amp;C43)</f>
        <v>0</v>
      </c>
      <c r="F43" s="538">
        <f>SUMIFS('HORAS TRABAJADAS'!I:I,'HORAS TRABAJADAS'!A:A,A43,'HORAS TRABAJADAS'!B:B,"&gt;="&amp;B43,'HORAS TRABAJADAS'!B:B,"&lt;="&amp;C43)</f>
        <v>0</v>
      </c>
      <c r="G43" s="538">
        <f>SUMIFS('HORAS TRABAJADAS'!J:J,'HORAS TRABAJADAS'!A:A,A43,'HORAS TRABAJADAS'!B:B,"&gt;="&amp;B43,'HORAS TRABAJADAS'!B:B,"&lt;="&amp;C43)</f>
        <v>0</v>
      </c>
      <c r="H43" s="538">
        <f>SUMIFS('HORAS TRABAJADAS'!K:K,'HORAS TRABAJADAS'!A:A,A43,'HORAS TRABAJADAS'!B:B,"&gt;="&amp;B43,'HORAS TRABAJADAS'!B:B,"&lt;="&amp;C43)</f>
        <v>0</v>
      </c>
      <c r="I43" s="538">
        <f>SUMIFS('HORAS TRABAJADAS'!L:L,'HORAS TRABAJADAS'!A:A,A43,'HORAS TRABAJADAS'!B:B,"&gt;="&amp;B43,'HORAS TRABAJADAS'!B:B,"&lt;="&amp;C43)</f>
        <v>0</v>
      </c>
      <c r="J43" s="538">
        <f>SUMIFS('HORAS TRABAJADAS'!M:M,'HORAS TRABAJADAS'!A:A,A43,'HORAS TRABAJADAS'!B:B,"&gt;="&amp;B43,'HORAS TRABAJADAS'!B:B,"&lt;="&amp;C43)</f>
        <v>0</v>
      </c>
      <c r="K43" s="539">
        <f>SUMIFS('HORAS TRABAJADAS'!N:N,'HORAS TRABAJADAS'!A:A,A43,'HORAS TRABAJADAS'!B:B,"&gt;="&amp;B43,'HORAS TRABAJADAS'!B:B,"&lt;="&amp;C43)</f>
        <v>0</v>
      </c>
      <c r="L43" s="533" t="str">
        <f t="shared" si="2"/>
        <v>0 horas y 0 minutos</v>
      </c>
      <c r="M43" s="534">
        <f>SUMIFS('HORAS TRABAJADAS'!Q:Q,'HORAS TRABAJADAS'!A:A,A43,'HORAS TRABAJADAS'!B:B,"&gt;="&amp;B43,'HORAS TRABAJADAS'!B:B,"&lt;="&amp;C43)</f>
        <v>0</v>
      </c>
      <c r="N43" s="535">
        <f t="shared" si="1"/>
        <v>0</v>
      </c>
    </row>
    <row r="44" spans="1:14">
      <c r="A44" s="553">
        <v>1317424267</v>
      </c>
      <c r="B44" s="554">
        <v>43191</v>
      </c>
      <c r="C44" s="555">
        <v>43220</v>
      </c>
      <c r="D44" s="537">
        <f>SUMIFS('HORAS TRABAJADAS'!G$1:G$65538,'HORAS TRABAJADAS'!A$1:A$65538,A44,'HORAS TRABAJADAS'!B$1:B$65538,"&gt;="&amp;B44,'HORAS TRABAJADAS'!B$1:B$65538,"&lt;="&amp;C44)</f>
        <v>0</v>
      </c>
      <c r="E44" s="538">
        <f>SUMIFS('HORAS TRABAJADAS'!H:H,'HORAS TRABAJADAS'!A:A,A44,'HORAS TRABAJADAS'!B:B,"&gt;="&amp;B44,'HORAS TRABAJADAS'!B:B,"&lt;="&amp;C44)</f>
        <v>0</v>
      </c>
      <c r="F44" s="538">
        <f>SUMIFS('HORAS TRABAJADAS'!I:I,'HORAS TRABAJADAS'!A:A,A44,'HORAS TRABAJADAS'!B:B,"&gt;="&amp;B44,'HORAS TRABAJADAS'!B:B,"&lt;="&amp;C44)</f>
        <v>0</v>
      </c>
      <c r="G44" s="538">
        <f>SUMIFS('HORAS TRABAJADAS'!J:J,'HORAS TRABAJADAS'!A:A,A44,'HORAS TRABAJADAS'!B:B,"&gt;="&amp;B44,'HORAS TRABAJADAS'!B:B,"&lt;="&amp;C44)</f>
        <v>0</v>
      </c>
      <c r="H44" s="538">
        <f>SUMIFS('HORAS TRABAJADAS'!K:K,'HORAS TRABAJADAS'!A:A,A44,'HORAS TRABAJADAS'!B:B,"&gt;="&amp;B44,'HORAS TRABAJADAS'!B:B,"&lt;="&amp;C44)</f>
        <v>0</v>
      </c>
      <c r="I44" s="538">
        <f>SUMIFS('HORAS TRABAJADAS'!L:L,'HORAS TRABAJADAS'!A:A,A44,'HORAS TRABAJADAS'!B:B,"&gt;="&amp;B44,'HORAS TRABAJADAS'!B:B,"&lt;="&amp;C44)</f>
        <v>0</v>
      </c>
      <c r="J44" s="538">
        <f>SUMIFS('HORAS TRABAJADAS'!M:M,'HORAS TRABAJADAS'!A:A,A44,'HORAS TRABAJADAS'!B:B,"&gt;="&amp;B44,'HORAS TRABAJADAS'!B:B,"&lt;="&amp;C44)</f>
        <v>0</v>
      </c>
      <c r="K44" s="539">
        <f>SUMIFS('HORAS TRABAJADAS'!N:N,'HORAS TRABAJADAS'!A:A,A44,'HORAS TRABAJADAS'!B:B,"&gt;="&amp;B44,'HORAS TRABAJADAS'!B:B,"&lt;="&amp;C44)</f>
        <v>0</v>
      </c>
      <c r="L44" s="533" t="str">
        <f t="shared" si="2"/>
        <v>0 horas y 0 minutos</v>
      </c>
      <c r="M44" s="534">
        <f>SUMIFS('HORAS TRABAJADAS'!Q:Q,'HORAS TRABAJADAS'!A:A,A44,'HORAS TRABAJADAS'!B:B,"&gt;="&amp;B44,'HORAS TRABAJADAS'!B:B,"&lt;="&amp;C44)</f>
        <v>0</v>
      </c>
      <c r="N44" s="535">
        <f t="shared" si="1"/>
        <v>0</v>
      </c>
    </row>
    <row r="45" spans="1:14">
      <c r="A45" s="553">
        <v>1315211554</v>
      </c>
      <c r="B45" s="554">
        <v>43191</v>
      </c>
      <c r="C45" s="555">
        <v>43220</v>
      </c>
      <c r="D45" s="537">
        <f>SUMIFS('HORAS TRABAJADAS'!G$1:G$65538,'HORAS TRABAJADAS'!A$1:A$65538,A45,'HORAS TRABAJADAS'!B$1:B$65538,"&gt;="&amp;B45,'HORAS TRABAJADAS'!B$1:B$65538,"&lt;="&amp;C45)</f>
        <v>0</v>
      </c>
      <c r="E45" s="538">
        <f>SUMIFS('HORAS TRABAJADAS'!H:H,'HORAS TRABAJADAS'!A:A,A45,'HORAS TRABAJADAS'!B:B,"&gt;="&amp;B45,'HORAS TRABAJADAS'!B:B,"&lt;="&amp;C45)</f>
        <v>0</v>
      </c>
      <c r="F45" s="538">
        <f>SUMIFS('HORAS TRABAJADAS'!I:I,'HORAS TRABAJADAS'!A:A,A45,'HORAS TRABAJADAS'!B:B,"&gt;="&amp;B45,'HORAS TRABAJADAS'!B:B,"&lt;="&amp;C45)</f>
        <v>0</v>
      </c>
      <c r="G45" s="538">
        <f>SUMIFS('HORAS TRABAJADAS'!J:J,'HORAS TRABAJADAS'!A:A,A45,'HORAS TRABAJADAS'!B:B,"&gt;="&amp;B45,'HORAS TRABAJADAS'!B:B,"&lt;="&amp;C45)</f>
        <v>0</v>
      </c>
      <c r="H45" s="538">
        <f>SUMIFS('HORAS TRABAJADAS'!K:K,'HORAS TRABAJADAS'!A:A,A45,'HORAS TRABAJADAS'!B:B,"&gt;="&amp;B45,'HORAS TRABAJADAS'!B:B,"&lt;="&amp;C45)</f>
        <v>0</v>
      </c>
      <c r="I45" s="538">
        <f>SUMIFS('HORAS TRABAJADAS'!L:L,'HORAS TRABAJADAS'!A:A,A45,'HORAS TRABAJADAS'!B:B,"&gt;="&amp;B45,'HORAS TRABAJADAS'!B:B,"&lt;="&amp;C45)</f>
        <v>0</v>
      </c>
      <c r="J45" s="538">
        <f>SUMIFS('HORAS TRABAJADAS'!M:M,'HORAS TRABAJADAS'!A:A,A45,'HORAS TRABAJADAS'!B:B,"&gt;="&amp;B45,'HORAS TRABAJADAS'!B:B,"&lt;="&amp;C45)</f>
        <v>0</v>
      </c>
      <c r="K45" s="539">
        <f>SUMIFS('HORAS TRABAJADAS'!N:N,'HORAS TRABAJADAS'!A:A,A45,'HORAS TRABAJADAS'!B:B,"&gt;="&amp;B45,'HORAS TRABAJADAS'!B:B,"&lt;="&amp;C45)</f>
        <v>0</v>
      </c>
      <c r="L45" s="533" t="str">
        <f t="shared" si="2"/>
        <v>0 horas y 0 minutos</v>
      </c>
      <c r="M45" s="534">
        <f>SUMIFS('HORAS TRABAJADAS'!Q:Q,'HORAS TRABAJADAS'!A:A,A45,'HORAS TRABAJADAS'!B:B,"&gt;="&amp;B45,'HORAS TRABAJADAS'!B:B,"&lt;="&amp;C45)</f>
        <v>0</v>
      </c>
      <c r="N45" s="535">
        <f t="shared" si="1"/>
        <v>0</v>
      </c>
    </row>
    <row r="46" spans="1:14">
      <c r="A46" s="553">
        <v>1241318672</v>
      </c>
      <c r="B46" s="554">
        <v>43191</v>
      </c>
      <c r="C46" s="555">
        <v>43220</v>
      </c>
      <c r="D46" s="537">
        <f>SUMIFS('HORAS TRABAJADAS'!G$1:G$65538,'HORAS TRABAJADAS'!A$1:A$65538,A46,'HORAS TRABAJADAS'!B$1:B$65538,"&gt;="&amp;B46,'HORAS TRABAJADAS'!B$1:B$65538,"&lt;="&amp;C46)</f>
        <v>0</v>
      </c>
      <c r="E46" s="538">
        <f>SUMIFS('HORAS TRABAJADAS'!H:H,'HORAS TRABAJADAS'!A:A,A46,'HORAS TRABAJADAS'!B:B,"&gt;="&amp;B46,'HORAS TRABAJADAS'!B:B,"&lt;="&amp;C46)</f>
        <v>0</v>
      </c>
      <c r="F46" s="538">
        <f>SUMIFS('HORAS TRABAJADAS'!I:I,'HORAS TRABAJADAS'!A:A,A46,'HORAS TRABAJADAS'!B:B,"&gt;="&amp;B46,'HORAS TRABAJADAS'!B:B,"&lt;="&amp;C46)</f>
        <v>0</v>
      </c>
      <c r="G46" s="538">
        <f>SUMIFS('HORAS TRABAJADAS'!J:J,'HORAS TRABAJADAS'!A:A,A46,'HORAS TRABAJADAS'!B:B,"&gt;="&amp;B46,'HORAS TRABAJADAS'!B:B,"&lt;="&amp;C46)</f>
        <v>0</v>
      </c>
      <c r="H46" s="538">
        <f>SUMIFS('HORAS TRABAJADAS'!K:K,'HORAS TRABAJADAS'!A:A,A46,'HORAS TRABAJADAS'!B:B,"&gt;="&amp;B46,'HORAS TRABAJADAS'!B:B,"&lt;="&amp;C46)</f>
        <v>0</v>
      </c>
      <c r="I46" s="538">
        <f>SUMIFS('HORAS TRABAJADAS'!L:L,'HORAS TRABAJADAS'!A:A,A46,'HORAS TRABAJADAS'!B:B,"&gt;="&amp;B46,'HORAS TRABAJADAS'!B:B,"&lt;="&amp;C46)</f>
        <v>0</v>
      </c>
      <c r="J46" s="538">
        <f>SUMIFS('HORAS TRABAJADAS'!M:M,'HORAS TRABAJADAS'!A:A,A46,'HORAS TRABAJADAS'!B:B,"&gt;="&amp;B46,'HORAS TRABAJADAS'!B:B,"&lt;="&amp;C46)</f>
        <v>0</v>
      </c>
      <c r="K46" s="539">
        <f>SUMIFS('HORAS TRABAJADAS'!N:N,'HORAS TRABAJADAS'!A:A,A46,'HORAS TRABAJADAS'!B:B,"&gt;="&amp;B46,'HORAS TRABAJADAS'!B:B,"&lt;="&amp;C46)</f>
        <v>0</v>
      </c>
      <c r="L46" s="533" t="str">
        <f t="shared" si="2"/>
        <v>0 horas y 0 minutos</v>
      </c>
      <c r="M46" s="534">
        <f>SUMIFS('HORAS TRABAJADAS'!Q:Q,'HORAS TRABAJADAS'!A:A,A46,'HORAS TRABAJADAS'!B:B,"&gt;="&amp;B46,'HORAS TRABAJADAS'!B:B,"&lt;="&amp;C46)</f>
        <v>0</v>
      </c>
      <c r="N46" s="535">
        <f t="shared" si="1"/>
        <v>0</v>
      </c>
    </row>
    <row r="47" spans="1:14">
      <c r="A47" s="553">
        <v>1324063080</v>
      </c>
      <c r="B47" s="554">
        <v>43191</v>
      </c>
      <c r="C47" s="555">
        <v>43220</v>
      </c>
      <c r="D47" s="537">
        <f>SUMIFS('HORAS TRABAJADAS'!G$1:G$65538,'HORAS TRABAJADAS'!A$1:A$65538,A47,'HORAS TRABAJADAS'!B$1:B$65538,"&gt;="&amp;B47,'HORAS TRABAJADAS'!B$1:B$65538,"&lt;="&amp;C47)</f>
        <v>0</v>
      </c>
      <c r="E47" s="538">
        <f>SUMIFS('HORAS TRABAJADAS'!H:H,'HORAS TRABAJADAS'!A:A,A47,'HORAS TRABAJADAS'!B:B,"&gt;="&amp;B47,'HORAS TRABAJADAS'!B:B,"&lt;="&amp;C47)</f>
        <v>0</v>
      </c>
      <c r="F47" s="538">
        <f>SUMIFS('HORAS TRABAJADAS'!I:I,'HORAS TRABAJADAS'!A:A,A47,'HORAS TRABAJADAS'!B:B,"&gt;="&amp;B47,'HORAS TRABAJADAS'!B:B,"&lt;="&amp;C47)</f>
        <v>0</v>
      </c>
      <c r="G47" s="538">
        <f>SUMIFS('HORAS TRABAJADAS'!J:J,'HORAS TRABAJADAS'!A:A,A47,'HORAS TRABAJADAS'!B:B,"&gt;="&amp;B47,'HORAS TRABAJADAS'!B:B,"&lt;="&amp;C47)</f>
        <v>0</v>
      </c>
      <c r="H47" s="538">
        <f>SUMIFS('HORAS TRABAJADAS'!K:K,'HORAS TRABAJADAS'!A:A,A47,'HORAS TRABAJADAS'!B:B,"&gt;="&amp;B47,'HORAS TRABAJADAS'!B:B,"&lt;="&amp;C47)</f>
        <v>0</v>
      </c>
      <c r="I47" s="538">
        <f>SUMIFS('HORAS TRABAJADAS'!L:L,'HORAS TRABAJADAS'!A:A,A47,'HORAS TRABAJADAS'!B:B,"&gt;="&amp;B47,'HORAS TRABAJADAS'!B:B,"&lt;="&amp;C47)</f>
        <v>0</v>
      </c>
      <c r="J47" s="538">
        <f>SUMIFS('HORAS TRABAJADAS'!M:M,'HORAS TRABAJADAS'!A:A,A47,'HORAS TRABAJADAS'!B:B,"&gt;="&amp;B47,'HORAS TRABAJADAS'!B:B,"&lt;="&amp;C47)</f>
        <v>0</v>
      </c>
      <c r="K47" s="539">
        <f>SUMIFS('HORAS TRABAJADAS'!N:N,'HORAS TRABAJADAS'!A:A,A47,'HORAS TRABAJADAS'!B:B,"&gt;="&amp;B47,'HORAS TRABAJADAS'!B:B,"&lt;="&amp;C47)</f>
        <v>0</v>
      </c>
      <c r="L47" s="533" t="str">
        <f t="shared" si="2"/>
        <v>0 horas y 0 minutos</v>
      </c>
      <c r="M47" s="534">
        <f>SUMIFS('HORAS TRABAJADAS'!Q:Q,'HORAS TRABAJADAS'!A:A,A47,'HORAS TRABAJADAS'!B:B,"&gt;="&amp;B47,'HORAS TRABAJADAS'!B:B,"&lt;="&amp;C47)</f>
        <v>0</v>
      </c>
      <c r="N47" s="535">
        <f t="shared" si="1"/>
        <v>0</v>
      </c>
    </row>
    <row r="48" spans="1:14">
      <c r="A48" s="553">
        <v>1259425899</v>
      </c>
      <c r="B48" s="554">
        <v>43191</v>
      </c>
      <c r="C48" s="555">
        <v>43220</v>
      </c>
      <c r="D48" s="537">
        <f>SUMIFS('HORAS TRABAJADAS'!G$1:G$65538,'HORAS TRABAJADAS'!A$1:A$65538,A48,'HORAS TRABAJADAS'!B$1:B$65538,"&gt;="&amp;B48,'HORAS TRABAJADAS'!B$1:B$65538,"&lt;="&amp;C48)</f>
        <v>0</v>
      </c>
      <c r="E48" s="538">
        <f>SUMIFS('HORAS TRABAJADAS'!H:H,'HORAS TRABAJADAS'!A:A,A48,'HORAS TRABAJADAS'!B:B,"&gt;="&amp;B48,'HORAS TRABAJADAS'!B:B,"&lt;="&amp;C48)</f>
        <v>0</v>
      </c>
      <c r="F48" s="538">
        <f>SUMIFS('HORAS TRABAJADAS'!I:I,'HORAS TRABAJADAS'!A:A,A48,'HORAS TRABAJADAS'!B:B,"&gt;="&amp;B48,'HORAS TRABAJADAS'!B:B,"&lt;="&amp;C48)</f>
        <v>0</v>
      </c>
      <c r="G48" s="538">
        <f>SUMIFS('HORAS TRABAJADAS'!J:J,'HORAS TRABAJADAS'!A:A,A48,'HORAS TRABAJADAS'!B:B,"&gt;="&amp;B48,'HORAS TRABAJADAS'!B:B,"&lt;="&amp;C48)</f>
        <v>0</v>
      </c>
      <c r="H48" s="538">
        <f>SUMIFS('HORAS TRABAJADAS'!K:K,'HORAS TRABAJADAS'!A:A,A48,'HORAS TRABAJADAS'!B:B,"&gt;="&amp;B48,'HORAS TRABAJADAS'!B:B,"&lt;="&amp;C48)</f>
        <v>0</v>
      </c>
      <c r="I48" s="538">
        <f>SUMIFS('HORAS TRABAJADAS'!L:L,'HORAS TRABAJADAS'!A:A,A48,'HORAS TRABAJADAS'!B:B,"&gt;="&amp;B48,'HORAS TRABAJADAS'!B:B,"&lt;="&amp;C48)</f>
        <v>0</v>
      </c>
      <c r="J48" s="538">
        <f>SUMIFS('HORAS TRABAJADAS'!M:M,'HORAS TRABAJADAS'!A:A,A48,'HORAS TRABAJADAS'!B:B,"&gt;="&amp;B48,'HORAS TRABAJADAS'!B:B,"&lt;="&amp;C48)</f>
        <v>0</v>
      </c>
      <c r="K48" s="539">
        <f>SUMIFS('HORAS TRABAJADAS'!N:N,'HORAS TRABAJADAS'!A:A,A48,'HORAS TRABAJADAS'!B:B,"&gt;="&amp;B48,'HORAS TRABAJADAS'!B:B,"&lt;="&amp;C48)</f>
        <v>0</v>
      </c>
      <c r="L48" s="533" t="str">
        <f t="shared" si="2"/>
        <v>0 horas y 0 minutos</v>
      </c>
      <c r="M48" s="534">
        <f>SUMIFS('HORAS TRABAJADAS'!Q:Q,'HORAS TRABAJADAS'!A:A,A48,'HORAS TRABAJADAS'!B:B,"&gt;="&amp;B48,'HORAS TRABAJADAS'!B:B,"&lt;="&amp;C48)</f>
        <v>0</v>
      </c>
      <c r="N48" s="535">
        <f t="shared" si="1"/>
        <v>0</v>
      </c>
    </row>
    <row r="49" spans="1:14">
      <c r="A49" s="550"/>
      <c r="B49" s="551"/>
      <c r="C49" s="556"/>
      <c r="D49" s="537">
        <f>SUMIFS('HORAS TRABAJADAS'!G$1:G$65538,'HORAS TRABAJADAS'!A$1:A$65538,A49,'HORAS TRABAJADAS'!B$1:B$65538,"&gt;="&amp;B49,'HORAS TRABAJADAS'!B$1:B$65538,"&lt;="&amp;C49)</f>
        <v>0</v>
      </c>
      <c r="E49" s="538">
        <f>SUMIFS('HORAS TRABAJADAS'!H:H,'HORAS TRABAJADAS'!A:A,A49,'HORAS TRABAJADAS'!B:B,"&gt;="&amp;B49,'HORAS TRABAJADAS'!B:B,"&lt;="&amp;C49)</f>
        <v>0</v>
      </c>
      <c r="F49" s="538">
        <f>SUMIFS('HORAS TRABAJADAS'!I:I,'HORAS TRABAJADAS'!A:A,A49,'HORAS TRABAJADAS'!B:B,"&gt;="&amp;B49,'HORAS TRABAJADAS'!B:B,"&lt;="&amp;C49)</f>
        <v>0</v>
      </c>
      <c r="G49" s="538">
        <f>SUMIFS('HORAS TRABAJADAS'!J:J,'HORAS TRABAJADAS'!A:A,A49,'HORAS TRABAJADAS'!B:B,"&gt;="&amp;B49,'HORAS TRABAJADAS'!B:B,"&lt;="&amp;C49)</f>
        <v>0</v>
      </c>
      <c r="H49" s="538">
        <f>SUMIFS('HORAS TRABAJADAS'!K:K,'HORAS TRABAJADAS'!A:A,A49,'HORAS TRABAJADAS'!B:B,"&gt;="&amp;B49,'HORAS TRABAJADAS'!B:B,"&lt;="&amp;C49)</f>
        <v>0</v>
      </c>
      <c r="I49" s="538">
        <f>SUMIFS('HORAS TRABAJADAS'!L:L,'HORAS TRABAJADAS'!A:A,A49,'HORAS TRABAJADAS'!B:B,"&gt;="&amp;B49,'HORAS TRABAJADAS'!B:B,"&lt;="&amp;C49)</f>
        <v>0</v>
      </c>
      <c r="J49" s="538">
        <f>SUMIFS('HORAS TRABAJADAS'!M:M,'HORAS TRABAJADAS'!A:A,A49,'HORAS TRABAJADAS'!B:B,"&gt;="&amp;B49,'HORAS TRABAJADAS'!B:B,"&lt;="&amp;C49)</f>
        <v>0</v>
      </c>
      <c r="K49" s="539">
        <f>SUMIFS('HORAS TRABAJADAS'!N:N,'HORAS TRABAJADAS'!A:A,A49,'HORAS TRABAJADAS'!B:B,"&gt;="&amp;B49,'HORAS TRABAJADAS'!B:B,"&lt;="&amp;C49)</f>
        <v>0</v>
      </c>
      <c r="L49" s="533" t="str">
        <f t="shared" si="2"/>
        <v>0 horas y 0 minutos</v>
      </c>
      <c r="M49" s="534">
        <f>SUMIFS('HORAS TRABAJADAS'!Q:Q,'HORAS TRABAJADAS'!A:A,A49,'HORAS TRABAJADAS'!B:B,"&gt;="&amp;B49,'HORAS TRABAJADAS'!B:B,"&lt;="&amp;C49)</f>
        <v>0</v>
      </c>
      <c r="N49" s="535">
        <f t="shared" si="1"/>
        <v>0</v>
      </c>
    </row>
    <row r="50" spans="1:14">
      <c r="A50" s="557">
        <v>1321648522</v>
      </c>
      <c r="B50" s="558">
        <v>43221</v>
      </c>
      <c r="C50" s="559">
        <v>43251</v>
      </c>
      <c r="D50" s="537">
        <f>SUMIFS('HORAS TRABAJADAS'!G$1:G$65538,'HORAS TRABAJADAS'!A$1:A$65538,A50,'HORAS TRABAJADAS'!B$1:B$65538,"&gt;="&amp;B50,'HORAS TRABAJADAS'!B$1:B$65538,"&lt;="&amp;C50)</f>
        <v>0</v>
      </c>
      <c r="E50" s="538">
        <f>SUMIFS('HORAS TRABAJADAS'!H:H,'HORAS TRABAJADAS'!A:A,A50,'HORAS TRABAJADAS'!B:B,"&gt;="&amp;B50,'HORAS TRABAJADAS'!B:B,"&lt;="&amp;C50)</f>
        <v>0</v>
      </c>
      <c r="F50" s="538">
        <f>SUMIFS('HORAS TRABAJADAS'!I:I,'HORAS TRABAJADAS'!A:A,A50,'HORAS TRABAJADAS'!B:B,"&gt;="&amp;B50,'HORAS TRABAJADAS'!B:B,"&lt;="&amp;C50)</f>
        <v>0</v>
      </c>
      <c r="G50" s="538">
        <f>SUMIFS('HORAS TRABAJADAS'!J:J,'HORAS TRABAJADAS'!A:A,A50,'HORAS TRABAJADAS'!B:B,"&gt;="&amp;B50,'HORAS TRABAJADAS'!B:B,"&lt;="&amp;C50)</f>
        <v>0</v>
      </c>
      <c r="H50" s="538">
        <f>SUMIFS('HORAS TRABAJADAS'!K:K,'HORAS TRABAJADAS'!A:A,A50,'HORAS TRABAJADAS'!B:B,"&gt;="&amp;B50,'HORAS TRABAJADAS'!B:B,"&lt;="&amp;C50)</f>
        <v>0</v>
      </c>
      <c r="I50" s="538">
        <f>SUMIFS('HORAS TRABAJADAS'!L:L,'HORAS TRABAJADAS'!A:A,A50,'HORAS TRABAJADAS'!B:B,"&gt;="&amp;B50,'HORAS TRABAJADAS'!B:B,"&lt;="&amp;C50)</f>
        <v>0</v>
      </c>
      <c r="J50" s="538">
        <f>SUMIFS('HORAS TRABAJADAS'!M:M,'HORAS TRABAJADAS'!A:A,A50,'HORAS TRABAJADAS'!B:B,"&gt;="&amp;B50,'HORAS TRABAJADAS'!B:B,"&lt;="&amp;C50)</f>
        <v>0</v>
      </c>
      <c r="K50" s="539">
        <f>SUMIFS('HORAS TRABAJADAS'!N:N,'HORAS TRABAJADAS'!A:A,A50,'HORAS TRABAJADAS'!B:B,"&gt;="&amp;B50,'HORAS TRABAJADAS'!B:B,"&lt;="&amp;C50)</f>
        <v>0</v>
      </c>
      <c r="L50" s="533" t="str">
        <f t="shared" si="2"/>
        <v>0 horas y 0 minutos</v>
      </c>
      <c r="M50" s="534">
        <f>SUMIFS('HORAS TRABAJADAS'!Q:Q,'HORAS TRABAJADAS'!A:A,A50,'HORAS TRABAJADAS'!B:B,"&gt;="&amp;B50,'HORAS TRABAJADAS'!B:B,"&lt;="&amp;C50)</f>
        <v>0</v>
      </c>
      <c r="N50" s="535">
        <f t="shared" si="1"/>
        <v>0</v>
      </c>
    </row>
    <row r="51" spans="1:14">
      <c r="A51" s="557">
        <v>1323384207</v>
      </c>
      <c r="B51" s="558">
        <v>43221</v>
      </c>
      <c r="C51" s="559">
        <v>43251</v>
      </c>
      <c r="D51" s="537">
        <f>SUMIFS('HORAS TRABAJADAS'!G$1:G$65538,'HORAS TRABAJADAS'!A$1:A$65538,A51,'HORAS TRABAJADAS'!B$1:B$65538,"&gt;="&amp;B51,'HORAS TRABAJADAS'!B$1:B$65538,"&lt;="&amp;C51)</f>
        <v>0</v>
      </c>
      <c r="E51" s="538">
        <f>SUMIFS('HORAS TRABAJADAS'!H:H,'HORAS TRABAJADAS'!A:A,A51,'HORAS TRABAJADAS'!B:B,"&gt;="&amp;B51,'HORAS TRABAJADAS'!B:B,"&lt;="&amp;C51)</f>
        <v>0</v>
      </c>
      <c r="F51" s="538">
        <f>SUMIFS('HORAS TRABAJADAS'!I:I,'HORAS TRABAJADAS'!A:A,A51,'HORAS TRABAJADAS'!B:B,"&gt;="&amp;B51,'HORAS TRABAJADAS'!B:B,"&lt;="&amp;C51)</f>
        <v>0</v>
      </c>
      <c r="G51" s="538">
        <f>SUMIFS('HORAS TRABAJADAS'!J:J,'HORAS TRABAJADAS'!A:A,A51,'HORAS TRABAJADAS'!B:B,"&gt;="&amp;B51,'HORAS TRABAJADAS'!B:B,"&lt;="&amp;C51)</f>
        <v>0</v>
      </c>
      <c r="H51" s="538">
        <f>SUMIFS('HORAS TRABAJADAS'!K:K,'HORAS TRABAJADAS'!A:A,A51,'HORAS TRABAJADAS'!B:B,"&gt;="&amp;B51,'HORAS TRABAJADAS'!B:B,"&lt;="&amp;C51)</f>
        <v>0</v>
      </c>
      <c r="I51" s="538">
        <f>SUMIFS('HORAS TRABAJADAS'!L:L,'HORAS TRABAJADAS'!A:A,A51,'HORAS TRABAJADAS'!B:B,"&gt;="&amp;B51,'HORAS TRABAJADAS'!B:B,"&lt;="&amp;C51)</f>
        <v>0</v>
      </c>
      <c r="J51" s="538">
        <f>SUMIFS('HORAS TRABAJADAS'!M:M,'HORAS TRABAJADAS'!A:A,A51,'HORAS TRABAJADAS'!B:B,"&gt;="&amp;B51,'HORAS TRABAJADAS'!B:B,"&lt;="&amp;C51)</f>
        <v>0</v>
      </c>
      <c r="K51" s="539">
        <f>SUMIFS('HORAS TRABAJADAS'!N:N,'HORAS TRABAJADAS'!A:A,A51,'HORAS TRABAJADAS'!B:B,"&gt;="&amp;B51,'HORAS TRABAJADAS'!B:B,"&lt;="&amp;C51)</f>
        <v>0</v>
      </c>
      <c r="L51" s="533" t="str">
        <f t="shared" si="2"/>
        <v>0 horas y 0 minutos</v>
      </c>
      <c r="M51" s="534">
        <f>SUMIFS('HORAS TRABAJADAS'!Q:Q,'HORAS TRABAJADAS'!A:A,A51,'HORAS TRABAJADAS'!B:B,"&gt;="&amp;B51,'HORAS TRABAJADAS'!B:B,"&lt;="&amp;C51)</f>
        <v>0</v>
      </c>
      <c r="N51" s="535">
        <f t="shared" si="1"/>
        <v>0</v>
      </c>
    </row>
    <row r="52" spans="1:14">
      <c r="A52" s="557">
        <v>1237462775</v>
      </c>
      <c r="B52" s="558">
        <v>43221</v>
      </c>
      <c r="C52" s="559">
        <v>43251</v>
      </c>
      <c r="D52" s="537">
        <f>SUMIFS('HORAS TRABAJADAS'!G$1:G$65538,'HORAS TRABAJADAS'!A$1:A$65538,A52,'HORAS TRABAJADAS'!B$1:B$65538,"&gt;="&amp;B52,'HORAS TRABAJADAS'!B$1:B$65538,"&lt;="&amp;C52)</f>
        <v>0</v>
      </c>
      <c r="E52" s="538">
        <f>SUMIFS('HORAS TRABAJADAS'!H:H,'HORAS TRABAJADAS'!A:A,A52,'HORAS TRABAJADAS'!B:B,"&gt;="&amp;B52,'HORAS TRABAJADAS'!B:B,"&lt;="&amp;C52)</f>
        <v>0</v>
      </c>
      <c r="F52" s="538">
        <f>SUMIFS('HORAS TRABAJADAS'!I:I,'HORAS TRABAJADAS'!A:A,A52,'HORAS TRABAJADAS'!B:B,"&gt;="&amp;B52,'HORAS TRABAJADAS'!B:B,"&lt;="&amp;C52)</f>
        <v>0</v>
      </c>
      <c r="G52" s="538">
        <f>SUMIFS('HORAS TRABAJADAS'!J:J,'HORAS TRABAJADAS'!A:A,A52,'HORAS TRABAJADAS'!B:B,"&gt;="&amp;B52,'HORAS TRABAJADAS'!B:B,"&lt;="&amp;C52)</f>
        <v>0</v>
      </c>
      <c r="H52" s="538">
        <f>SUMIFS('HORAS TRABAJADAS'!K:K,'HORAS TRABAJADAS'!A:A,A52,'HORAS TRABAJADAS'!B:B,"&gt;="&amp;B52,'HORAS TRABAJADAS'!B:B,"&lt;="&amp;C52)</f>
        <v>0</v>
      </c>
      <c r="I52" s="538">
        <f>SUMIFS('HORAS TRABAJADAS'!L:L,'HORAS TRABAJADAS'!A:A,A52,'HORAS TRABAJADAS'!B:B,"&gt;="&amp;B52,'HORAS TRABAJADAS'!B:B,"&lt;="&amp;C52)</f>
        <v>0</v>
      </c>
      <c r="J52" s="538">
        <f>SUMIFS('HORAS TRABAJADAS'!M:M,'HORAS TRABAJADAS'!A:A,A52,'HORAS TRABAJADAS'!B:B,"&gt;="&amp;B52,'HORAS TRABAJADAS'!B:B,"&lt;="&amp;C52)</f>
        <v>0</v>
      </c>
      <c r="K52" s="539">
        <f>SUMIFS('HORAS TRABAJADAS'!N:N,'HORAS TRABAJADAS'!A:A,A52,'HORAS TRABAJADAS'!B:B,"&gt;="&amp;B52,'HORAS TRABAJADAS'!B:B,"&lt;="&amp;C52)</f>
        <v>0</v>
      </c>
      <c r="L52" s="533" t="str">
        <f t="shared" si="2"/>
        <v>0 horas y 0 minutos</v>
      </c>
      <c r="M52" s="534">
        <f>SUMIFS('HORAS TRABAJADAS'!Q:Q,'HORAS TRABAJADAS'!A:A,A52,'HORAS TRABAJADAS'!B:B,"&gt;="&amp;B52,'HORAS TRABAJADAS'!B:B,"&lt;="&amp;C52)</f>
        <v>0</v>
      </c>
      <c r="N52" s="535">
        <f t="shared" si="1"/>
        <v>0</v>
      </c>
    </row>
    <row r="53" spans="1:14">
      <c r="A53" s="557">
        <v>1285748000</v>
      </c>
      <c r="B53" s="558">
        <v>43221</v>
      </c>
      <c r="C53" s="559">
        <v>43251</v>
      </c>
      <c r="D53" s="537">
        <f>SUMIFS('HORAS TRABAJADAS'!G$1:G$65538,'HORAS TRABAJADAS'!A$1:A$65538,A53,'HORAS TRABAJADAS'!B$1:B$65538,"&gt;="&amp;B53,'HORAS TRABAJADAS'!B$1:B$65538,"&lt;="&amp;C53)</f>
        <v>0</v>
      </c>
      <c r="E53" s="538">
        <f>SUMIFS('HORAS TRABAJADAS'!H:H,'HORAS TRABAJADAS'!A:A,A53,'HORAS TRABAJADAS'!B:B,"&gt;="&amp;B53,'HORAS TRABAJADAS'!B:B,"&lt;="&amp;C53)</f>
        <v>0</v>
      </c>
      <c r="F53" s="538">
        <f>SUMIFS('HORAS TRABAJADAS'!I:I,'HORAS TRABAJADAS'!A:A,A53,'HORAS TRABAJADAS'!B:B,"&gt;="&amp;B53,'HORAS TRABAJADAS'!B:B,"&lt;="&amp;C53)</f>
        <v>0</v>
      </c>
      <c r="G53" s="538">
        <f>SUMIFS('HORAS TRABAJADAS'!J:J,'HORAS TRABAJADAS'!A:A,A53,'HORAS TRABAJADAS'!B:B,"&gt;="&amp;B53,'HORAS TRABAJADAS'!B:B,"&lt;="&amp;C53)</f>
        <v>0</v>
      </c>
      <c r="H53" s="538">
        <f>SUMIFS('HORAS TRABAJADAS'!K:K,'HORAS TRABAJADAS'!A:A,A53,'HORAS TRABAJADAS'!B:B,"&gt;="&amp;B53,'HORAS TRABAJADAS'!B:B,"&lt;="&amp;C53)</f>
        <v>0</v>
      </c>
      <c r="I53" s="538">
        <f>SUMIFS('HORAS TRABAJADAS'!L:L,'HORAS TRABAJADAS'!A:A,A53,'HORAS TRABAJADAS'!B:B,"&gt;="&amp;B53,'HORAS TRABAJADAS'!B:B,"&lt;="&amp;C53)</f>
        <v>0</v>
      </c>
      <c r="J53" s="538">
        <f>SUMIFS('HORAS TRABAJADAS'!M:M,'HORAS TRABAJADAS'!A:A,A53,'HORAS TRABAJADAS'!B:B,"&gt;="&amp;B53,'HORAS TRABAJADAS'!B:B,"&lt;="&amp;C53)</f>
        <v>0</v>
      </c>
      <c r="K53" s="539">
        <f>SUMIFS('HORAS TRABAJADAS'!N:N,'HORAS TRABAJADAS'!A:A,A53,'HORAS TRABAJADAS'!B:B,"&gt;="&amp;B53,'HORAS TRABAJADAS'!B:B,"&lt;="&amp;C53)</f>
        <v>0</v>
      </c>
      <c r="L53" s="533" t="str">
        <f t="shared" si="2"/>
        <v>0 horas y 0 minutos</v>
      </c>
      <c r="M53" s="534">
        <f>SUMIFS('HORAS TRABAJADAS'!Q:Q,'HORAS TRABAJADAS'!A:A,A53,'HORAS TRABAJADAS'!B:B,"&gt;="&amp;B53,'HORAS TRABAJADAS'!B:B,"&lt;="&amp;C53)</f>
        <v>0</v>
      </c>
      <c r="N53" s="535">
        <f t="shared" si="1"/>
        <v>0</v>
      </c>
    </row>
    <row r="54" spans="1:14">
      <c r="A54" s="557">
        <v>1247550875</v>
      </c>
      <c r="B54" s="558">
        <v>43221</v>
      </c>
      <c r="C54" s="559">
        <v>43251</v>
      </c>
      <c r="D54" s="537">
        <f>SUMIFS('HORAS TRABAJADAS'!G$1:G$65538,'HORAS TRABAJADAS'!A$1:A$65538,A54,'HORAS TRABAJADAS'!B$1:B$65538,"&gt;="&amp;B54,'HORAS TRABAJADAS'!B$1:B$65538,"&lt;="&amp;C54)</f>
        <v>0</v>
      </c>
      <c r="E54" s="538">
        <f>SUMIFS('HORAS TRABAJADAS'!H:H,'HORAS TRABAJADAS'!A:A,A54,'HORAS TRABAJADAS'!B:B,"&gt;="&amp;B54,'HORAS TRABAJADAS'!B:B,"&lt;="&amp;C54)</f>
        <v>0</v>
      </c>
      <c r="F54" s="538">
        <f>SUMIFS('HORAS TRABAJADAS'!I:I,'HORAS TRABAJADAS'!A:A,A54,'HORAS TRABAJADAS'!B:B,"&gt;="&amp;B54,'HORAS TRABAJADAS'!B:B,"&lt;="&amp;C54)</f>
        <v>0</v>
      </c>
      <c r="G54" s="538">
        <f>SUMIFS('HORAS TRABAJADAS'!J:J,'HORAS TRABAJADAS'!A:A,A54,'HORAS TRABAJADAS'!B:B,"&gt;="&amp;B54,'HORAS TRABAJADAS'!B:B,"&lt;="&amp;C54)</f>
        <v>0</v>
      </c>
      <c r="H54" s="538">
        <f>SUMIFS('HORAS TRABAJADAS'!K:K,'HORAS TRABAJADAS'!A:A,A54,'HORAS TRABAJADAS'!B:B,"&gt;="&amp;B54,'HORAS TRABAJADAS'!B:B,"&lt;="&amp;C54)</f>
        <v>0</v>
      </c>
      <c r="I54" s="538">
        <f>SUMIFS('HORAS TRABAJADAS'!L:L,'HORAS TRABAJADAS'!A:A,A54,'HORAS TRABAJADAS'!B:B,"&gt;="&amp;B54,'HORAS TRABAJADAS'!B:B,"&lt;="&amp;C54)</f>
        <v>0</v>
      </c>
      <c r="J54" s="538">
        <f>SUMIFS('HORAS TRABAJADAS'!M:M,'HORAS TRABAJADAS'!A:A,A54,'HORAS TRABAJADAS'!B:B,"&gt;="&amp;B54,'HORAS TRABAJADAS'!B:B,"&lt;="&amp;C54)</f>
        <v>0</v>
      </c>
      <c r="K54" s="539">
        <f>SUMIFS('HORAS TRABAJADAS'!N:N,'HORAS TRABAJADAS'!A:A,A54,'HORAS TRABAJADAS'!B:B,"&gt;="&amp;B54,'HORAS TRABAJADAS'!B:B,"&lt;="&amp;C54)</f>
        <v>0</v>
      </c>
      <c r="L54" s="533" t="str">
        <f t="shared" si="2"/>
        <v>0 horas y 0 minutos</v>
      </c>
      <c r="M54" s="534">
        <f>SUMIFS('HORAS TRABAJADAS'!Q:Q,'HORAS TRABAJADAS'!A:A,A54,'HORAS TRABAJADAS'!B:B,"&gt;="&amp;B54,'HORAS TRABAJADAS'!B:B,"&lt;="&amp;C54)</f>
        <v>0</v>
      </c>
      <c r="N54" s="535">
        <f t="shared" si="1"/>
        <v>0</v>
      </c>
    </row>
    <row r="55" spans="1:14">
      <c r="A55" s="557">
        <v>1311966071</v>
      </c>
      <c r="B55" s="558">
        <v>43221</v>
      </c>
      <c r="C55" s="559">
        <v>43251</v>
      </c>
      <c r="D55" s="537">
        <f>SUMIFS('HORAS TRABAJADAS'!G$1:G$65538,'HORAS TRABAJADAS'!A$1:A$65538,A55,'HORAS TRABAJADAS'!B$1:B$65538,"&gt;="&amp;B55,'HORAS TRABAJADAS'!B$1:B$65538,"&lt;="&amp;C55)</f>
        <v>0</v>
      </c>
      <c r="E55" s="538">
        <f>SUMIFS('HORAS TRABAJADAS'!H:H,'HORAS TRABAJADAS'!A:A,A55,'HORAS TRABAJADAS'!B:B,"&gt;="&amp;B55,'HORAS TRABAJADAS'!B:B,"&lt;="&amp;C55)</f>
        <v>0</v>
      </c>
      <c r="F55" s="538">
        <f>SUMIFS('HORAS TRABAJADAS'!I:I,'HORAS TRABAJADAS'!A:A,A55,'HORAS TRABAJADAS'!B:B,"&gt;="&amp;B55,'HORAS TRABAJADAS'!B:B,"&lt;="&amp;C55)</f>
        <v>0</v>
      </c>
      <c r="G55" s="538">
        <f>SUMIFS('HORAS TRABAJADAS'!J:J,'HORAS TRABAJADAS'!A:A,A55,'HORAS TRABAJADAS'!B:B,"&gt;="&amp;B55,'HORAS TRABAJADAS'!B:B,"&lt;="&amp;C55)</f>
        <v>0</v>
      </c>
      <c r="H55" s="538">
        <f>SUMIFS('HORAS TRABAJADAS'!K:K,'HORAS TRABAJADAS'!A:A,A55,'HORAS TRABAJADAS'!B:B,"&gt;="&amp;B55,'HORAS TRABAJADAS'!B:B,"&lt;="&amp;C55)</f>
        <v>0</v>
      </c>
      <c r="I55" s="538">
        <f>SUMIFS('HORAS TRABAJADAS'!L:L,'HORAS TRABAJADAS'!A:A,A55,'HORAS TRABAJADAS'!B:B,"&gt;="&amp;B55,'HORAS TRABAJADAS'!B:B,"&lt;="&amp;C55)</f>
        <v>0</v>
      </c>
      <c r="J55" s="538">
        <f>SUMIFS('HORAS TRABAJADAS'!M:M,'HORAS TRABAJADAS'!A:A,A55,'HORAS TRABAJADAS'!B:B,"&gt;="&amp;B55,'HORAS TRABAJADAS'!B:B,"&lt;="&amp;C55)</f>
        <v>0</v>
      </c>
      <c r="K55" s="539">
        <f>SUMIFS('HORAS TRABAJADAS'!N:N,'HORAS TRABAJADAS'!A:A,A55,'HORAS TRABAJADAS'!B:B,"&gt;="&amp;B55,'HORAS TRABAJADAS'!B:B,"&lt;="&amp;C55)</f>
        <v>0</v>
      </c>
      <c r="L55" s="533" t="str">
        <f t="shared" si="2"/>
        <v>0 horas y 0 minutos</v>
      </c>
      <c r="M55" s="534">
        <f>SUMIFS('HORAS TRABAJADAS'!Q:Q,'HORAS TRABAJADAS'!A:A,A55,'HORAS TRABAJADAS'!B:B,"&gt;="&amp;B55,'HORAS TRABAJADAS'!B:B,"&lt;="&amp;C55)</f>
        <v>0</v>
      </c>
      <c r="N55" s="535">
        <f t="shared" si="1"/>
        <v>0</v>
      </c>
    </row>
    <row r="56" spans="1:14">
      <c r="A56" s="557">
        <v>1317424267</v>
      </c>
      <c r="B56" s="558">
        <v>43221</v>
      </c>
      <c r="C56" s="559">
        <v>43251</v>
      </c>
      <c r="D56" s="537">
        <f>SUMIFS('HORAS TRABAJADAS'!G$1:G$65538,'HORAS TRABAJADAS'!A$1:A$65538,A56,'HORAS TRABAJADAS'!B$1:B$65538,"&gt;="&amp;B56,'HORAS TRABAJADAS'!B$1:B$65538,"&lt;="&amp;C56)</f>
        <v>0</v>
      </c>
      <c r="E56" s="538">
        <f>SUMIFS('HORAS TRABAJADAS'!H:H,'HORAS TRABAJADAS'!A:A,A56,'HORAS TRABAJADAS'!B:B,"&gt;="&amp;B56,'HORAS TRABAJADAS'!B:B,"&lt;="&amp;C56)</f>
        <v>0</v>
      </c>
      <c r="F56" s="538">
        <f>SUMIFS('HORAS TRABAJADAS'!I:I,'HORAS TRABAJADAS'!A:A,A56,'HORAS TRABAJADAS'!B:B,"&gt;="&amp;B56,'HORAS TRABAJADAS'!B:B,"&lt;="&amp;C56)</f>
        <v>0</v>
      </c>
      <c r="G56" s="538">
        <f>SUMIFS('HORAS TRABAJADAS'!J:J,'HORAS TRABAJADAS'!A:A,A56,'HORAS TRABAJADAS'!B:B,"&gt;="&amp;B56,'HORAS TRABAJADAS'!B:B,"&lt;="&amp;C56)</f>
        <v>0</v>
      </c>
      <c r="H56" s="538">
        <f>SUMIFS('HORAS TRABAJADAS'!K:K,'HORAS TRABAJADAS'!A:A,A56,'HORAS TRABAJADAS'!B:B,"&gt;="&amp;B56,'HORAS TRABAJADAS'!B:B,"&lt;="&amp;C56)</f>
        <v>0</v>
      </c>
      <c r="I56" s="538">
        <f>SUMIFS('HORAS TRABAJADAS'!L:L,'HORAS TRABAJADAS'!A:A,A56,'HORAS TRABAJADAS'!B:B,"&gt;="&amp;B56,'HORAS TRABAJADAS'!B:B,"&lt;="&amp;C56)</f>
        <v>0</v>
      </c>
      <c r="J56" s="538">
        <f>SUMIFS('HORAS TRABAJADAS'!M:M,'HORAS TRABAJADAS'!A:A,A56,'HORAS TRABAJADAS'!B:B,"&gt;="&amp;B56,'HORAS TRABAJADAS'!B:B,"&lt;="&amp;C56)</f>
        <v>0</v>
      </c>
      <c r="K56" s="539">
        <f>SUMIFS('HORAS TRABAJADAS'!N:N,'HORAS TRABAJADAS'!A:A,A56,'HORAS TRABAJADAS'!B:B,"&gt;="&amp;B56,'HORAS TRABAJADAS'!B:B,"&lt;="&amp;C56)</f>
        <v>0</v>
      </c>
      <c r="L56" s="533" t="str">
        <f t="shared" si="2"/>
        <v>0 horas y 0 minutos</v>
      </c>
      <c r="M56" s="534">
        <f>SUMIFS('HORAS TRABAJADAS'!Q:Q,'HORAS TRABAJADAS'!A:A,A56,'HORAS TRABAJADAS'!B:B,"&gt;="&amp;B56,'HORAS TRABAJADAS'!B:B,"&lt;="&amp;C56)</f>
        <v>0</v>
      </c>
      <c r="N56" s="535">
        <f t="shared" si="1"/>
        <v>0</v>
      </c>
    </row>
    <row r="57" spans="1:14">
      <c r="A57" s="557">
        <v>1315211554</v>
      </c>
      <c r="B57" s="558">
        <v>43221</v>
      </c>
      <c r="C57" s="559">
        <v>43251</v>
      </c>
      <c r="D57" s="537">
        <f>SUMIFS('HORAS TRABAJADAS'!G$1:G$65538,'HORAS TRABAJADAS'!A$1:A$65538,A57,'HORAS TRABAJADAS'!B$1:B$65538,"&gt;="&amp;B57,'HORAS TRABAJADAS'!B$1:B$65538,"&lt;="&amp;C57)</f>
        <v>0</v>
      </c>
      <c r="E57" s="538">
        <f>SUMIFS('HORAS TRABAJADAS'!H:H,'HORAS TRABAJADAS'!A:A,A57,'HORAS TRABAJADAS'!B:B,"&gt;="&amp;B57,'HORAS TRABAJADAS'!B:B,"&lt;="&amp;C57)</f>
        <v>0</v>
      </c>
      <c r="F57" s="538">
        <f>SUMIFS('HORAS TRABAJADAS'!I:I,'HORAS TRABAJADAS'!A:A,A57,'HORAS TRABAJADAS'!B:B,"&gt;="&amp;B57,'HORAS TRABAJADAS'!B:B,"&lt;="&amp;C57)</f>
        <v>0</v>
      </c>
      <c r="G57" s="538">
        <f>SUMIFS('HORAS TRABAJADAS'!J:J,'HORAS TRABAJADAS'!A:A,A57,'HORAS TRABAJADAS'!B:B,"&gt;="&amp;B57,'HORAS TRABAJADAS'!B:B,"&lt;="&amp;C57)</f>
        <v>0</v>
      </c>
      <c r="H57" s="538">
        <f>SUMIFS('HORAS TRABAJADAS'!K:K,'HORAS TRABAJADAS'!A:A,A57,'HORAS TRABAJADAS'!B:B,"&gt;="&amp;B57,'HORAS TRABAJADAS'!B:B,"&lt;="&amp;C57)</f>
        <v>0</v>
      </c>
      <c r="I57" s="538">
        <f>SUMIFS('HORAS TRABAJADAS'!L:L,'HORAS TRABAJADAS'!A:A,A57,'HORAS TRABAJADAS'!B:B,"&gt;="&amp;B57,'HORAS TRABAJADAS'!B:B,"&lt;="&amp;C57)</f>
        <v>0</v>
      </c>
      <c r="J57" s="538">
        <f>SUMIFS('HORAS TRABAJADAS'!M:M,'HORAS TRABAJADAS'!A:A,A57,'HORAS TRABAJADAS'!B:B,"&gt;="&amp;B57,'HORAS TRABAJADAS'!B:B,"&lt;="&amp;C57)</f>
        <v>0</v>
      </c>
      <c r="K57" s="539">
        <f>SUMIFS('HORAS TRABAJADAS'!N:N,'HORAS TRABAJADAS'!A:A,A57,'HORAS TRABAJADAS'!B:B,"&gt;="&amp;B57,'HORAS TRABAJADAS'!B:B,"&lt;="&amp;C57)</f>
        <v>0</v>
      </c>
      <c r="L57" s="533" t="str">
        <f t="shared" si="2"/>
        <v>0 horas y 0 minutos</v>
      </c>
      <c r="M57" s="534">
        <f>SUMIFS('HORAS TRABAJADAS'!Q:Q,'HORAS TRABAJADAS'!A:A,A57,'HORAS TRABAJADAS'!B:B,"&gt;="&amp;B57,'HORAS TRABAJADAS'!B:B,"&lt;="&amp;C57)</f>
        <v>0</v>
      </c>
      <c r="N57" s="535">
        <f t="shared" si="1"/>
        <v>0</v>
      </c>
    </row>
    <row r="58" spans="1:14">
      <c r="A58" s="557">
        <v>1241318672</v>
      </c>
      <c r="B58" s="558">
        <v>43221</v>
      </c>
      <c r="C58" s="559">
        <v>43251</v>
      </c>
      <c r="D58" s="537">
        <f>SUMIFS('HORAS TRABAJADAS'!G$1:G$65538,'HORAS TRABAJADAS'!A$1:A$65538,A58,'HORAS TRABAJADAS'!B$1:B$65538,"&gt;="&amp;B58,'HORAS TRABAJADAS'!B$1:B$65538,"&lt;="&amp;C58)</f>
        <v>0</v>
      </c>
      <c r="E58" s="538">
        <f>SUMIFS('HORAS TRABAJADAS'!H:H,'HORAS TRABAJADAS'!A:A,A58,'HORAS TRABAJADAS'!B:B,"&gt;="&amp;B58,'HORAS TRABAJADAS'!B:B,"&lt;="&amp;C58)</f>
        <v>0</v>
      </c>
      <c r="F58" s="538">
        <f>SUMIFS('HORAS TRABAJADAS'!I:I,'HORAS TRABAJADAS'!A:A,A58,'HORAS TRABAJADAS'!B:B,"&gt;="&amp;B58,'HORAS TRABAJADAS'!B:B,"&lt;="&amp;C58)</f>
        <v>0</v>
      </c>
      <c r="G58" s="538">
        <f>SUMIFS('HORAS TRABAJADAS'!J:J,'HORAS TRABAJADAS'!A:A,A58,'HORAS TRABAJADAS'!B:B,"&gt;="&amp;B58,'HORAS TRABAJADAS'!B:B,"&lt;="&amp;C58)</f>
        <v>0</v>
      </c>
      <c r="H58" s="538">
        <f>SUMIFS('HORAS TRABAJADAS'!K:K,'HORAS TRABAJADAS'!A:A,A58,'HORAS TRABAJADAS'!B:B,"&gt;="&amp;B58,'HORAS TRABAJADAS'!B:B,"&lt;="&amp;C58)</f>
        <v>0</v>
      </c>
      <c r="I58" s="538">
        <f>SUMIFS('HORAS TRABAJADAS'!L:L,'HORAS TRABAJADAS'!A:A,A58,'HORAS TRABAJADAS'!B:B,"&gt;="&amp;B58,'HORAS TRABAJADAS'!B:B,"&lt;="&amp;C58)</f>
        <v>0</v>
      </c>
      <c r="J58" s="538">
        <f>SUMIFS('HORAS TRABAJADAS'!M:M,'HORAS TRABAJADAS'!A:A,A58,'HORAS TRABAJADAS'!B:B,"&gt;="&amp;B58,'HORAS TRABAJADAS'!B:B,"&lt;="&amp;C58)</f>
        <v>0</v>
      </c>
      <c r="K58" s="539">
        <f>SUMIFS('HORAS TRABAJADAS'!N:N,'HORAS TRABAJADAS'!A:A,A58,'HORAS TRABAJADAS'!B:B,"&gt;="&amp;B58,'HORAS TRABAJADAS'!B:B,"&lt;="&amp;C58)</f>
        <v>0</v>
      </c>
      <c r="L58" s="533" t="str">
        <f t="shared" si="2"/>
        <v>0 horas y 0 minutos</v>
      </c>
      <c r="M58" s="534">
        <f>SUMIFS('HORAS TRABAJADAS'!Q:Q,'HORAS TRABAJADAS'!A:A,A58,'HORAS TRABAJADAS'!B:B,"&gt;="&amp;B58,'HORAS TRABAJADAS'!B:B,"&lt;="&amp;C58)</f>
        <v>0</v>
      </c>
      <c r="N58" s="535">
        <f t="shared" si="1"/>
        <v>0</v>
      </c>
    </row>
    <row r="59" spans="1:14">
      <c r="A59" s="557">
        <v>1324063080</v>
      </c>
      <c r="B59" s="558">
        <v>43221</v>
      </c>
      <c r="C59" s="559">
        <v>43251</v>
      </c>
      <c r="D59" s="537">
        <f>SUMIFS('HORAS TRABAJADAS'!G$1:G$65538,'HORAS TRABAJADAS'!A$1:A$65538,A59,'HORAS TRABAJADAS'!B$1:B$65538,"&gt;="&amp;B59,'HORAS TRABAJADAS'!B$1:B$65538,"&lt;="&amp;C59)</f>
        <v>0</v>
      </c>
      <c r="E59" s="538">
        <f>SUMIFS('HORAS TRABAJADAS'!H:H,'HORAS TRABAJADAS'!A:A,A59,'HORAS TRABAJADAS'!B:B,"&gt;="&amp;B59,'HORAS TRABAJADAS'!B:B,"&lt;="&amp;C59)</f>
        <v>0</v>
      </c>
      <c r="F59" s="538">
        <f>SUMIFS('HORAS TRABAJADAS'!I:I,'HORAS TRABAJADAS'!A:A,A59,'HORAS TRABAJADAS'!B:B,"&gt;="&amp;B59,'HORAS TRABAJADAS'!B:B,"&lt;="&amp;C59)</f>
        <v>0</v>
      </c>
      <c r="G59" s="538">
        <f>SUMIFS('HORAS TRABAJADAS'!J:J,'HORAS TRABAJADAS'!A:A,A59,'HORAS TRABAJADAS'!B:B,"&gt;="&amp;B59,'HORAS TRABAJADAS'!B:B,"&lt;="&amp;C59)</f>
        <v>0</v>
      </c>
      <c r="H59" s="538">
        <f>SUMIFS('HORAS TRABAJADAS'!K:K,'HORAS TRABAJADAS'!A:A,A59,'HORAS TRABAJADAS'!B:B,"&gt;="&amp;B59,'HORAS TRABAJADAS'!B:B,"&lt;="&amp;C59)</f>
        <v>0</v>
      </c>
      <c r="I59" s="538">
        <f>SUMIFS('HORAS TRABAJADAS'!L:L,'HORAS TRABAJADAS'!A:A,A59,'HORAS TRABAJADAS'!B:B,"&gt;="&amp;B59,'HORAS TRABAJADAS'!B:B,"&lt;="&amp;C59)</f>
        <v>0</v>
      </c>
      <c r="J59" s="538">
        <f>SUMIFS('HORAS TRABAJADAS'!M:M,'HORAS TRABAJADAS'!A:A,A59,'HORAS TRABAJADAS'!B:B,"&gt;="&amp;B59,'HORAS TRABAJADAS'!B:B,"&lt;="&amp;C59)</f>
        <v>0</v>
      </c>
      <c r="K59" s="539">
        <f>SUMIFS('HORAS TRABAJADAS'!N:N,'HORAS TRABAJADAS'!A:A,A59,'HORAS TRABAJADAS'!B:B,"&gt;="&amp;B59,'HORAS TRABAJADAS'!B:B,"&lt;="&amp;C59)</f>
        <v>0</v>
      </c>
      <c r="L59" s="533" t="str">
        <f t="shared" si="2"/>
        <v>0 horas y 0 minutos</v>
      </c>
      <c r="M59" s="534">
        <f>SUMIFS('HORAS TRABAJADAS'!Q:Q,'HORAS TRABAJADAS'!A:A,A59,'HORAS TRABAJADAS'!B:B,"&gt;="&amp;B59,'HORAS TRABAJADAS'!B:B,"&lt;="&amp;C59)</f>
        <v>0</v>
      </c>
      <c r="N59" s="535">
        <f t="shared" si="1"/>
        <v>0</v>
      </c>
    </row>
    <row r="60" spans="1:14">
      <c r="A60" s="557">
        <v>1259425899</v>
      </c>
      <c r="B60" s="558">
        <v>43221</v>
      </c>
      <c r="C60" s="559">
        <v>43251</v>
      </c>
      <c r="D60" s="537">
        <f>SUMIFS('HORAS TRABAJADAS'!G$1:G$65538,'HORAS TRABAJADAS'!A$1:A$65538,A60,'HORAS TRABAJADAS'!B$1:B$65538,"&gt;="&amp;B60,'HORAS TRABAJADAS'!B$1:B$65538,"&lt;="&amp;C60)</f>
        <v>0</v>
      </c>
      <c r="E60" s="538">
        <f>SUMIFS('HORAS TRABAJADAS'!H:H,'HORAS TRABAJADAS'!A:A,A60,'HORAS TRABAJADAS'!B:B,"&gt;="&amp;B60,'HORAS TRABAJADAS'!B:B,"&lt;="&amp;C60)</f>
        <v>0</v>
      </c>
      <c r="F60" s="538">
        <f>SUMIFS('HORAS TRABAJADAS'!I:I,'HORAS TRABAJADAS'!A:A,A60,'HORAS TRABAJADAS'!B:B,"&gt;="&amp;B60,'HORAS TRABAJADAS'!B:B,"&lt;="&amp;C60)</f>
        <v>0</v>
      </c>
      <c r="G60" s="538">
        <f>SUMIFS('HORAS TRABAJADAS'!J:J,'HORAS TRABAJADAS'!A:A,A60,'HORAS TRABAJADAS'!B:B,"&gt;="&amp;B60,'HORAS TRABAJADAS'!B:B,"&lt;="&amp;C60)</f>
        <v>0</v>
      </c>
      <c r="H60" s="538">
        <f>SUMIFS('HORAS TRABAJADAS'!K:K,'HORAS TRABAJADAS'!A:A,A60,'HORAS TRABAJADAS'!B:B,"&gt;="&amp;B60,'HORAS TRABAJADAS'!B:B,"&lt;="&amp;C60)</f>
        <v>0</v>
      </c>
      <c r="I60" s="538">
        <f>SUMIFS('HORAS TRABAJADAS'!L:L,'HORAS TRABAJADAS'!A:A,A60,'HORAS TRABAJADAS'!B:B,"&gt;="&amp;B60,'HORAS TRABAJADAS'!B:B,"&lt;="&amp;C60)</f>
        <v>0</v>
      </c>
      <c r="J60" s="538">
        <f>SUMIFS('HORAS TRABAJADAS'!M:M,'HORAS TRABAJADAS'!A:A,A60,'HORAS TRABAJADAS'!B:B,"&gt;="&amp;B60,'HORAS TRABAJADAS'!B:B,"&lt;="&amp;C60)</f>
        <v>0</v>
      </c>
      <c r="K60" s="539">
        <f>SUMIFS('HORAS TRABAJADAS'!N:N,'HORAS TRABAJADAS'!A:A,A60,'HORAS TRABAJADAS'!B:B,"&gt;="&amp;B60,'HORAS TRABAJADAS'!B:B,"&lt;="&amp;C60)</f>
        <v>0</v>
      </c>
      <c r="L60" s="533" t="str">
        <f t="shared" si="2"/>
        <v>0 horas y 0 minutos</v>
      </c>
      <c r="M60" s="534">
        <f>SUMIFS('HORAS TRABAJADAS'!Q:Q,'HORAS TRABAJADAS'!A:A,A60,'HORAS TRABAJADAS'!B:B,"&gt;="&amp;B60,'HORAS TRABAJADAS'!B:B,"&lt;="&amp;C60)</f>
        <v>0</v>
      </c>
      <c r="N60" s="535">
        <f t="shared" si="1"/>
        <v>0</v>
      </c>
    </row>
    <row r="61" spans="1:14">
      <c r="A61" s="550"/>
      <c r="B61" s="551"/>
      <c r="C61" s="556"/>
      <c r="D61" s="537">
        <f>SUMIFS('HORAS TRABAJADAS'!G$1:G$65538,'HORAS TRABAJADAS'!A$1:A$65538,A61,'HORAS TRABAJADAS'!B$1:B$65538,"&gt;="&amp;B61,'HORAS TRABAJADAS'!B$1:B$65538,"&lt;="&amp;C61)</f>
        <v>0</v>
      </c>
      <c r="E61" s="538">
        <f>SUMIFS('HORAS TRABAJADAS'!H:H,'HORAS TRABAJADAS'!A:A,A61,'HORAS TRABAJADAS'!B:B,"&gt;="&amp;B61,'HORAS TRABAJADAS'!B:B,"&lt;="&amp;C61)</f>
        <v>0</v>
      </c>
      <c r="F61" s="538">
        <f>SUMIFS('HORAS TRABAJADAS'!I:I,'HORAS TRABAJADAS'!A:A,A61,'HORAS TRABAJADAS'!B:B,"&gt;="&amp;B61,'HORAS TRABAJADAS'!B:B,"&lt;="&amp;C61)</f>
        <v>0</v>
      </c>
      <c r="G61" s="538">
        <f>SUMIFS('HORAS TRABAJADAS'!J:J,'HORAS TRABAJADAS'!A:A,A61,'HORAS TRABAJADAS'!B:B,"&gt;="&amp;B61,'HORAS TRABAJADAS'!B:B,"&lt;="&amp;C61)</f>
        <v>0</v>
      </c>
      <c r="H61" s="538">
        <f>SUMIFS('HORAS TRABAJADAS'!K:K,'HORAS TRABAJADAS'!A:A,A61,'HORAS TRABAJADAS'!B:B,"&gt;="&amp;B61,'HORAS TRABAJADAS'!B:B,"&lt;="&amp;C61)</f>
        <v>0</v>
      </c>
      <c r="I61" s="538">
        <f>SUMIFS('HORAS TRABAJADAS'!L:L,'HORAS TRABAJADAS'!A:A,A61,'HORAS TRABAJADAS'!B:B,"&gt;="&amp;B61,'HORAS TRABAJADAS'!B:B,"&lt;="&amp;C61)</f>
        <v>0</v>
      </c>
      <c r="J61" s="538">
        <f>SUMIFS('HORAS TRABAJADAS'!M:M,'HORAS TRABAJADAS'!A:A,A61,'HORAS TRABAJADAS'!B:B,"&gt;="&amp;B61,'HORAS TRABAJADAS'!B:B,"&lt;="&amp;C61)</f>
        <v>0</v>
      </c>
      <c r="K61" s="539">
        <f>SUMIFS('HORAS TRABAJADAS'!N:N,'HORAS TRABAJADAS'!A:A,A61,'HORAS TRABAJADAS'!B:B,"&gt;="&amp;B61,'HORAS TRABAJADAS'!B:B,"&lt;="&amp;C61)</f>
        <v>0</v>
      </c>
      <c r="L61" s="533" t="str">
        <f t="shared" si="2"/>
        <v>0 horas y 0 minutos</v>
      </c>
      <c r="M61" s="534">
        <f>SUMIFS('HORAS TRABAJADAS'!Q:Q,'HORAS TRABAJADAS'!A:A,A61,'HORAS TRABAJADAS'!B:B,"&gt;="&amp;B61,'HORAS TRABAJADAS'!B:B,"&lt;="&amp;C61)</f>
        <v>0</v>
      </c>
      <c r="N61" s="535">
        <f t="shared" si="1"/>
        <v>0</v>
      </c>
    </row>
    <row r="62" spans="1:14">
      <c r="A62" s="560">
        <v>1321648522</v>
      </c>
      <c r="B62" s="561">
        <v>43252</v>
      </c>
      <c r="C62" s="562">
        <v>43281</v>
      </c>
      <c r="D62" s="537">
        <f>SUMIFS('HORAS TRABAJADAS'!G$1:G$65538,'HORAS TRABAJADAS'!A$1:A$65538,A62,'HORAS TRABAJADAS'!B$1:B$65538,"&gt;="&amp;B62,'HORAS TRABAJADAS'!B$1:B$65538,"&lt;="&amp;C62)</f>
        <v>0</v>
      </c>
      <c r="E62" s="538">
        <f>SUMIFS('HORAS TRABAJADAS'!H:H,'HORAS TRABAJADAS'!A:A,A62,'HORAS TRABAJADAS'!B:B,"&gt;="&amp;B62,'HORAS TRABAJADAS'!B:B,"&lt;="&amp;C62)</f>
        <v>0</v>
      </c>
      <c r="F62" s="538">
        <f>SUMIFS('HORAS TRABAJADAS'!I:I,'HORAS TRABAJADAS'!A:A,A62,'HORAS TRABAJADAS'!B:B,"&gt;="&amp;B62,'HORAS TRABAJADAS'!B:B,"&lt;="&amp;C62)</f>
        <v>0</v>
      </c>
      <c r="G62" s="538">
        <f>SUMIFS('HORAS TRABAJADAS'!J:J,'HORAS TRABAJADAS'!A:A,A62,'HORAS TRABAJADAS'!B:B,"&gt;="&amp;B62,'HORAS TRABAJADAS'!B:B,"&lt;="&amp;C62)</f>
        <v>0</v>
      </c>
      <c r="H62" s="538">
        <f>SUMIFS('HORAS TRABAJADAS'!K:K,'HORAS TRABAJADAS'!A:A,A62,'HORAS TRABAJADAS'!B:B,"&gt;="&amp;B62,'HORAS TRABAJADAS'!B:B,"&lt;="&amp;C62)</f>
        <v>0</v>
      </c>
      <c r="I62" s="538">
        <f>SUMIFS('HORAS TRABAJADAS'!L:L,'HORAS TRABAJADAS'!A:A,A62,'HORAS TRABAJADAS'!B:B,"&gt;="&amp;B62,'HORAS TRABAJADAS'!B:B,"&lt;="&amp;C62)</f>
        <v>0</v>
      </c>
      <c r="J62" s="538">
        <f>SUMIFS('HORAS TRABAJADAS'!M:M,'HORAS TRABAJADAS'!A:A,A62,'HORAS TRABAJADAS'!B:B,"&gt;="&amp;B62,'HORAS TRABAJADAS'!B:B,"&lt;="&amp;C62)</f>
        <v>0</v>
      </c>
      <c r="K62" s="539">
        <f>SUMIFS('HORAS TRABAJADAS'!N:N,'HORAS TRABAJADAS'!A:A,A62,'HORAS TRABAJADAS'!B:B,"&gt;="&amp;B62,'HORAS TRABAJADAS'!B:B,"&lt;="&amp;C62)</f>
        <v>0</v>
      </c>
      <c r="L62" s="533" t="str">
        <f t="shared" si="2"/>
        <v>0 horas y 0 minutos</v>
      </c>
      <c r="M62" s="534">
        <f>SUMIFS('HORAS TRABAJADAS'!Q:Q,'HORAS TRABAJADAS'!A:A,A62,'HORAS TRABAJADAS'!B:B,"&gt;="&amp;B62,'HORAS TRABAJADAS'!B:B,"&lt;="&amp;C62)</f>
        <v>0</v>
      </c>
      <c r="N62" s="535">
        <f t="shared" si="1"/>
        <v>0</v>
      </c>
    </row>
    <row r="63" spans="1:14">
      <c r="A63" s="560">
        <v>1323384207</v>
      </c>
      <c r="B63" s="561">
        <v>43252</v>
      </c>
      <c r="C63" s="562">
        <v>43281</v>
      </c>
      <c r="D63" s="537">
        <f>SUMIFS('HORAS TRABAJADAS'!G$1:G$65538,'HORAS TRABAJADAS'!A$1:A$65538,A63,'HORAS TRABAJADAS'!B$1:B$65538,"&gt;="&amp;B63,'HORAS TRABAJADAS'!B$1:B$65538,"&lt;="&amp;C63)</f>
        <v>0</v>
      </c>
      <c r="E63" s="538">
        <f>SUMIFS('HORAS TRABAJADAS'!H:H,'HORAS TRABAJADAS'!A:A,A63,'HORAS TRABAJADAS'!B:B,"&gt;="&amp;B63,'HORAS TRABAJADAS'!B:B,"&lt;="&amp;C63)</f>
        <v>0</v>
      </c>
      <c r="F63" s="538">
        <f>SUMIFS('HORAS TRABAJADAS'!I:I,'HORAS TRABAJADAS'!A:A,A63,'HORAS TRABAJADAS'!B:B,"&gt;="&amp;B63,'HORAS TRABAJADAS'!B:B,"&lt;="&amp;C63)</f>
        <v>0</v>
      </c>
      <c r="G63" s="538">
        <f>SUMIFS('HORAS TRABAJADAS'!J:J,'HORAS TRABAJADAS'!A:A,A63,'HORAS TRABAJADAS'!B:B,"&gt;="&amp;B63,'HORAS TRABAJADAS'!B:B,"&lt;="&amp;C63)</f>
        <v>0</v>
      </c>
      <c r="H63" s="538">
        <f>SUMIFS('HORAS TRABAJADAS'!K:K,'HORAS TRABAJADAS'!A:A,A63,'HORAS TRABAJADAS'!B:B,"&gt;="&amp;B63,'HORAS TRABAJADAS'!B:B,"&lt;="&amp;C63)</f>
        <v>0</v>
      </c>
      <c r="I63" s="538">
        <f>SUMIFS('HORAS TRABAJADAS'!L:L,'HORAS TRABAJADAS'!A:A,A63,'HORAS TRABAJADAS'!B:B,"&gt;="&amp;B63,'HORAS TRABAJADAS'!B:B,"&lt;="&amp;C63)</f>
        <v>0</v>
      </c>
      <c r="J63" s="538">
        <f>SUMIFS('HORAS TRABAJADAS'!M:M,'HORAS TRABAJADAS'!A:A,A63,'HORAS TRABAJADAS'!B:B,"&gt;="&amp;B63,'HORAS TRABAJADAS'!B:B,"&lt;="&amp;C63)</f>
        <v>0</v>
      </c>
      <c r="K63" s="539">
        <f>SUMIFS('HORAS TRABAJADAS'!N:N,'HORAS TRABAJADAS'!A:A,A63,'HORAS TRABAJADAS'!B:B,"&gt;="&amp;B63,'HORAS TRABAJADAS'!B:B,"&lt;="&amp;C63)</f>
        <v>0</v>
      </c>
      <c r="L63" s="533" t="str">
        <f t="shared" si="2"/>
        <v>0 horas y 0 minutos</v>
      </c>
      <c r="M63" s="534">
        <f>SUMIFS('HORAS TRABAJADAS'!Q:Q,'HORAS TRABAJADAS'!A:A,A63,'HORAS TRABAJADAS'!B:B,"&gt;="&amp;B63,'HORAS TRABAJADAS'!B:B,"&lt;="&amp;C63)</f>
        <v>0</v>
      </c>
      <c r="N63" s="535">
        <f t="shared" si="1"/>
        <v>0</v>
      </c>
    </row>
    <row r="64" spans="1:14">
      <c r="A64" s="560">
        <v>1237462775</v>
      </c>
      <c r="B64" s="561">
        <v>43252</v>
      </c>
      <c r="C64" s="562">
        <v>43281</v>
      </c>
      <c r="D64" s="537">
        <f>SUMIFS('HORAS TRABAJADAS'!G$1:G$65538,'HORAS TRABAJADAS'!A$1:A$65538,A64,'HORAS TRABAJADAS'!B$1:B$65538,"&gt;="&amp;B64,'HORAS TRABAJADAS'!B$1:B$65538,"&lt;="&amp;C64)</f>
        <v>0</v>
      </c>
      <c r="E64" s="538">
        <f>SUMIFS('HORAS TRABAJADAS'!H:H,'HORAS TRABAJADAS'!A:A,A64,'HORAS TRABAJADAS'!B:B,"&gt;="&amp;B64,'HORAS TRABAJADAS'!B:B,"&lt;="&amp;C64)</f>
        <v>0</v>
      </c>
      <c r="F64" s="538">
        <f>SUMIFS('HORAS TRABAJADAS'!I:I,'HORAS TRABAJADAS'!A:A,A64,'HORAS TRABAJADAS'!B:B,"&gt;="&amp;B64,'HORAS TRABAJADAS'!B:B,"&lt;="&amp;C64)</f>
        <v>0</v>
      </c>
      <c r="G64" s="538">
        <f>SUMIFS('HORAS TRABAJADAS'!J:J,'HORAS TRABAJADAS'!A:A,A64,'HORAS TRABAJADAS'!B:B,"&gt;="&amp;B64,'HORAS TRABAJADAS'!B:B,"&lt;="&amp;C64)</f>
        <v>0</v>
      </c>
      <c r="H64" s="538">
        <f>SUMIFS('HORAS TRABAJADAS'!K:K,'HORAS TRABAJADAS'!A:A,A64,'HORAS TRABAJADAS'!B:B,"&gt;="&amp;B64,'HORAS TRABAJADAS'!B:B,"&lt;="&amp;C64)</f>
        <v>0</v>
      </c>
      <c r="I64" s="538">
        <f>SUMIFS('HORAS TRABAJADAS'!L:L,'HORAS TRABAJADAS'!A:A,A64,'HORAS TRABAJADAS'!B:B,"&gt;="&amp;B64,'HORAS TRABAJADAS'!B:B,"&lt;="&amp;C64)</f>
        <v>0</v>
      </c>
      <c r="J64" s="538">
        <f>SUMIFS('HORAS TRABAJADAS'!M:M,'HORAS TRABAJADAS'!A:A,A64,'HORAS TRABAJADAS'!B:B,"&gt;="&amp;B64,'HORAS TRABAJADAS'!B:B,"&lt;="&amp;C64)</f>
        <v>0</v>
      </c>
      <c r="K64" s="539">
        <f>SUMIFS('HORAS TRABAJADAS'!N:N,'HORAS TRABAJADAS'!A:A,A64,'HORAS TRABAJADAS'!B:B,"&gt;="&amp;B64,'HORAS TRABAJADAS'!B:B,"&lt;="&amp;C64)</f>
        <v>0</v>
      </c>
      <c r="L64" s="533" t="str">
        <f t="shared" si="2"/>
        <v>0 horas y 0 minutos</v>
      </c>
      <c r="M64" s="534">
        <f>SUMIFS('HORAS TRABAJADAS'!Q:Q,'HORAS TRABAJADAS'!A:A,A64,'HORAS TRABAJADAS'!B:B,"&gt;="&amp;B64,'HORAS TRABAJADAS'!B:B,"&lt;="&amp;C64)</f>
        <v>0</v>
      </c>
      <c r="N64" s="535">
        <f t="shared" si="1"/>
        <v>0</v>
      </c>
    </row>
    <row r="65" spans="1:14">
      <c r="A65" s="560">
        <v>1285748000</v>
      </c>
      <c r="B65" s="561">
        <v>43252</v>
      </c>
      <c r="C65" s="562">
        <v>43281</v>
      </c>
      <c r="D65" s="537">
        <f>SUMIFS('HORAS TRABAJADAS'!G$1:G$65538,'HORAS TRABAJADAS'!A$1:A$65538,A65,'HORAS TRABAJADAS'!B$1:B$65538,"&gt;="&amp;B65,'HORAS TRABAJADAS'!B$1:B$65538,"&lt;="&amp;C65)</f>
        <v>0</v>
      </c>
      <c r="E65" s="538">
        <f>SUMIFS('HORAS TRABAJADAS'!H:H,'HORAS TRABAJADAS'!A:A,A65,'HORAS TRABAJADAS'!B:B,"&gt;="&amp;B65,'HORAS TRABAJADAS'!B:B,"&lt;="&amp;C65)</f>
        <v>0</v>
      </c>
      <c r="F65" s="538">
        <f>SUMIFS('HORAS TRABAJADAS'!I:I,'HORAS TRABAJADAS'!A:A,A65,'HORAS TRABAJADAS'!B:B,"&gt;="&amp;B65,'HORAS TRABAJADAS'!B:B,"&lt;="&amp;C65)</f>
        <v>0</v>
      </c>
      <c r="G65" s="538">
        <f>SUMIFS('HORAS TRABAJADAS'!J:J,'HORAS TRABAJADAS'!A:A,A65,'HORAS TRABAJADAS'!B:B,"&gt;="&amp;B65,'HORAS TRABAJADAS'!B:B,"&lt;="&amp;C65)</f>
        <v>0</v>
      </c>
      <c r="H65" s="538">
        <f>SUMIFS('HORAS TRABAJADAS'!K:K,'HORAS TRABAJADAS'!A:A,A65,'HORAS TRABAJADAS'!B:B,"&gt;="&amp;B65,'HORAS TRABAJADAS'!B:B,"&lt;="&amp;C65)</f>
        <v>0</v>
      </c>
      <c r="I65" s="538">
        <f>SUMIFS('HORAS TRABAJADAS'!L:L,'HORAS TRABAJADAS'!A:A,A65,'HORAS TRABAJADAS'!B:B,"&gt;="&amp;B65,'HORAS TRABAJADAS'!B:B,"&lt;="&amp;C65)</f>
        <v>0</v>
      </c>
      <c r="J65" s="538">
        <f>SUMIFS('HORAS TRABAJADAS'!M:M,'HORAS TRABAJADAS'!A:A,A65,'HORAS TRABAJADAS'!B:B,"&gt;="&amp;B65,'HORAS TRABAJADAS'!B:B,"&lt;="&amp;C65)</f>
        <v>0</v>
      </c>
      <c r="K65" s="539">
        <f>SUMIFS('HORAS TRABAJADAS'!N:N,'HORAS TRABAJADAS'!A:A,A65,'HORAS TRABAJADAS'!B:B,"&gt;="&amp;B65,'HORAS TRABAJADAS'!B:B,"&lt;="&amp;C65)</f>
        <v>0</v>
      </c>
      <c r="L65" s="533" t="str">
        <f t="shared" si="2"/>
        <v>0 horas y 0 minutos</v>
      </c>
      <c r="M65" s="534">
        <f>SUMIFS('HORAS TRABAJADAS'!Q:Q,'HORAS TRABAJADAS'!A:A,A65,'HORAS TRABAJADAS'!B:B,"&gt;="&amp;B65,'HORAS TRABAJADAS'!B:B,"&lt;="&amp;C65)</f>
        <v>0</v>
      </c>
      <c r="N65" s="535">
        <f t="shared" si="1"/>
        <v>0</v>
      </c>
    </row>
    <row r="66" spans="1:14">
      <c r="A66" s="560">
        <v>1247550875</v>
      </c>
      <c r="B66" s="561">
        <v>43252</v>
      </c>
      <c r="C66" s="562">
        <v>43281</v>
      </c>
      <c r="D66" s="537">
        <f>SUMIFS('HORAS TRABAJADAS'!G$1:G$65538,'HORAS TRABAJADAS'!A$1:A$65538,A66,'HORAS TRABAJADAS'!B$1:B$65538,"&gt;="&amp;B66,'HORAS TRABAJADAS'!B$1:B$65538,"&lt;="&amp;C66)</f>
        <v>0</v>
      </c>
      <c r="E66" s="538">
        <f>SUMIFS('HORAS TRABAJADAS'!H:H,'HORAS TRABAJADAS'!A:A,A66,'HORAS TRABAJADAS'!B:B,"&gt;="&amp;B66,'HORAS TRABAJADAS'!B:B,"&lt;="&amp;C66)</f>
        <v>0</v>
      </c>
      <c r="F66" s="538">
        <f>SUMIFS('HORAS TRABAJADAS'!I:I,'HORAS TRABAJADAS'!A:A,A66,'HORAS TRABAJADAS'!B:B,"&gt;="&amp;B66,'HORAS TRABAJADAS'!B:B,"&lt;="&amp;C66)</f>
        <v>0</v>
      </c>
      <c r="G66" s="538">
        <f>SUMIFS('HORAS TRABAJADAS'!J:J,'HORAS TRABAJADAS'!A:A,A66,'HORAS TRABAJADAS'!B:B,"&gt;="&amp;B66,'HORAS TRABAJADAS'!B:B,"&lt;="&amp;C66)</f>
        <v>0</v>
      </c>
      <c r="H66" s="538">
        <f>SUMIFS('HORAS TRABAJADAS'!K:K,'HORAS TRABAJADAS'!A:A,A66,'HORAS TRABAJADAS'!B:B,"&gt;="&amp;B66,'HORAS TRABAJADAS'!B:B,"&lt;="&amp;C66)</f>
        <v>0</v>
      </c>
      <c r="I66" s="538">
        <f>SUMIFS('HORAS TRABAJADAS'!L:L,'HORAS TRABAJADAS'!A:A,A66,'HORAS TRABAJADAS'!B:B,"&gt;="&amp;B66,'HORAS TRABAJADAS'!B:B,"&lt;="&amp;C66)</f>
        <v>0</v>
      </c>
      <c r="J66" s="538">
        <f>SUMIFS('HORAS TRABAJADAS'!M:M,'HORAS TRABAJADAS'!A:A,A66,'HORAS TRABAJADAS'!B:B,"&gt;="&amp;B66,'HORAS TRABAJADAS'!B:B,"&lt;="&amp;C66)</f>
        <v>0</v>
      </c>
      <c r="K66" s="539">
        <f>SUMIFS('HORAS TRABAJADAS'!N:N,'HORAS TRABAJADAS'!A:A,A66,'HORAS TRABAJADAS'!B:B,"&gt;="&amp;B66,'HORAS TRABAJADAS'!B:B,"&lt;="&amp;C66)</f>
        <v>0</v>
      </c>
      <c r="L66" s="533" t="str">
        <f t="shared" si="2"/>
        <v>0 horas y 0 minutos</v>
      </c>
      <c r="M66" s="534">
        <f>SUMIFS('HORAS TRABAJADAS'!Q:Q,'HORAS TRABAJADAS'!A:A,A66,'HORAS TRABAJADAS'!B:B,"&gt;="&amp;B66,'HORAS TRABAJADAS'!B:B,"&lt;="&amp;C66)</f>
        <v>0</v>
      </c>
      <c r="N66" s="535">
        <f t="shared" si="1"/>
        <v>0</v>
      </c>
    </row>
    <row r="67" spans="1:14">
      <c r="A67" s="560">
        <v>1311966071</v>
      </c>
      <c r="B67" s="561">
        <v>43252</v>
      </c>
      <c r="C67" s="562">
        <v>43281</v>
      </c>
      <c r="D67" s="537">
        <f>SUMIFS('HORAS TRABAJADAS'!G$1:G$65538,'HORAS TRABAJADAS'!A$1:A$65538,A67,'HORAS TRABAJADAS'!B$1:B$65538,"&gt;="&amp;B67,'HORAS TRABAJADAS'!B$1:B$65538,"&lt;="&amp;C67)</f>
        <v>0</v>
      </c>
      <c r="E67" s="538">
        <f>SUMIFS('HORAS TRABAJADAS'!H:H,'HORAS TRABAJADAS'!A:A,A67,'HORAS TRABAJADAS'!B:B,"&gt;="&amp;B67,'HORAS TRABAJADAS'!B:B,"&lt;="&amp;C67)</f>
        <v>0</v>
      </c>
      <c r="F67" s="538">
        <f>SUMIFS('HORAS TRABAJADAS'!I:I,'HORAS TRABAJADAS'!A:A,A67,'HORAS TRABAJADAS'!B:B,"&gt;="&amp;B67,'HORAS TRABAJADAS'!B:B,"&lt;="&amp;C67)</f>
        <v>0</v>
      </c>
      <c r="G67" s="538">
        <f>SUMIFS('HORAS TRABAJADAS'!J:J,'HORAS TRABAJADAS'!A:A,A67,'HORAS TRABAJADAS'!B:B,"&gt;="&amp;B67,'HORAS TRABAJADAS'!B:B,"&lt;="&amp;C67)</f>
        <v>0</v>
      </c>
      <c r="H67" s="538">
        <f>SUMIFS('HORAS TRABAJADAS'!K:K,'HORAS TRABAJADAS'!A:A,A67,'HORAS TRABAJADAS'!B:B,"&gt;="&amp;B67,'HORAS TRABAJADAS'!B:B,"&lt;="&amp;C67)</f>
        <v>0</v>
      </c>
      <c r="I67" s="538">
        <f>SUMIFS('HORAS TRABAJADAS'!L:L,'HORAS TRABAJADAS'!A:A,A67,'HORAS TRABAJADAS'!B:B,"&gt;="&amp;B67,'HORAS TRABAJADAS'!B:B,"&lt;="&amp;C67)</f>
        <v>0</v>
      </c>
      <c r="J67" s="538">
        <f>SUMIFS('HORAS TRABAJADAS'!M:M,'HORAS TRABAJADAS'!A:A,A67,'HORAS TRABAJADAS'!B:B,"&gt;="&amp;B67,'HORAS TRABAJADAS'!B:B,"&lt;="&amp;C67)</f>
        <v>0</v>
      </c>
      <c r="K67" s="539">
        <f>SUMIFS('HORAS TRABAJADAS'!N:N,'HORAS TRABAJADAS'!A:A,A67,'HORAS TRABAJADAS'!B:B,"&gt;="&amp;B67,'HORAS TRABAJADAS'!B:B,"&lt;="&amp;C67)</f>
        <v>0</v>
      </c>
      <c r="L67" s="533" t="str">
        <f t="shared" si="2"/>
        <v>0 horas y 0 minutos</v>
      </c>
      <c r="M67" s="534">
        <f>SUMIFS('HORAS TRABAJADAS'!Q:Q,'HORAS TRABAJADAS'!A:A,A67,'HORAS TRABAJADAS'!B:B,"&gt;="&amp;B67,'HORAS TRABAJADAS'!B:B,"&lt;="&amp;C67)</f>
        <v>0</v>
      </c>
      <c r="N67" s="535">
        <f t="shared" ref="N67:N130" si="3">SUM(F67,G67,J67,K67)*60</f>
        <v>0</v>
      </c>
    </row>
    <row r="68" spans="1:14">
      <c r="A68" s="560">
        <v>1317424267</v>
      </c>
      <c r="B68" s="561">
        <v>43252</v>
      </c>
      <c r="C68" s="562">
        <v>43281</v>
      </c>
      <c r="D68" s="537">
        <f>SUMIFS('HORAS TRABAJADAS'!G$1:G$65538,'HORAS TRABAJADAS'!A$1:A$65538,A68,'HORAS TRABAJADAS'!B$1:B$65538,"&gt;="&amp;B68,'HORAS TRABAJADAS'!B$1:B$65538,"&lt;="&amp;C68)</f>
        <v>0</v>
      </c>
      <c r="E68" s="538">
        <f>SUMIFS('HORAS TRABAJADAS'!H:H,'HORAS TRABAJADAS'!A:A,A68,'HORAS TRABAJADAS'!B:B,"&gt;="&amp;B68,'HORAS TRABAJADAS'!B:B,"&lt;="&amp;C68)</f>
        <v>0</v>
      </c>
      <c r="F68" s="538">
        <f>SUMIFS('HORAS TRABAJADAS'!I:I,'HORAS TRABAJADAS'!A:A,A68,'HORAS TRABAJADAS'!B:B,"&gt;="&amp;B68,'HORAS TRABAJADAS'!B:B,"&lt;="&amp;C68)</f>
        <v>0</v>
      </c>
      <c r="G68" s="538">
        <f>SUMIFS('HORAS TRABAJADAS'!J:J,'HORAS TRABAJADAS'!A:A,A68,'HORAS TRABAJADAS'!B:B,"&gt;="&amp;B68,'HORAS TRABAJADAS'!B:B,"&lt;="&amp;C68)</f>
        <v>0</v>
      </c>
      <c r="H68" s="538">
        <f>SUMIFS('HORAS TRABAJADAS'!K:K,'HORAS TRABAJADAS'!A:A,A68,'HORAS TRABAJADAS'!B:B,"&gt;="&amp;B68,'HORAS TRABAJADAS'!B:B,"&lt;="&amp;C68)</f>
        <v>0</v>
      </c>
      <c r="I68" s="538">
        <f>SUMIFS('HORAS TRABAJADAS'!L:L,'HORAS TRABAJADAS'!A:A,A68,'HORAS TRABAJADAS'!B:B,"&gt;="&amp;B68,'HORAS TRABAJADAS'!B:B,"&lt;="&amp;C68)</f>
        <v>0</v>
      </c>
      <c r="J68" s="538">
        <f>SUMIFS('HORAS TRABAJADAS'!M:M,'HORAS TRABAJADAS'!A:A,A68,'HORAS TRABAJADAS'!B:B,"&gt;="&amp;B68,'HORAS TRABAJADAS'!B:B,"&lt;="&amp;C68)</f>
        <v>0</v>
      </c>
      <c r="K68" s="539">
        <f>SUMIFS('HORAS TRABAJADAS'!N:N,'HORAS TRABAJADAS'!A:A,A68,'HORAS TRABAJADAS'!B:B,"&gt;="&amp;B68,'HORAS TRABAJADAS'!B:B,"&lt;="&amp;C68)</f>
        <v>0</v>
      </c>
      <c r="L68" s="533" t="str">
        <f t="shared" si="2"/>
        <v>0 horas y 0 minutos</v>
      </c>
      <c r="M68" s="534">
        <f>SUMIFS('HORAS TRABAJADAS'!Q:Q,'HORAS TRABAJADAS'!A:A,A68,'HORAS TRABAJADAS'!B:B,"&gt;="&amp;B68,'HORAS TRABAJADAS'!B:B,"&lt;="&amp;C68)</f>
        <v>0</v>
      </c>
      <c r="N68" s="535">
        <f t="shared" si="3"/>
        <v>0</v>
      </c>
    </row>
    <row r="69" spans="1:14">
      <c r="A69" s="560">
        <v>1315211554</v>
      </c>
      <c r="B69" s="561">
        <v>43252</v>
      </c>
      <c r="C69" s="562">
        <v>43281</v>
      </c>
      <c r="D69" s="537">
        <f>SUMIFS('HORAS TRABAJADAS'!G$1:G$65538,'HORAS TRABAJADAS'!A$1:A$65538,A69,'HORAS TRABAJADAS'!B$1:B$65538,"&gt;="&amp;B69,'HORAS TRABAJADAS'!B$1:B$65538,"&lt;="&amp;C69)</f>
        <v>0</v>
      </c>
      <c r="E69" s="538">
        <f>SUMIFS('HORAS TRABAJADAS'!H:H,'HORAS TRABAJADAS'!A:A,A69,'HORAS TRABAJADAS'!B:B,"&gt;="&amp;B69,'HORAS TRABAJADAS'!B:B,"&lt;="&amp;C69)</f>
        <v>0</v>
      </c>
      <c r="F69" s="538">
        <f>SUMIFS('HORAS TRABAJADAS'!I:I,'HORAS TRABAJADAS'!A:A,A69,'HORAS TRABAJADAS'!B:B,"&gt;="&amp;B69,'HORAS TRABAJADAS'!B:B,"&lt;="&amp;C69)</f>
        <v>0</v>
      </c>
      <c r="G69" s="538">
        <f>SUMIFS('HORAS TRABAJADAS'!J:J,'HORAS TRABAJADAS'!A:A,A69,'HORAS TRABAJADAS'!B:B,"&gt;="&amp;B69,'HORAS TRABAJADAS'!B:B,"&lt;="&amp;C69)</f>
        <v>0</v>
      </c>
      <c r="H69" s="538">
        <f>SUMIFS('HORAS TRABAJADAS'!K:K,'HORAS TRABAJADAS'!A:A,A69,'HORAS TRABAJADAS'!B:B,"&gt;="&amp;B69,'HORAS TRABAJADAS'!B:B,"&lt;="&amp;C69)</f>
        <v>0</v>
      </c>
      <c r="I69" s="538">
        <f>SUMIFS('HORAS TRABAJADAS'!L:L,'HORAS TRABAJADAS'!A:A,A69,'HORAS TRABAJADAS'!B:B,"&gt;="&amp;B69,'HORAS TRABAJADAS'!B:B,"&lt;="&amp;C69)</f>
        <v>0</v>
      </c>
      <c r="J69" s="538">
        <f>SUMIFS('HORAS TRABAJADAS'!M:M,'HORAS TRABAJADAS'!A:A,A69,'HORAS TRABAJADAS'!B:B,"&gt;="&amp;B69,'HORAS TRABAJADAS'!B:B,"&lt;="&amp;C69)</f>
        <v>0</v>
      </c>
      <c r="K69" s="539">
        <f>SUMIFS('HORAS TRABAJADAS'!N:N,'HORAS TRABAJADAS'!A:A,A69,'HORAS TRABAJADAS'!B:B,"&gt;="&amp;B69,'HORAS TRABAJADAS'!B:B,"&lt;="&amp;C69)</f>
        <v>0</v>
      </c>
      <c r="L69" s="533" t="str">
        <f t="shared" si="2"/>
        <v>0 horas y 0 minutos</v>
      </c>
      <c r="M69" s="534">
        <f>SUMIFS('HORAS TRABAJADAS'!Q:Q,'HORAS TRABAJADAS'!A:A,A69,'HORAS TRABAJADAS'!B:B,"&gt;="&amp;B69,'HORAS TRABAJADAS'!B:B,"&lt;="&amp;C69)</f>
        <v>0</v>
      </c>
      <c r="N69" s="535">
        <f t="shared" si="3"/>
        <v>0</v>
      </c>
    </row>
    <row r="70" spans="1:14">
      <c r="A70" s="560">
        <v>1241318672</v>
      </c>
      <c r="B70" s="561">
        <v>43252</v>
      </c>
      <c r="C70" s="562">
        <v>43281</v>
      </c>
      <c r="D70" s="537">
        <f>SUMIFS('HORAS TRABAJADAS'!G$1:G$65538,'HORAS TRABAJADAS'!A$1:A$65538,A70,'HORAS TRABAJADAS'!B$1:B$65538,"&gt;="&amp;B70,'HORAS TRABAJADAS'!B$1:B$65538,"&lt;="&amp;C70)</f>
        <v>0</v>
      </c>
      <c r="E70" s="538">
        <f>SUMIFS('HORAS TRABAJADAS'!H:H,'HORAS TRABAJADAS'!A:A,A70,'HORAS TRABAJADAS'!B:B,"&gt;="&amp;B70,'HORAS TRABAJADAS'!B:B,"&lt;="&amp;C70)</f>
        <v>0</v>
      </c>
      <c r="F70" s="538">
        <f>SUMIFS('HORAS TRABAJADAS'!I:I,'HORAS TRABAJADAS'!A:A,A70,'HORAS TRABAJADAS'!B:B,"&gt;="&amp;B70,'HORAS TRABAJADAS'!B:B,"&lt;="&amp;C70)</f>
        <v>0</v>
      </c>
      <c r="G70" s="538">
        <f>SUMIFS('HORAS TRABAJADAS'!J:J,'HORAS TRABAJADAS'!A:A,A70,'HORAS TRABAJADAS'!B:B,"&gt;="&amp;B70,'HORAS TRABAJADAS'!B:B,"&lt;="&amp;C70)</f>
        <v>0</v>
      </c>
      <c r="H70" s="538">
        <f>SUMIFS('HORAS TRABAJADAS'!K:K,'HORAS TRABAJADAS'!A:A,A70,'HORAS TRABAJADAS'!B:B,"&gt;="&amp;B70,'HORAS TRABAJADAS'!B:B,"&lt;="&amp;C70)</f>
        <v>0</v>
      </c>
      <c r="I70" s="538">
        <f>SUMIFS('HORAS TRABAJADAS'!L:L,'HORAS TRABAJADAS'!A:A,A70,'HORAS TRABAJADAS'!B:B,"&gt;="&amp;B70,'HORAS TRABAJADAS'!B:B,"&lt;="&amp;C70)</f>
        <v>0</v>
      </c>
      <c r="J70" s="538">
        <f>SUMIFS('HORAS TRABAJADAS'!M:M,'HORAS TRABAJADAS'!A:A,A70,'HORAS TRABAJADAS'!B:B,"&gt;="&amp;B70,'HORAS TRABAJADAS'!B:B,"&lt;="&amp;C70)</f>
        <v>0</v>
      </c>
      <c r="K70" s="539">
        <f>SUMIFS('HORAS TRABAJADAS'!N:N,'HORAS TRABAJADAS'!A:A,A70,'HORAS TRABAJADAS'!B:B,"&gt;="&amp;B70,'HORAS TRABAJADAS'!B:B,"&lt;="&amp;C70)</f>
        <v>0</v>
      </c>
      <c r="L70" s="533" t="str">
        <f t="shared" si="2"/>
        <v>0 horas y 0 minutos</v>
      </c>
      <c r="M70" s="534">
        <f>SUMIFS('HORAS TRABAJADAS'!Q:Q,'HORAS TRABAJADAS'!A:A,A70,'HORAS TRABAJADAS'!B:B,"&gt;="&amp;B70,'HORAS TRABAJADAS'!B:B,"&lt;="&amp;C70)</f>
        <v>0</v>
      </c>
      <c r="N70" s="535">
        <f t="shared" si="3"/>
        <v>0</v>
      </c>
    </row>
    <row r="71" spans="1:14">
      <c r="A71" s="560">
        <v>1324063080</v>
      </c>
      <c r="B71" s="561">
        <v>43252</v>
      </c>
      <c r="C71" s="562">
        <v>43281</v>
      </c>
      <c r="D71" s="537">
        <f>SUMIFS('HORAS TRABAJADAS'!G$1:G$65538,'HORAS TRABAJADAS'!A$1:A$65538,A71,'HORAS TRABAJADAS'!B$1:B$65538,"&gt;="&amp;B71,'HORAS TRABAJADAS'!B$1:B$65538,"&lt;="&amp;C71)</f>
        <v>0</v>
      </c>
      <c r="E71" s="538">
        <f>SUMIFS('HORAS TRABAJADAS'!H:H,'HORAS TRABAJADAS'!A:A,A71,'HORAS TRABAJADAS'!B:B,"&gt;="&amp;B71,'HORAS TRABAJADAS'!B:B,"&lt;="&amp;C71)</f>
        <v>0</v>
      </c>
      <c r="F71" s="538">
        <f>SUMIFS('HORAS TRABAJADAS'!I:I,'HORAS TRABAJADAS'!A:A,A71,'HORAS TRABAJADAS'!B:B,"&gt;="&amp;B71,'HORAS TRABAJADAS'!B:B,"&lt;="&amp;C71)</f>
        <v>0</v>
      </c>
      <c r="G71" s="538">
        <f>SUMIFS('HORAS TRABAJADAS'!J:J,'HORAS TRABAJADAS'!A:A,A71,'HORAS TRABAJADAS'!B:B,"&gt;="&amp;B71,'HORAS TRABAJADAS'!B:B,"&lt;="&amp;C71)</f>
        <v>0</v>
      </c>
      <c r="H71" s="538">
        <f>SUMIFS('HORAS TRABAJADAS'!K:K,'HORAS TRABAJADAS'!A:A,A71,'HORAS TRABAJADAS'!B:B,"&gt;="&amp;B71,'HORAS TRABAJADAS'!B:B,"&lt;="&amp;C71)</f>
        <v>0</v>
      </c>
      <c r="I71" s="538">
        <f>SUMIFS('HORAS TRABAJADAS'!L:L,'HORAS TRABAJADAS'!A:A,A71,'HORAS TRABAJADAS'!B:B,"&gt;="&amp;B71,'HORAS TRABAJADAS'!B:B,"&lt;="&amp;C71)</f>
        <v>0</v>
      </c>
      <c r="J71" s="538">
        <f>SUMIFS('HORAS TRABAJADAS'!M:M,'HORAS TRABAJADAS'!A:A,A71,'HORAS TRABAJADAS'!B:B,"&gt;="&amp;B71,'HORAS TRABAJADAS'!B:B,"&lt;="&amp;C71)</f>
        <v>0</v>
      </c>
      <c r="K71" s="539">
        <f>SUMIFS('HORAS TRABAJADAS'!N:N,'HORAS TRABAJADAS'!A:A,A71,'HORAS TRABAJADAS'!B:B,"&gt;="&amp;B71,'HORAS TRABAJADAS'!B:B,"&lt;="&amp;C71)</f>
        <v>0</v>
      </c>
      <c r="L71" s="533" t="str">
        <f t="shared" si="2"/>
        <v>0 horas y 0 minutos</v>
      </c>
      <c r="M71" s="534">
        <f>SUMIFS('HORAS TRABAJADAS'!Q:Q,'HORAS TRABAJADAS'!A:A,A71,'HORAS TRABAJADAS'!B:B,"&gt;="&amp;B71,'HORAS TRABAJADAS'!B:B,"&lt;="&amp;C71)</f>
        <v>0</v>
      </c>
      <c r="N71" s="535">
        <f t="shared" si="3"/>
        <v>0</v>
      </c>
    </row>
    <row r="72" spans="1:14">
      <c r="A72" s="560">
        <v>1259425899</v>
      </c>
      <c r="B72" s="561">
        <v>43252</v>
      </c>
      <c r="C72" s="562">
        <v>43281</v>
      </c>
      <c r="D72" s="537">
        <f>SUMIFS('HORAS TRABAJADAS'!G$1:G$65538,'HORAS TRABAJADAS'!A$1:A$65538,A72,'HORAS TRABAJADAS'!B$1:B$65538,"&gt;="&amp;B72,'HORAS TRABAJADAS'!B$1:B$65538,"&lt;="&amp;C72)</f>
        <v>0</v>
      </c>
      <c r="E72" s="538">
        <f>SUMIFS('HORAS TRABAJADAS'!H:H,'HORAS TRABAJADAS'!A:A,A72,'HORAS TRABAJADAS'!B:B,"&gt;="&amp;B72,'HORAS TRABAJADAS'!B:B,"&lt;="&amp;C72)</f>
        <v>0</v>
      </c>
      <c r="F72" s="538">
        <f>SUMIFS('HORAS TRABAJADAS'!I:I,'HORAS TRABAJADAS'!A:A,A72,'HORAS TRABAJADAS'!B:B,"&gt;="&amp;B72,'HORAS TRABAJADAS'!B:B,"&lt;="&amp;C72)</f>
        <v>0</v>
      </c>
      <c r="G72" s="538">
        <f>SUMIFS('HORAS TRABAJADAS'!J:J,'HORAS TRABAJADAS'!A:A,A72,'HORAS TRABAJADAS'!B:B,"&gt;="&amp;B72,'HORAS TRABAJADAS'!B:B,"&lt;="&amp;C72)</f>
        <v>0</v>
      </c>
      <c r="H72" s="538">
        <f>SUMIFS('HORAS TRABAJADAS'!K:K,'HORAS TRABAJADAS'!A:A,A72,'HORAS TRABAJADAS'!B:B,"&gt;="&amp;B72,'HORAS TRABAJADAS'!B:B,"&lt;="&amp;C72)</f>
        <v>0</v>
      </c>
      <c r="I72" s="538">
        <f>SUMIFS('HORAS TRABAJADAS'!L:L,'HORAS TRABAJADAS'!A:A,A72,'HORAS TRABAJADAS'!B:B,"&gt;="&amp;B72,'HORAS TRABAJADAS'!B:B,"&lt;="&amp;C72)</f>
        <v>0</v>
      </c>
      <c r="J72" s="538">
        <f>SUMIFS('HORAS TRABAJADAS'!M:M,'HORAS TRABAJADAS'!A:A,A72,'HORAS TRABAJADAS'!B:B,"&gt;="&amp;B72,'HORAS TRABAJADAS'!B:B,"&lt;="&amp;C72)</f>
        <v>0</v>
      </c>
      <c r="K72" s="539">
        <f>SUMIFS('HORAS TRABAJADAS'!N:N,'HORAS TRABAJADAS'!A:A,A72,'HORAS TRABAJADAS'!B:B,"&gt;="&amp;B72,'HORAS TRABAJADAS'!B:B,"&lt;="&amp;C72)</f>
        <v>0</v>
      </c>
      <c r="L72" s="533" t="str">
        <f t="shared" si="2"/>
        <v>0 horas y 0 minutos</v>
      </c>
      <c r="M72" s="534">
        <f>SUMIFS('HORAS TRABAJADAS'!Q:Q,'HORAS TRABAJADAS'!A:A,A72,'HORAS TRABAJADAS'!B:B,"&gt;="&amp;B72,'HORAS TRABAJADAS'!B:B,"&lt;="&amp;C72)</f>
        <v>0</v>
      </c>
      <c r="N72" s="535">
        <f t="shared" si="3"/>
        <v>0</v>
      </c>
    </row>
    <row r="73" spans="1:14">
      <c r="A73" s="550"/>
      <c r="B73" s="551"/>
      <c r="C73" s="556"/>
      <c r="D73" s="537">
        <f>SUMIFS('HORAS TRABAJADAS'!G$1:G$65538,'HORAS TRABAJADAS'!A$1:A$65538,A73,'HORAS TRABAJADAS'!B$1:B$65538,"&gt;="&amp;B73,'HORAS TRABAJADAS'!B$1:B$65538,"&lt;="&amp;C73)</f>
        <v>0</v>
      </c>
      <c r="E73" s="538">
        <f>SUMIFS('HORAS TRABAJADAS'!H:H,'HORAS TRABAJADAS'!A:A,A73,'HORAS TRABAJADAS'!B:B,"&gt;="&amp;B73,'HORAS TRABAJADAS'!B:B,"&lt;="&amp;C73)</f>
        <v>0</v>
      </c>
      <c r="F73" s="538">
        <f>SUMIFS('HORAS TRABAJADAS'!I:I,'HORAS TRABAJADAS'!A:A,A73,'HORAS TRABAJADAS'!B:B,"&gt;="&amp;B73,'HORAS TRABAJADAS'!B:B,"&lt;="&amp;C73)</f>
        <v>0</v>
      </c>
      <c r="G73" s="538">
        <f>SUMIFS('HORAS TRABAJADAS'!J:J,'HORAS TRABAJADAS'!A:A,A73,'HORAS TRABAJADAS'!B:B,"&gt;="&amp;B73,'HORAS TRABAJADAS'!B:B,"&lt;="&amp;C73)</f>
        <v>0</v>
      </c>
      <c r="H73" s="538">
        <f>SUMIFS('HORAS TRABAJADAS'!K:K,'HORAS TRABAJADAS'!A:A,A73,'HORAS TRABAJADAS'!B:B,"&gt;="&amp;B73,'HORAS TRABAJADAS'!B:B,"&lt;="&amp;C73)</f>
        <v>0</v>
      </c>
      <c r="I73" s="538">
        <f>SUMIFS('HORAS TRABAJADAS'!L:L,'HORAS TRABAJADAS'!A:A,A73,'HORAS TRABAJADAS'!B:B,"&gt;="&amp;B73,'HORAS TRABAJADAS'!B:B,"&lt;="&amp;C73)</f>
        <v>0</v>
      </c>
      <c r="J73" s="538">
        <f>SUMIFS('HORAS TRABAJADAS'!M:M,'HORAS TRABAJADAS'!A:A,A73,'HORAS TRABAJADAS'!B:B,"&gt;="&amp;B73,'HORAS TRABAJADAS'!B:B,"&lt;="&amp;C73)</f>
        <v>0</v>
      </c>
      <c r="K73" s="539">
        <f>SUMIFS('HORAS TRABAJADAS'!N:N,'HORAS TRABAJADAS'!A:A,A73,'HORAS TRABAJADAS'!B:B,"&gt;="&amp;B73,'HORAS TRABAJADAS'!B:B,"&lt;="&amp;C73)</f>
        <v>0</v>
      </c>
      <c r="L73" s="533" t="str">
        <f t="shared" si="2"/>
        <v>0 horas y 0 minutos</v>
      </c>
      <c r="M73" s="534">
        <f>SUMIFS('HORAS TRABAJADAS'!Q:Q,'HORAS TRABAJADAS'!A:A,A73,'HORAS TRABAJADAS'!B:B,"&gt;="&amp;B73,'HORAS TRABAJADAS'!B:B,"&lt;="&amp;C73)</f>
        <v>0</v>
      </c>
      <c r="N73" s="535">
        <f t="shared" si="3"/>
        <v>0</v>
      </c>
    </row>
    <row r="74" spans="1:14">
      <c r="A74" s="563">
        <v>1321648522</v>
      </c>
      <c r="B74" s="564">
        <v>43282</v>
      </c>
      <c r="C74" s="565">
        <v>43312</v>
      </c>
      <c r="D74" s="537">
        <f>SUMIFS('HORAS TRABAJADAS'!G$1:G$65538,'HORAS TRABAJADAS'!A$1:A$65538,A74,'HORAS TRABAJADAS'!B$1:B$65538,"&gt;="&amp;B74,'HORAS TRABAJADAS'!B$1:B$65538,"&lt;="&amp;C74)</f>
        <v>0</v>
      </c>
      <c r="E74" s="538">
        <f>SUMIFS('HORAS TRABAJADAS'!H:H,'HORAS TRABAJADAS'!A:A,A74,'HORAS TRABAJADAS'!B:B,"&gt;="&amp;B74,'HORAS TRABAJADAS'!B:B,"&lt;="&amp;C74)</f>
        <v>0</v>
      </c>
      <c r="F74" s="538">
        <f>SUMIFS('HORAS TRABAJADAS'!I:I,'HORAS TRABAJADAS'!A:A,A74,'HORAS TRABAJADAS'!B:B,"&gt;="&amp;B74,'HORAS TRABAJADAS'!B:B,"&lt;="&amp;C74)</f>
        <v>0</v>
      </c>
      <c r="G74" s="538">
        <f>SUMIFS('HORAS TRABAJADAS'!J:J,'HORAS TRABAJADAS'!A:A,A74,'HORAS TRABAJADAS'!B:B,"&gt;="&amp;B74,'HORAS TRABAJADAS'!B:B,"&lt;="&amp;C74)</f>
        <v>0</v>
      </c>
      <c r="H74" s="538">
        <f>SUMIFS('HORAS TRABAJADAS'!K:K,'HORAS TRABAJADAS'!A:A,A74,'HORAS TRABAJADAS'!B:B,"&gt;="&amp;B74,'HORAS TRABAJADAS'!B:B,"&lt;="&amp;C74)</f>
        <v>0</v>
      </c>
      <c r="I74" s="538">
        <f>SUMIFS('HORAS TRABAJADAS'!L:L,'HORAS TRABAJADAS'!A:A,A74,'HORAS TRABAJADAS'!B:B,"&gt;="&amp;B74,'HORAS TRABAJADAS'!B:B,"&lt;="&amp;C74)</f>
        <v>0</v>
      </c>
      <c r="J74" s="538">
        <f>SUMIFS('HORAS TRABAJADAS'!M:M,'HORAS TRABAJADAS'!A:A,A74,'HORAS TRABAJADAS'!B:B,"&gt;="&amp;B74,'HORAS TRABAJADAS'!B:B,"&lt;="&amp;C74)</f>
        <v>0</v>
      </c>
      <c r="K74" s="539">
        <f>SUMIFS('HORAS TRABAJADAS'!N:N,'HORAS TRABAJADAS'!A:A,A74,'HORAS TRABAJADAS'!B:B,"&gt;="&amp;B74,'HORAS TRABAJADAS'!B:B,"&lt;="&amp;C74)</f>
        <v>0</v>
      </c>
      <c r="L74" s="533" t="str">
        <f t="shared" si="2"/>
        <v>0 horas y 0 minutos</v>
      </c>
      <c r="M74" s="534">
        <f>SUMIFS('HORAS TRABAJADAS'!Q:Q,'HORAS TRABAJADAS'!A:A,A74,'HORAS TRABAJADAS'!B:B,"&gt;="&amp;B74,'HORAS TRABAJADAS'!B:B,"&lt;="&amp;C74)</f>
        <v>0</v>
      </c>
      <c r="N74" s="535">
        <f t="shared" si="3"/>
        <v>0</v>
      </c>
    </row>
    <row r="75" spans="1:14">
      <c r="A75" s="563">
        <v>1323384207</v>
      </c>
      <c r="B75" s="564">
        <v>43282</v>
      </c>
      <c r="C75" s="565">
        <v>43312</v>
      </c>
      <c r="D75" s="537">
        <f>SUMIFS('HORAS TRABAJADAS'!G$1:G$65538,'HORAS TRABAJADAS'!A$1:A$65538,A75,'HORAS TRABAJADAS'!B$1:B$65538,"&gt;="&amp;B75,'HORAS TRABAJADAS'!B$1:B$65538,"&lt;="&amp;C75)</f>
        <v>0</v>
      </c>
      <c r="E75" s="538">
        <f>SUMIFS('HORAS TRABAJADAS'!H:H,'HORAS TRABAJADAS'!A:A,A75,'HORAS TRABAJADAS'!B:B,"&gt;="&amp;B75,'HORAS TRABAJADAS'!B:B,"&lt;="&amp;C75)</f>
        <v>0</v>
      </c>
      <c r="F75" s="538">
        <f>SUMIFS('HORAS TRABAJADAS'!I:I,'HORAS TRABAJADAS'!A:A,A75,'HORAS TRABAJADAS'!B:B,"&gt;="&amp;B75,'HORAS TRABAJADAS'!B:B,"&lt;="&amp;C75)</f>
        <v>0</v>
      </c>
      <c r="G75" s="538">
        <f>SUMIFS('HORAS TRABAJADAS'!J:J,'HORAS TRABAJADAS'!A:A,A75,'HORAS TRABAJADAS'!B:B,"&gt;="&amp;B75,'HORAS TRABAJADAS'!B:B,"&lt;="&amp;C75)</f>
        <v>0</v>
      </c>
      <c r="H75" s="538">
        <f>SUMIFS('HORAS TRABAJADAS'!K:K,'HORAS TRABAJADAS'!A:A,A75,'HORAS TRABAJADAS'!B:B,"&gt;="&amp;B75,'HORAS TRABAJADAS'!B:B,"&lt;="&amp;C75)</f>
        <v>0</v>
      </c>
      <c r="I75" s="538">
        <f>SUMIFS('HORAS TRABAJADAS'!L:L,'HORAS TRABAJADAS'!A:A,A75,'HORAS TRABAJADAS'!B:B,"&gt;="&amp;B75,'HORAS TRABAJADAS'!B:B,"&lt;="&amp;C75)</f>
        <v>0</v>
      </c>
      <c r="J75" s="538">
        <f>SUMIFS('HORAS TRABAJADAS'!M:M,'HORAS TRABAJADAS'!A:A,A75,'HORAS TRABAJADAS'!B:B,"&gt;="&amp;B75,'HORAS TRABAJADAS'!B:B,"&lt;="&amp;C75)</f>
        <v>0</v>
      </c>
      <c r="K75" s="539">
        <f>SUMIFS('HORAS TRABAJADAS'!N:N,'HORAS TRABAJADAS'!A:A,A75,'HORAS TRABAJADAS'!B:B,"&gt;="&amp;B75,'HORAS TRABAJADAS'!B:B,"&lt;="&amp;C75)</f>
        <v>0</v>
      </c>
      <c r="L75" s="533" t="str">
        <f t="shared" si="2"/>
        <v>0 horas y 0 minutos</v>
      </c>
      <c r="M75" s="534">
        <f>SUMIFS('HORAS TRABAJADAS'!Q:Q,'HORAS TRABAJADAS'!A:A,A75,'HORAS TRABAJADAS'!B:B,"&gt;="&amp;B75,'HORAS TRABAJADAS'!B:B,"&lt;="&amp;C75)</f>
        <v>0</v>
      </c>
      <c r="N75" s="535">
        <f t="shared" si="3"/>
        <v>0</v>
      </c>
    </row>
    <row r="76" spans="1:14">
      <c r="A76" s="563">
        <v>1237462775</v>
      </c>
      <c r="B76" s="564">
        <v>43282</v>
      </c>
      <c r="C76" s="565">
        <v>43312</v>
      </c>
      <c r="D76" s="537">
        <f>SUMIFS('HORAS TRABAJADAS'!G$1:G$65538,'HORAS TRABAJADAS'!A$1:A$65538,A76,'HORAS TRABAJADAS'!B$1:B$65538,"&gt;="&amp;B76,'HORAS TRABAJADAS'!B$1:B$65538,"&lt;="&amp;C76)</f>
        <v>0</v>
      </c>
      <c r="E76" s="538">
        <f>SUMIFS('HORAS TRABAJADAS'!H:H,'HORAS TRABAJADAS'!A:A,A76,'HORAS TRABAJADAS'!B:B,"&gt;="&amp;B76,'HORAS TRABAJADAS'!B:B,"&lt;="&amp;C76)</f>
        <v>0</v>
      </c>
      <c r="F76" s="538">
        <f>SUMIFS('HORAS TRABAJADAS'!I:I,'HORAS TRABAJADAS'!A:A,A76,'HORAS TRABAJADAS'!B:B,"&gt;="&amp;B76,'HORAS TRABAJADAS'!B:B,"&lt;="&amp;C76)</f>
        <v>0</v>
      </c>
      <c r="G76" s="538">
        <f>SUMIFS('HORAS TRABAJADAS'!J:J,'HORAS TRABAJADAS'!A:A,A76,'HORAS TRABAJADAS'!B:B,"&gt;="&amp;B76,'HORAS TRABAJADAS'!B:B,"&lt;="&amp;C76)</f>
        <v>0</v>
      </c>
      <c r="H76" s="538">
        <f>SUMIFS('HORAS TRABAJADAS'!K:K,'HORAS TRABAJADAS'!A:A,A76,'HORAS TRABAJADAS'!B:B,"&gt;="&amp;B76,'HORAS TRABAJADAS'!B:B,"&lt;="&amp;C76)</f>
        <v>0</v>
      </c>
      <c r="I76" s="538">
        <f>SUMIFS('HORAS TRABAJADAS'!L:L,'HORAS TRABAJADAS'!A:A,A76,'HORAS TRABAJADAS'!B:B,"&gt;="&amp;B76,'HORAS TRABAJADAS'!B:B,"&lt;="&amp;C76)</f>
        <v>0</v>
      </c>
      <c r="J76" s="538">
        <f>SUMIFS('HORAS TRABAJADAS'!M:M,'HORAS TRABAJADAS'!A:A,A76,'HORAS TRABAJADAS'!B:B,"&gt;="&amp;B76,'HORAS TRABAJADAS'!B:B,"&lt;="&amp;C76)</f>
        <v>0</v>
      </c>
      <c r="K76" s="539">
        <f>SUMIFS('HORAS TRABAJADAS'!N:N,'HORAS TRABAJADAS'!A:A,A76,'HORAS TRABAJADAS'!B:B,"&gt;="&amp;B76,'HORAS TRABAJADAS'!B:B,"&lt;="&amp;C76)</f>
        <v>0</v>
      </c>
      <c r="L76" s="533" t="str">
        <f t="shared" si="2"/>
        <v>0 horas y 0 minutos</v>
      </c>
      <c r="M76" s="534">
        <f>SUMIFS('HORAS TRABAJADAS'!Q:Q,'HORAS TRABAJADAS'!A:A,A76,'HORAS TRABAJADAS'!B:B,"&gt;="&amp;B76,'HORAS TRABAJADAS'!B:B,"&lt;="&amp;C76)</f>
        <v>0</v>
      </c>
      <c r="N76" s="535">
        <f t="shared" si="3"/>
        <v>0</v>
      </c>
    </row>
    <row r="77" spans="1:14">
      <c r="A77" s="563">
        <v>1285748000</v>
      </c>
      <c r="B77" s="564">
        <v>43282</v>
      </c>
      <c r="C77" s="565">
        <v>43312</v>
      </c>
      <c r="D77" s="537">
        <f>SUMIFS('HORAS TRABAJADAS'!G$1:G$65538,'HORAS TRABAJADAS'!A$1:A$65538,A77,'HORAS TRABAJADAS'!B$1:B$65538,"&gt;="&amp;B77,'HORAS TRABAJADAS'!B$1:B$65538,"&lt;="&amp;C77)</f>
        <v>0</v>
      </c>
      <c r="E77" s="538">
        <f>SUMIFS('HORAS TRABAJADAS'!H:H,'HORAS TRABAJADAS'!A:A,A77,'HORAS TRABAJADAS'!B:B,"&gt;="&amp;B77,'HORAS TRABAJADAS'!B:B,"&lt;="&amp;C77)</f>
        <v>0</v>
      </c>
      <c r="F77" s="538">
        <f>SUMIFS('HORAS TRABAJADAS'!I:I,'HORAS TRABAJADAS'!A:A,A77,'HORAS TRABAJADAS'!B:B,"&gt;="&amp;B77,'HORAS TRABAJADAS'!B:B,"&lt;="&amp;C77)</f>
        <v>0</v>
      </c>
      <c r="G77" s="538">
        <f>SUMIFS('HORAS TRABAJADAS'!J:J,'HORAS TRABAJADAS'!A:A,A77,'HORAS TRABAJADAS'!B:B,"&gt;="&amp;B77,'HORAS TRABAJADAS'!B:B,"&lt;="&amp;C77)</f>
        <v>0</v>
      </c>
      <c r="H77" s="538">
        <f>SUMIFS('HORAS TRABAJADAS'!K:K,'HORAS TRABAJADAS'!A:A,A77,'HORAS TRABAJADAS'!B:B,"&gt;="&amp;B77,'HORAS TRABAJADAS'!B:B,"&lt;="&amp;C77)</f>
        <v>0</v>
      </c>
      <c r="I77" s="538">
        <f>SUMIFS('HORAS TRABAJADAS'!L:L,'HORAS TRABAJADAS'!A:A,A77,'HORAS TRABAJADAS'!B:B,"&gt;="&amp;B77,'HORAS TRABAJADAS'!B:B,"&lt;="&amp;C77)</f>
        <v>0</v>
      </c>
      <c r="J77" s="538">
        <f>SUMIFS('HORAS TRABAJADAS'!M:M,'HORAS TRABAJADAS'!A:A,A77,'HORAS TRABAJADAS'!B:B,"&gt;="&amp;B77,'HORAS TRABAJADAS'!B:B,"&lt;="&amp;C77)</f>
        <v>0</v>
      </c>
      <c r="K77" s="539">
        <f>SUMIFS('HORAS TRABAJADAS'!N:N,'HORAS TRABAJADAS'!A:A,A77,'HORAS TRABAJADAS'!B:B,"&gt;="&amp;B77,'HORAS TRABAJADAS'!B:B,"&lt;="&amp;C77)</f>
        <v>0</v>
      </c>
      <c r="L77" s="533" t="str">
        <f t="shared" ref="L77:L140" si="4">INT(CONVERT(M77,"mn","hr"))&amp;" horas y "&amp;MOD(M77,60)&amp;" minutos"</f>
        <v>0 horas y 0 minutos</v>
      </c>
      <c r="M77" s="534">
        <f>SUMIFS('HORAS TRABAJADAS'!Q:Q,'HORAS TRABAJADAS'!A:A,A77,'HORAS TRABAJADAS'!B:B,"&gt;="&amp;B77,'HORAS TRABAJADAS'!B:B,"&lt;="&amp;C77)</f>
        <v>0</v>
      </c>
      <c r="N77" s="535">
        <f t="shared" si="3"/>
        <v>0</v>
      </c>
    </row>
    <row r="78" spans="1:14">
      <c r="A78" s="563">
        <v>1247550875</v>
      </c>
      <c r="B78" s="564">
        <v>43282</v>
      </c>
      <c r="C78" s="565">
        <v>43312</v>
      </c>
      <c r="D78" s="537">
        <f>SUMIFS('HORAS TRABAJADAS'!G$1:G$65538,'HORAS TRABAJADAS'!A$1:A$65538,A78,'HORAS TRABAJADAS'!B$1:B$65538,"&gt;="&amp;B78,'HORAS TRABAJADAS'!B$1:B$65538,"&lt;="&amp;C78)</f>
        <v>0</v>
      </c>
      <c r="E78" s="538">
        <f>SUMIFS('HORAS TRABAJADAS'!H:H,'HORAS TRABAJADAS'!A:A,A78,'HORAS TRABAJADAS'!B:B,"&gt;="&amp;B78,'HORAS TRABAJADAS'!B:B,"&lt;="&amp;C78)</f>
        <v>0</v>
      </c>
      <c r="F78" s="538">
        <f>SUMIFS('HORAS TRABAJADAS'!I:I,'HORAS TRABAJADAS'!A:A,A78,'HORAS TRABAJADAS'!B:B,"&gt;="&amp;B78,'HORAS TRABAJADAS'!B:B,"&lt;="&amp;C78)</f>
        <v>0</v>
      </c>
      <c r="G78" s="538">
        <f>SUMIFS('HORAS TRABAJADAS'!J:J,'HORAS TRABAJADAS'!A:A,A78,'HORAS TRABAJADAS'!B:B,"&gt;="&amp;B78,'HORAS TRABAJADAS'!B:B,"&lt;="&amp;C78)</f>
        <v>0</v>
      </c>
      <c r="H78" s="538">
        <f>SUMIFS('HORAS TRABAJADAS'!K:K,'HORAS TRABAJADAS'!A:A,A78,'HORAS TRABAJADAS'!B:B,"&gt;="&amp;B78,'HORAS TRABAJADAS'!B:B,"&lt;="&amp;C78)</f>
        <v>0</v>
      </c>
      <c r="I78" s="538">
        <f>SUMIFS('HORAS TRABAJADAS'!L:L,'HORAS TRABAJADAS'!A:A,A78,'HORAS TRABAJADAS'!B:B,"&gt;="&amp;B78,'HORAS TRABAJADAS'!B:B,"&lt;="&amp;C78)</f>
        <v>0</v>
      </c>
      <c r="J78" s="538">
        <f>SUMIFS('HORAS TRABAJADAS'!M:M,'HORAS TRABAJADAS'!A:A,A78,'HORAS TRABAJADAS'!B:B,"&gt;="&amp;B78,'HORAS TRABAJADAS'!B:B,"&lt;="&amp;C78)</f>
        <v>0</v>
      </c>
      <c r="K78" s="539">
        <f>SUMIFS('HORAS TRABAJADAS'!N:N,'HORAS TRABAJADAS'!A:A,A78,'HORAS TRABAJADAS'!B:B,"&gt;="&amp;B78,'HORAS TRABAJADAS'!B:B,"&lt;="&amp;C78)</f>
        <v>0</v>
      </c>
      <c r="L78" s="533" t="str">
        <f t="shared" si="4"/>
        <v>0 horas y 0 minutos</v>
      </c>
      <c r="M78" s="534">
        <f>SUMIFS('HORAS TRABAJADAS'!Q:Q,'HORAS TRABAJADAS'!A:A,A78,'HORAS TRABAJADAS'!B:B,"&gt;="&amp;B78,'HORAS TRABAJADAS'!B:B,"&lt;="&amp;C78)</f>
        <v>0</v>
      </c>
      <c r="N78" s="535">
        <f t="shared" si="3"/>
        <v>0</v>
      </c>
    </row>
    <row r="79" spans="1:14">
      <c r="A79" s="563">
        <v>1311966071</v>
      </c>
      <c r="B79" s="564">
        <v>43282</v>
      </c>
      <c r="C79" s="565">
        <v>43312</v>
      </c>
      <c r="D79" s="537">
        <f>SUMIFS('HORAS TRABAJADAS'!G$1:G$65538,'HORAS TRABAJADAS'!A$1:A$65538,A79,'HORAS TRABAJADAS'!B$1:B$65538,"&gt;="&amp;B79,'HORAS TRABAJADAS'!B$1:B$65538,"&lt;="&amp;C79)</f>
        <v>0</v>
      </c>
      <c r="E79" s="538">
        <f>SUMIFS('HORAS TRABAJADAS'!H:H,'HORAS TRABAJADAS'!A:A,A79,'HORAS TRABAJADAS'!B:B,"&gt;="&amp;B79,'HORAS TRABAJADAS'!B:B,"&lt;="&amp;C79)</f>
        <v>0</v>
      </c>
      <c r="F79" s="538">
        <f>SUMIFS('HORAS TRABAJADAS'!I:I,'HORAS TRABAJADAS'!A:A,A79,'HORAS TRABAJADAS'!B:B,"&gt;="&amp;B79,'HORAS TRABAJADAS'!B:B,"&lt;="&amp;C79)</f>
        <v>0</v>
      </c>
      <c r="G79" s="538">
        <f>SUMIFS('HORAS TRABAJADAS'!J:J,'HORAS TRABAJADAS'!A:A,A79,'HORAS TRABAJADAS'!B:B,"&gt;="&amp;B79,'HORAS TRABAJADAS'!B:B,"&lt;="&amp;C79)</f>
        <v>0</v>
      </c>
      <c r="H79" s="538">
        <f>SUMIFS('HORAS TRABAJADAS'!K:K,'HORAS TRABAJADAS'!A:A,A79,'HORAS TRABAJADAS'!B:B,"&gt;="&amp;B79,'HORAS TRABAJADAS'!B:B,"&lt;="&amp;C79)</f>
        <v>0</v>
      </c>
      <c r="I79" s="538">
        <f>SUMIFS('HORAS TRABAJADAS'!L:L,'HORAS TRABAJADAS'!A:A,A79,'HORAS TRABAJADAS'!B:B,"&gt;="&amp;B79,'HORAS TRABAJADAS'!B:B,"&lt;="&amp;C79)</f>
        <v>0</v>
      </c>
      <c r="J79" s="538">
        <f>SUMIFS('HORAS TRABAJADAS'!M:M,'HORAS TRABAJADAS'!A:A,A79,'HORAS TRABAJADAS'!B:B,"&gt;="&amp;B79,'HORAS TRABAJADAS'!B:B,"&lt;="&amp;C79)</f>
        <v>0</v>
      </c>
      <c r="K79" s="539">
        <f>SUMIFS('HORAS TRABAJADAS'!N:N,'HORAS TRABAJADAS'!A:A,A79,'HORAS TRABAJADAS'!B:B,"&gt;="&amp;B79,'HORAS TRABAJADAS'!B:B,"&lt;="&amp;C79)</f>
        <v>0</v>
      </c>
      <c r="L79" s="533" t="str">
        <f t="shared" si="4"/>
        <v>0 horas y 0 minutos</v>
      </c>
      <c r="M79" s="534">
        <f>SUMIFS('HORAS TRABAJADAS'!Q:Q,'HORAS TRABAJADAS'!A:A,A79,'HORAS TRABAJADAS'!B:B,"&gt;="&amp;B79,'HORAS TRABAJADAS'!B:B,"&lt;="&amp;C79)</f>
        <v>0</v>
      </c>
      <c r="N79" s="535">
        <f t="shared" si="3"/>
        <v>0</v>
      </c>
    </row>
    <row r="80" spans="1:14">
      <c r="A80" s="563">
        <v>1317424267</v>
      </c>
      <c r="B80" s="564">
        <v>43282</v>
      </c>
      <c r="C80" s="565">
        <v>43312</v>
      </c>
      <c r="D80" s="537">
        <f>SUMIFS('HORAS TRABAJADAS'!G$1:G$65538,'HORAS TRABAJADAS'!A$1:A$65538,A80,'HORAS TRABAJADAS'!B$1:B$65538,"&gt;="&amp;B80,'HORAS TRABAJADAS'!B$1:B$65538,"&lt;="&amp;C80)</f>
        <v>0</v>
      </c>
      <c r="E80" s="538">
        <f>SUMIFS('HORAS TRABAJADAS'!H:H,'HORAS TRABAJADAS'!A:A,A80,'HORAS TRABAJADAS'!B:B,"&gt;="&amp;B80,'HORAS TRABAJADAS'!B:B,"&lt;="&amp;C80)</f>
        <v>0</v>
      </c>
      <c r="F80" s="538">
        <f>SUMIFS('HORAS TRABAJADAS'!I:I,'HORAS TRABAJADAS'!A:A,A80,'HORAS TRABAJADAS'!B:B,"&gt;="&amp;B80,'HORAS TRABAJADAS'!B:B,"&lt;="&amp;C80)</f>
        <v>0</v>
      </c>
      <c r="G80" s="538">
        <f>SUMIFS('HORAS TRABAJADAS'!J:J,'HORAS TRABAJADAS'!A:A,A80,'HORAS TRABAJADAS'!B:B,"&gt;="&amp;B80,'HORAS TRABAJADAS'!B:B,"&lt;="&amp;C80)</f>
        <v>0</v>
      </c>
      <c r="H80" s="538">
        <f>SUMIFS('HORAS TRABAJADAS'!K:K,'HORAS TRABAJADAS'!A:A,A80,'HORAS TRABAJADAS'!B:B,"&gt;="&amp;B80,'HORAS TRABAJADAS'!B:B,"&lt;="&amp;C80)</f>
        <v>0</v>
      </c>
      <c r="I80" s="538">
        <f>SUMIFS('HORAS TRABAJADAS'!L:L,'HORAS TRABAJADAS'!A:A,A80,'HORAS TRABAJADAS'!B:B,"&gt;="&amp;B80,'HORAS TRABAJADAS'!B:B,"&lt;="&amp;C80)</f>
        <v>0</v>
      </c>
      <c r="J80" s="538">
        <f>SUMIFS('HORAS TRABAJADAS'!M:M,'HORAS TRABAJADAS'!A:A,A80,'HORAS TRABAJADAS'!B:B,"&gt;="&amp;B80,'HORAS TRABAJADAS'!B:B,"&lt;="&amp;C80)</f>
        <v>0</v>
      </c>
      <c r="K80" s="539">
        <f>SUMIFS('HORAS TRABAJADAS'!N:N,'HORAS TRABAJADAS'!A:A,A80,'HORAS TRABAJADAS'!B:B,"&gt;="&amp;B80,'HORAS TRABAJADAS'!B:B,"&lt;="&amp;C80)</f>
        <v>0</v>
      </c>
      <c r="L80" s="533" t="str">
        <f t="shared" si="4"/>
        <v>0 horas y 0 minutos</v>
      </c>
      <c r="M80" s="534">
        <f>SUMIFS('HORAS TRABAJADAS'!Q:Q,'HORAS TRABAJADAS'!A:A,A80,'HORAS TRABAJADAS'!B:B,"&gt;="&amp;B80,'HORAS TRABAJADAS'!B:B,"&lt;="&amp;C80)</f>
        <v>0</v>
      </c>
      <c r="N80" s="535">
        <f t="shared" si="3"/>
        <v>0</v>
      </c>
    </row>
    <row r="81" spans="1:14">
      <c r="A81" s="563">
        <v>1315211554</v>
      </c>
      <c r="B81" s="564">
        <v>43282</v>
      </c>
      <c r="C81" s="565">
        <v>43312</v>
      </c>
      <c r="D81" s="537">
        <f>SUMIFS('HORAS TRABAJADAS'!G$1:G$65538,'HORAS TRABAJADAS'!A$1:A$65538,A81,'HORAS TRABAJADAS'!B$1:B$65538,"&gt;="&amp;B81,'HORAS TRABAJADAS'!B$1:B$65538,"&lt;="&amp;C81)</f>
        <v>0</v>
      </c>
      <c r="E81" s="538">
        <f>SUMIFS('HORAS TRABAJADAS'!H:H,'HORAS TRABAJADAS'!A:A,A81,'HORAS TRABAJADAS'!B:B,"&gt;="&amp;B81,'HORAS TRABAJADAS'!B:B,"&lt;="&amp;C81)</f>
        <v>0</v>
      </c>
      <c r="F81" s="538">
        <f>SUMIFS('HORAS TRABAJADAS'!I:I,'HORAS TRABAJADAS'!A:A,A81,'HORAS TRABAJADAS'!B:B,"&gt;="&amp;B81,'HORAS TRABAJADAS'!B:B,"&lt;="&amp;C81)</f>
        <v>0</v>
      </c>
      <c r="G81" s="538">
        <f>SUMIFS('HORAS TRABAJADAS'!J:J,'HORAS TRABAJADAS'!A:A,A81,'HORAS TRABAJADAS'!B:B,"&gt;="&amp;B81,'HORAS TRABAJADAS'!B:B,"&lt;="&amp;C81)</f>
        <v>0</v>
      </c>
      <c r="H81" s="538">
        <f>SUMIFS('HORAS TRABAJADAS'!K:K,'HORAS TRABAJADAS'!A:A,A81,'HORAS TRABAJADAS'!B:B,"&gt;="&amp;B81,'HORAS TRABAJADAS'!B:B,"&lt;="&amp;C81)</f>
        <v>0</v>
      </c>
      <c r="I81" s="538">
        <f>SUMIFS('HORAS TRABAJADAS'!L:L,'HORAS TRABAJADAS'!A:A,A81,'HORAS TRABAJADAS'!B:B,"&gt;="&amp;B81,'HORAS TRABAJADAS'!B:B,"&lt;="&amp;C81)</f>
        <v>0</v>
      </c>
      <c r="J81" s="538">
        <f>SUMIFS('HORAS TRABAJADAS'!M:M,'HORAS TRABAJADAS'!A:A,A81,'HORAS TRABAJADAS'!B:B,"&gt;="&amp;B81,'HORAS TRABAJADAS'!B:B,"&lt;="&amp;C81)</f>
        <v>0</v>
      </c>
      <c r="K81" s="539">
        <f>SUMIFS('HORAS TRABAJADAS'!N:N,'HORAS TRABAJADAS'!A:A,A81,'HORAS TRABAJADAS'!B:B,"&gt;="&amp;B81,'HORAS TRABAJADAS'!B:B,"&lt;="&amp;C81)</f>
        <v>0</v>
      </c>
      <c r="L81" s="533" t="str">
        <f t="shared" si="4"/>
        <v>0 horas y 0 minutos</v>
      </c>
      <c r="M81" s="534">
        <f>SUMIFS('HORAS TRABAJADAS'!Q:Q,'HORAS TRABAJADAS'!A:A,A81,'HORAS TRABAJADAS'!B:B,"&gt;="&amp;B81,'HORAS TRABAJADAS'!B:B,"&lt;="&amp;C81)</f>
        <v>0</v>
      </c>
      <c r="N81" s="535">
        <f t="shared" si="3"/>
        <v>0</v>
      </c>
    </row>
    <row r="82" spans="1:14">
      <c r="A82" s="563">
        <v>1241318672</v>
      </c>
      <c r="B82" s="564">
        <v>43282</v>
      </c>
      <c r="C82" s="565">
        <v>43312</v>
      </c>
      <c r="D82" s="537">
        <f>SUMIFS('HORAS TRABAJADAS'!G$1:G$65538,'HORAS TRABAJADAS'!A$1:A$65538,A82,'HORAS TRABAJADAS'!B$1:B$65538,"&gt;="&amp;B82,'HORAS TRABAJADAS'!B$1:B$65538,"&lt;="&amp;C82)</f>
        <v>0</v>
      </c>
      <c r="E82" s="538">
        <f>SUMIFS('HORAS TRABAJADAS'!H:H,'HORAS TRABAJADAS'!A:A,A82,'HORAS TRABAJADAS'!B:B,"&gt;="&amp;B82,'HORAS TRABAJADAS'!B:B,"&lt;="&amp;C82)</f>
        <v>0</v>
      </c>
      <c r="F82" s="538">
        <f>SUMIFS('HORAS TRABAJADAS'!I:I,'HORAS TRABAJADAS'!A:A,A82,'HORAS TRABAJADAS'!B:B,"&gt;="&amp;B82,'HORAS TRABAJADAS'!B:B,"&lt;="&amp;C82)</f>
        <v>0</v>
      </c>
      <c r="G82" s="538">
        <f>SUMIFS('HORAS TRABAJADAS'!J:J,'HORAS TRABAJADAS'!A:A,A82,'HORAS TRABAJADAS'!B:B,"&gt;="&amp;B82,'HORAS TRABAJADAS'!B:B,"&lt;="&amp;C82)</f>
        <v>0</v>
      </c>
      <c r="H82" s="538">
        <f>SUMIFS('HORAS TRABAJADAS'!K:K,'HORAS TRABAJADAS'!A:A,A82,'HORAS TRABAJADAS'!B:B,"&gt;="&amp;B82,'HORAS TRABAJADAS'!B:B,"&lt;="&amp;C82)</f>
        <v>0</v>
      </c>
      <c r="I82" s="538">
        <f>SUMIFS('HORAS TRABAJADAS'!L:L,'HORAS TRABAJADAS'!A:A,A82,'HORAS TRABAJADAS'!B:B,"&gt;="&amp;B82,'HORAS TRABAJADAS'!B:B,"&lt;="&amp;C82)</f>
        <v>0</v>
      </c>
      <c r="J82" s="538">
        <f>SUMIFS('HORAS TRABAJADAS'!M:M,'HORAS TRABAJADAS'!A:A,A82,'HORAS TRABAJADAS'!B:B,"&gt;="&amp;B82,'HORAS TRABAJADAS'!B:B,"&lt;="&amp;C82)</f>
        <v>0</v>
      </c>
      <c r="K82" s="539">
        <f>SUMIFS('HORAS TRABAJADAS'!N:N,'HORAS TRABAJADAS'!A:A,A82,'HORAS TRABAJADAS'!B:B,"&gt;="&amp;B82,'HORAS TRABAJADAS'!B:B,"&lt;="&amp;C82)</f>
        <v>0</v>
      </c>
      <c r="L82" s="533" t="str">
        <f t="shared" si="4"/>
        <v>0 horas y 0 minutos</v>
      </c>
      <c r="M82" s="534">
        <f>SUMIFS('HORAS TRABAJADAS'!Q:Q,'HORAS TRABAJADAS'!A:A,A82,'HORAS TRABAJADAS'!B:B,"&gt;="&amp;B82,'HORAS TRABAJADAS'!B:B,"&lt;="&amp;C82)</f>
        <v>0</v>
      </c>
      <c r="N82" s="535">
        <f t="shared" si="3"/>
        <v>0</v>
      </c>
    </row>
    <row r="83" spans="1:14">
      <c r="A83" s="563">
        <v>1324063080</v>
      </c>
      <c r="B83" s="564">
        <v>43282</v>
      </c>
      <c r="C83" s="565">
        <v>43312</v>
      </c>
      <c r="D83" s="537">
        <f>SUMIFS('HORAS TRABAJADAS'!G$1:G$65538,'HORAS TRABAJADAS'!A$1:A$65538,A83,'HORAS TRABAJADAS'!B$1:B$65538,"&gt;="&amp;B83,'HORAS TRABAJADAS'!B$1:B$65538,"&lt;="&amp;C83)</f>
        <v>0</v>
      </c>
      <c r="E83" s="538">
        <f>SUMIFS('HORAS TRABAJADAS'!H:H,'HORAS TRABAJADAS'!A:A,A83,'HORAS TRABAJADAS'!B:B,"&gt;="&amp;B83,'HORAS TRABAJADAS'!B:B,"&lt;="&amp;C83)</f>
        <v>0</v>
      </c>
      <c r="F83" s="538">
        <f>SUMIFS('HORAS TRABAJADAS'!I:I,'HORAS TRABAJADAS'!A:A,A83,'HORAS TRABAJADAS'!B:B,"&gt;="&amp;B83,'HORAS TRABAJADAS'!B:B,"&lt;="&amp;C83)</f>
        <v>0</v>
      </c>
      <c r="G83" s="538">
        <f>SUMIFS('HORAS TRABAJADAS'!J:J,'HORAS TRABAJADAS'!A:A,A83,'HORAS TRABAJADAS'!B:B,"&gt;="&amp;B83,'HORAS TRABAJADAS'!B:B,"&lt;="&amp;C83)</f>
        <v>0</v>
      </c>
      <c r="H83" s="538">
        <f>SUMIFS('HORAS TRABAJADAS'!K:K,'HORAS TRABAJADAS'!A:A,A83,'HORAS TRABAJADAS'!B:B,"&gt;="&amp;B83,'HORAS TRABAJADAS'!B:B,"&lt;="&amp;C83)</f>
        <v>0</v>
      </c>
      <c r="I83" s="538">
        <f>SUMIFS('HORAS TRABAJADAS'!L:L,'HORAS TRABAJADAS'!A:A,A83,'HORAS TRABAJADAS'!B:B,"&gt;="&amp;B83,'HORAS TRABAJADAS'!B:B,"&lt;="&amp;C83)</f>
        <v>0</v>
      </c>
      <c r="J83" s="538">
        <f>SUMIFS('HORAS TRABAJADAS'!M:M,'HORAS TRABAJADAS'!A:A,A83,'HORAS TRABAJADAS'!B:B,"&gt;="&amp;B83,'HORAS TRABAJADAS'!B:B,"&lt;="&amp;C83)</f>
        <v>0</v>
      </c>
      <c r="K83" s="539">
        <f>SUMIFS('HORAS TRABAJADAS'!N:N,'HORAS TRABAJADAS'!A:A,A83,'HORAS TRABAJADAS'!B:B,"&gt;="&amp;B83,'HORAS TRABAJADAS'!B:B,"&lt;="&amp;C83)</f>
        <v>0</v>
      </c>
      <c r="L83" s="533" t="str">
        <f t="shared" si="4"/>
        <v>0 horas y 0 minutos</v>
      </c>
      <c r="M83" s="534">
        <f>SUMIFS('HORAS TRABAJADAS'!Q:Q,'HORAS TRABAJADAS'!A:A,A83,'HORAS TRABAJADAS'!B:B,"&gt;="&amp;B83,'HORAS TRABAJADAS'!B:B,"&lt;="&amp;C83)</f>
        <v>0</v>
      </c>
      <c r="N83" s="535">
        <f t="shared" si="3"/>
        <v>0</v>
      </c>
    </row>
    <row r="84" spans="1:14">
      <c r="A84" s="563">
        <v>1259425899</v>
      </c>
      <c r="B84" s="564">
        <v>43282</v>
      </c>
      <c r="C84" s="565">
        <v>43312</v>
      </c>
      <c r="D84" s="537">
        <f>SUMIFS('HORAS TRABAJADAS'!G$1:G$65538,'HORAS TRABAJADAS'!A$1:A$65538,A84,'HORAS TRABAJADAS'!B$1:B$65538,"&gt;="&amp;B84,'HORAS TRABAJADAS'!B$1:B$65538,"&lt;="&amp;C84)</f>
        <v>0</v>
      </c>
      <c r="E84" s="538">
        <f>SUMIFS('HORAS TRABAJADAS'!H:H,'HORAS TRABAJADAS'!A:A,A84,'HORAS TRABAJADAS'!B:B,"&gt;="&amp;B84,'HORAS TRABAJADAS'!B:B,"&lt;="&amp;C84)</f>
        <v>0</v>
      </c>
      <c r="F84" s="538">
        <f>SUMIFS('HORAS TRABAJADAS'!I:I,'HORAS TRABAJADAS'!A:A,A84,'HORAS TRABAJADAS'!B:B,"&gt;="&amp;B84,'HORAS TRABAJADAS'!B:B,"&lt;="&amp;C84)</f>
        <v>0</v>
      </c>
      <c r="G84" s="538">
        <f>SUMIFS('HORAS TRABAJADAS'!J:J,'HORAS TRABAJADAS'!A:A,A84,'HORAS TRABAJADAS'!B:B,"&gt;="&amp;B84,'HORAS TRABAJADAS'!B:B,"&lt;="&amp;C84)</f>
        <v>0</v>
      </c>
      <c r="H84" s="538">
        <f>SUMIFS('HORAS TRABAJADAS'!K:K,'HORAS TRABAJADAS'!A:A,A84,'HORAS TRABAJADAS'!B:B,"&gt;="&amp;B84,'HORAS TRABAJADAS'!B:B,"&lt;="&amp;C84)</f>
        <v>0</v>
      </c>
      <c r="I84" s="538">
        <f>SUMIFS('HORAS TRABAJADAS'!L:L,'HORAS TRABAJADAS'!A:A,A84,'HORAS TRABAJADAS'!B:B,"&gt;="&amp;B84,'HORAS TRABAJADAS'!B:B,"&lt;="&amp;C84)</f>
        <v>0</v>
      </c>
      <c r="J84" s="538">
        <f>SUMIFS('HORAS TRABAJADAS'!M:M,'HORAS TRABAJADAS'!A:A,A84,'HORAS TRABAJADAS'!B:B,"&gt;="&amp;B84,'HORAS TRABAJADAS'!B:B,"&lt;="&amp;C84)</f>
        <v>0</v>
      </c>
      <c r="K84" s="539">
        <f>SUMIFS('HORAS TRABAJADAS'!N:N,'HORAS TRABAJADAS'!A:A,A84,'HORAS TRABAJADAS'!B:B,"&gt;="&amp;B84,'HORAS TRABAJADAS'!B:B,"&lt;="&amp;C84)</f>
        <v>0</v>
      </c>
      <c r="L84" s="533" t="str">
        <f t="shared" si="4"/>
        <v>0 horas y 0 minutos</v>
      </c>
      <c r="M84" s="534">
        <f>SUMIFS('HORAS TRABAJADAS'!Q:Q,'HORAS TRABAJADAS'!A:A,A84,'HORAS TRABAJADAS'!B:B,"&gt;="&amp;B84,'HORAS TRABAJADAS'!B:B,"&lt;="&amp;C84)</f>
        <v>0</v>
      </c>
      <c r="N84" s="535">
        <f t="shared" si="3"/>
        <v>0</v>
      </c>
    </row>
    <row r="85" spans="1:14">
      <c r="A85" s="550"/>
      <c r="B85" s="551"/>
      <c r="C85" s="556"/>
      <c r="D85" s="537">
        <f>SUMIFS('HORAS TRABAJADAS'!G$1:G$65538,'HORAS TRABAJADAS'!A$1:A$65538,A85,'HORAS TRABAJADAS'!B$1:B$65538,"&gt;="&amp;B85,'HORAS TRABAJADAS'!B$1:B$65538,"&lt;="&amp;C85)</f>
        <v>0</v>
      </c>
      <c r="E85" s="538">
        <f>SUMIFS('HORAS TRABAJADAS'!H:H,'HORAS TRABAJADAS'!A:A,A85,'HORAS TRABAJADAS'!B:B,"&gt;="&amp;B85,'HORAS TRABAJADAS'!B:B,"&lt;="&amp;C85)</f>
        <v>0</v>
      </c>
      <c r="F85" s="538">
        <f>SUMIFS('HORAS TRABAJADAS'!I:I,'HORAS TRABAJADAS'!A:A,A85,'HORAS TRABAJADAS'!B:B,"&gt;="&amp;B85,'HORAS TRABAJADAS'!B:B,"&lt;="&amp;C85)</f>
        <v>0</v>
      </c>
      <c r="G85" s="538">
        <f>SUMIFS('HORAS TRABAJADAS'!J:J,'HORAS TRABAJADAS'!A:A,A85,'HORAS TRABAJADAS'!B:B,"&gt;="&amp;B85,'HORAS TRABAJADAS'!B:B,"&lt;="&amp;C85)</f>
        <v>0</v>
      </c>
      <c r="H85" s="538">
        <f>SUMIFS('HORAS TRABAJADAS'!K:K,'HORAS TRABAJADAS'!A:A,A85,'HORAS TRABAJADAS'!B:B,"&gt;="&amp;B85,'HORAS TRABAJADAS'!B:B,"&lt;="&amp;C85)</f>
        <v>0</v>
      </c>
      <c r="I85" s="538">
        <f>SUMIFS('HORAS TRABAJADAS'!L:L,'HORAS TRABAJADAS'!A:A,A85,'HORAS TRABAJADAS'!B:B,"&gt;="&amp;B85,'HORAS TRABAJADAS'!B:B,"&lt;="&amp;C85)</f>
        <v>0</v>
      </c>
      <c r="J85" s="538">
        <f>SUMIFS('HORAS TRABAJADAS'!M:M,'HORAS TRABAJADAS'!A:A,A85,'HORAS TRABAJADAS'!B:B,"&gt;="&amp;B85,'HORAS TRABAJADAS'!B:B,"&lt;="&amp;C85)</f>
        <v>0</v>
      </c>
      <c r="K85" s="539">
        <f>SUMIFS('HORAS TRABAJADAS'!N:N,'HORAS TRABAJADAS'!A:A,A85,'HORAS TRABAJADAS'!B:B,"&gt;="&amp;B85,'HORAS TRABAJADAS'!B:B,"&lt;="&amp;C85)</f>
        <v>0</v>
      </c>
      <c r="L85" s="533" t="str">
        <f t="shared" si="4"/>
        <v>0 horas y 0 minutos</v>
      </c>
      <c r="M85" s="534">
        <f>SUMIFS('HORAS TRABAJADAS'!Q:Q,'HORAS TRABAJADAS'!A:A,A85,'HORAS TRABAJADAS'!B:B,"&gt;="&amp;B85,'HORAS TRABAJADAS'!B:B,"&lt;="&amp;C85)</f>
        <v>0</v>
      </c>
      <c r="N85" s="535">
        <f t="shared" si="3"/>
        <v>0</v>
      </c>
    </row>
    <row r="86" spans="1:14">
      <c r="A86" s="566">
        <v>1321648522</v>
      </c>
      <c r="B86" s="567">
        <v>43313</v>
      </c>
      <c r="C86" s="568">
        <v>43343</v>
      </c>
      <c r="D86" s="537">
        <f>SUMIFS('HORAS TRABAJADAS'!G$1:G$65538,'HORAS TRABAJADAS'!A$1:A$65538,A86,'HORAS TRABAJADAS'!B$1:B$65538,"&gt;="&amp;B86,'HORAS TRABAJADAS'!B$1:B$65538,"&lt;="&amp;C86)</f>
        <v>0</v>
      </c>
      <c r="E86" s="538">
        <f>SUMIFS('HORAS TRABAJADAS'!H:H,'HORAS TRABAJADAS'!A:A,A86,'HORAS TRABAJADAS'!B:B,"&gt;="&amp;B86,'HORAS TRABAJADAS'!B:B,"&lt;="&amp;C86)</f>
        <v>0</v>
      </c>
      <c r="F86" s="538">
        <f>SUMIFS('HORAS TRABAJADAS'!I:I,'HORAS TRABAJADAS'!A:A,A86,'HORAS TRABAJADAS'!B:B,"&gt;="&amp;B86,'HORAS TRABAJADAS'!B:B,"&lt;="&amp;C86)</f>
        <v>0</v>
      </c>
      <c r="G86" s="538">
        <f>SUMIFS('HORAS TRABAJADAS'!J:J,'HORAS TRABAJADAS'!A:A,A86,'HORAS TRABAJADAS'!B:B,"&gt;="&amp;B86,'HORAS TRABAJADAS'!B:B,"&lt;="&amp;C86)</f>
        <v>0</v>
      </c>
      <c r="H86" s="538">
        <f>SUMIFS('HORAS TRABAJADAS'!K:K,'HORAS TRABAJADAS'!A:A,A86,'HORAS TRABAJADAS'!B:B,"&gt;="&amp;B86,'HORAS TRABAJADAS'!B:B,"&lt;="&amp;C86)</f>
        <v>0</v>
      </c>
      <c r="I86" s="538">
        <f>SUMIFS('HORAS TRABAJADAS'!L:L,'HORAS TRABAJADAS'!A:A,A86,'HORAS TRABAJADAS'!B:B,"&gt;="&amp;B86,'HORAS TRABAJADAS'!B:B,"&lt;="&amp;C86)</f>
        <v>0</v>
      </c>
      <c r="J86" s="538">
        <f>SUMIFS('HORAS TRABAJADAS'!M:M,'HORAS TRABAJADAS'!A:A,A86,'HORAS TRABAJADAS'!B:B,"&gt;="&amp;B86,'HORAS TRABAJADAS'!B:B,"&lt;="&amp;C86)</f>
        <v>0</v>
      </c>
      <c r="K86" s="539">
        <f>SUMIFS('HORAS TRABAJADAS'!N:N,'HORAS TRABAJADAS'!A:A,A86,'HORAS TRABAJADAS'!B:B,"&gt;="&amp;B86,'HORAS TRABAJADAS'!B:B,"&lt;="&amp;C86)</f>
        <v>0</v>
      </c>
      <c r="L86" s="533" t="str">
        <f t="shared" si="4"/>
        <v>0 horas y 0 minutos</v>
      </c>
      <c r="M86" s="534">
        <f>SUMIFS('HORAS TRABAJADAS'!Q:Q,'HORAS TRABAJADAS'!A:A,A86,'HORAS TRABAJADAS'!B:B,"&gt;="&amp;B86,'HORAS TRABAJADAS'!B:B,"&lt;="&amp;C86)</f>
        <v>0</v>
      </c>
      <c r="N86" s="535">
        <f t="shared" si="3"/>
        <v>0</v>
      </c>
    </row>
    <row r="87" spans="1:14">
      <c r="A87" s="566">
        <v>1323384207</v>
      </c>
      <c r="B87" s="567">
        <v>43313</v>
      </c>
      <c r="C87" s="568">
        <v>43343</v>
      </c>
      <c r="D87" s="537">
        <f>SUMIFS('HORAS TRABAJADAS'!G$1:G$65538,'HORAS TRABAJADAS'!A$1:A$65538,A87,'HORAS TRABAJADAS'!B$1:B$65538,"&gt;="&amp;B87,'HORAS TRABAJADAS'!B$1:B$65538,"&lt;="&amp;C87)</f>
        <v>0</v>
      </c>
      <c r="E87" s="538">
        <f>SUMIFS('HORAS TRABAJADAS'!H:H,'HORAS TRABAJADAS'!A:A,A87,'HORAS TRABAJADAS'!B:B,"&gt;="&amp;B87,'HORAS TRABAJADAS'!B:B,"&lt;="&amp;C87)</f>
        <v>0</v>
      </c>
      <c r="F87" s="538">
        <f>SUMIFS('HORAS TRABAJADAS'!I:I,'HORAS TRABAJADAS'!A:A,A87,'HORAS TRABAJADAS'!B:B,"&gt;="&amp;B87,'HORAS TRABAJADAS'!B:B,"&lt;="&amp;C87)</f>
        <v>0</v>
      </c>
      <c r="G87" s="538">
        <f>SUMIFS('HORAS TRABAJADAS'!J:J,'HORAS TRABAJADAS'!A:A,A87,'HORAS TRABAJADAS'!B:B,"&gt;="&amp;B87,'HORAS TRABAJADAS'!B:B,"&lt;="&amp;C87)</f>
        <v>0</v>
      </c>
      <c r="H87" s="538">
        <f>SUMIFS('HORAS TRABAJADAS'!K:K,'HORAS TRABAJADAS'!A:A,A87,'HORAS TRABAJADAS'!B:B,"&gt;="&amp;B87,'HORAS TRABAJADAS'!B:B,"&lt;="&amp;C87)</f>
        <v>0</v>
      </c>
      <c r="I87" s="538">
        <f>SUMIFS('HORAS TRABAJADAS'!L:L,'HORAS TRABAJADAS'!A:A,A87,'HORAS TRABAJADAS'!B:B,"&gt;="&amp;B87,'HORAS TRABAJADAS'!B:B,"&lt;="&amp;C87)</f>
        <v>0</v>
      </c>
      <c r="J87" s="538">
        <f>SUMIFS('HORAS TRABAJADAS'!M:M,'HORAS TRABAJADAS'!A:A,A87,'HORAS TRABAJADAS'!B:B,"&gt;="&amp;B87,'HORAS TRABAJADAS'!B:B,"&lt;="&amp;C87)</f>
        <v>0</v>
      </c>
      <c r="K87" s="539">
        <f>SUMIFS('HORAS TRABAJADAS'!N:N,'HORAS TRABAJADAS'!A:A,A87,'HORAS TRABAJADAS'!B:B,"&gt;="&amp;B87,'HORAS TRABAJADAS'!B:B,"&lt;="&amp;C87)</f>
        <v>0</v>
      </c>
      <c r="L87" s="533" t="str">
        <f t="shared" si="4"/>
        <v>0 horas y 0 minutos</v>
      </c>
      <c r="M87" s="534">
        <f>SUMIFS('HORAS TRABAJADAS'!Q:Q,'HORAS TRABAJADAS'!A:A,A87,'HORAS TRABAJADAS'!B:B,"&gt;="&amp;B87,'HORAS TRABAJADAS'!B:B,"&lt;="&amp;C87)</f>
        <v>0</v>
      </c>
      <c r="N87" s="535">
        <f t="shared" si="3"/>
        <v>0</v>
      </c>
    </row>
    <row r="88" spans="1:14">
      <c r="A88" s="566">
        <v>1237462775</v>
      </c>
      <c r="B88" s="567">
        <v>43313</v>
      </c>
      <c r="C88" s="568">
        <v>43343</v>
      </c>
      <c r="D88" s="537">
        <f>SUMIFS('HORAS TRABAJADAS'!G$1:G$65538,'HORAS TRABAJADAS'!A$1:A$65538,A88,'HORAS TRABAJADAS'!B$1:B$65538,"&gt;="&amp;B88,'HORAS TRABAJADAS'!B$1:B$65538,"&lt;="&amp;C88)</f>
        <v>0</v>
      </c>
      <c r="E88" s="538">
        <f>SUMIFS('HORAS TRABAJADAS'!H:H,'HORAS TRABAJADAS'!A:A,A88,'HORAS TRABAJADAS'!B:B,"&gt;="&amp;B88,'HORAS TRABAJADAS'!B:B,"&lt;="&amp;C88)</f>
        <v>0</v>
      </c>
      <c r="F88" s="538">
        <f>SUMIFS('HORAS TRABAJADAS'!I:I,'HORAS TRABAJADAS'!A:A,A88,'HORAS TRABAJADAS'!B:B,"&gt;="&amp;B88,'HORAS TRABAJADAS'!B:B,"&lt;="&amp;C88)</f>
        <v>0</v>
      </c>
      <c r="G88" s="538">
        <f>SUMIFS('HORAS TRABAJADAS'!J:J,'HORAS TRABAJADAS'!A:A,A88,'HORAS TRABAJADAS'!B:B,"&gt;="&amp;B88,'HORAS TRABAJADAS'!B:B,"&lt;="&amp;C88)</f>
        <v>0</v>
      </c>
      <c r="H88" s="538">
        <f>SUMIFS('HORAS TRABAJADAS'!K:K,'HORAS TRABAJADAS'!A:A,A88,'HORAS TRABAJADAS'!B:B,"&gt;="&amp;B88,'HORAS TRABAJADAS'!B:B,"&lt;="&amp;C88)</f>
        <v>0</v>
      </c>
      <c r="I88" s="538">
        <f>SUMIFS('HORAS TRABAJADAS'!L:L,'HORAS TRABAJADAS'!A:A,A88,'HORAS TRABAJADAS'!B:B,"&gt;="&amp;B88,'HORAS TRABAJADAS'!B:B,"&lt;="&amp;C88)</f>
        <v>0</v>
      </c>
      <c r="J88" s="538">
        <f>SUMIFS('HORAS TRABAJADAS'!M:M,'HORAS TRABAJADAS'!A:A,A88,'HORAS TRABAJADAS'!B:B,"&gt;="&amp;B88,'HORAS TRABAJADAS'!B:B,"&lt;="&amp;C88)</f>
        <v>0</v>
      </c>
      <c r="K88" s="539">
        <f>SUMIFS('HORAS TRABAJADAS'!N:N,'HORAS TRABAJADAS'!A:A,A88,'HORAS TRABAJADAS'!B:B,"&gt;="&amp;B88,'HORAS TRABAJADAS'!B:B,"&lt;="&amp;C88)</f>
        <v>0</v>
      </c>
      <c r="L88" s="533" t="str">
        <f t="shared" si="4"/>
        <v>0 horas y 0 minutos</v>
      </c>
      <c r="M88" s="534">
        <f>SUMIFS('HORAS TRABAJADAS'!Q:Q,'HORAS TRABAJADAS'!A:A,A88,'HORAS TRABAJADAS'!B:B,"&gt;="&amp;B88,'HORAS TRABAJADAS'!B:B,"&lt;="&amp;C88)</f>
        <v>0</v>
      </c>
      <c r="N88" s="535">
        <f t="shared" si="3"/>
        <v>0</v>
      </c>
    </row>
    <row r="89" spans="1:14">
      <c r="A89" s="566">
        <v>1285748000</v>
      </c>
      <c r="B89" s="567">
        <v>43313</v>
      </c>
      <c r="C89" s="568">
        <v>43343</v>
      </c>
      <c r="D89" s="537">
        <f>SUMIFS('HORAS TRABAJADAS'!G$1:G$65538,'HORAS TRABAJADAS'!A$1:A$65538,A89,'HORAS TRABAJADAS'!B$1:B$65538,"&gt;="&amp;B89,'HORAS TRABAJADAS'!B$1:B$65538,"&lt;="&amp;C89)</f>
        <v>0</v>
      </c>
      <c r="E89" s="538">
        <f>SUMIFS('HORAS TRABAJADAS'!H:H,'HORAS TRABAJADAS'!A:A,A89,'HORAS TRABAJADAS'!B:B,"&gt;="&amp;B89,'HORAS TRABAJADAS'!B:B,"&lt;="&amp;C89)</f>
        <v>0</v>
      </c>
      <c r="F89" s="538">
        <f>SUMIFS('HORAS TRABAJADAS'!I:I,'HORAS TRABAJADAS'!A:A,A89,'HORAS TRABAJADAS'!B:B,"&gt;="&amp;B89,'HORAS TRABAJADAS'!B:B,"&lt;="&amp;C89)</f>
        <v>0</v>
      </c>
      <c r="G89" s="538">
        <f>SUMIFS('HORAS TRABAJADAS'!J:J,'HORAS TRABAJADAS'!A:A,A89,'HORAS TRABAJADAS'!B:B,"&gt;="&amp;B89,'HORAS TRABAJADAS'!B:B,"&lt;="&amp;C89)</f>
        <v>0</v>
      </c>
      <c r="H89" s="538">
        <f>SUMIFS('HORAS TRABAJADAS'!K:K,'HORAS TRABAJADAS'!A:A,A89,'HORAS TRABAJADAS'!B:B,"&gt;="&amp;B89,'HORAS TRABAJADAS'!B:B,"&lt;="&amp;C89)</f>
        <v>0</v>
      </c>
      <c r="I89" s="538">
        <f>SUMIFS('HORAS TRABAJADAS'!L:L,'HORAS TRABAJADAS'!A:A,A89,'HORAS TRABAJADAS'!B:B,"&gt;="&amp;B89,'HORAS TRABAJADAS'!B:B,"&lt;="&amp;C89)</f>
        <v>0</v>
      </c>
      <c r="J89" s="538">
        <f>SUMIFS('HORAS TRABAJADAS'!M:M,'HORAS TRABAJADAS'!A:A,A89,'HORAS TRABAJADAS'!B:B,"&gt;="&amp;B89,'HORAS TRABAJADAS'!B:B,"&lt;="&amp;C89)</f>
        <v>0</v>
      </c>
      <c r="K89" s="539">
        <f>SUMIFS('HORAS TRABAJADAS'!N:N,'HORAS TRABAJADAS'!A:A,A89,'HORAS TRABAJADAS'!B:B,"&gt;="&amp;B89,'HORAS TRABAJADAS'!B:B,"&lt;="&amp;C89)</f>
        <v>0</v>
      </c>
      <c r="L89" s="533" t="str">
        <f t="shared" si="4"/>
        <v>0 horas y 0 minutos</v>
      </c>
      <c r="M89" s="534">
        <f>SUMIFS('HORAS TRABAJADAS'!Q:Q,'HORAS TRABAJADAS'!A:A,A89,'HORAS TRABAJADAS'!B:B,"&gt;="&amp;B89,'HORAS TRABAJADAS'!B:B,"&lt;="&amp;C89)</f>
        <v>0</v>
      </c>
      <c r="N89" s="535">
        <f t="shared" si="3"/>
        <v>0</v>
      </c>
    </row>
    <row r="90" spans="1:14">
      <c r="A90" s="566">
        <v>1247550875</v>
      </c>
      <c r="B90" s="567">
        <v>43313</v>
      </c>
      <c r="C90" s="568">
        <v>43343</v>
      </c>
      <c r="D90" s="537">
        <f>SUMIFS('HORAS TRABAJADAS'!G$1:G$65538,'HORAS TRABAJADAS'!A$1:A$65538,A90,'HORAS TRABAJADAS'!B$1:B$65538,"&gt;="&amp;B90,'HORAS TRABAJADAS'!B$1:B$65538,"&lt;="&amp;C90)</f>
        <v>0</v>
      </c>
      <c r="E90" s="538">
        <f>SUMIFS('HORAS TRABAJADAS'!H:H,'HORAS TRABAJADAS'!A:A,A90,'HORAS TRABAJADAS'!B:B,"&gt;="&amp;B90,'HORAS TRABAJADAS'!B:B,"&lt;="&amp;C90)</f>
        <v>0</v>
      </c>
      <c r="F90" s="538">
        <f>SUMIFS('HORAS TRABAJADAS'!I:I,'HORAS TRABAJADAS'!A:A,A90,'HORAS TRABAJADAS'!B:B,"&gt;="&amp;B90,'HORAS TRABAJADAS'!B:B,"&lt;="&amp;C90)</f>
        <v>0</v>
      </c>
      <c r="G90" s="538">
        <f>SUMIFS('HORAS TRABAJADAS'!J:J,'HORAS TRABAJADAS'!A:A,A90,'HORAS TRABAJADAS'!B:B,"&gt;="&amp;B90,'HORAS TRABAJADAS'!B:B,"&lt;="&amp;C90)</f>
        <v>0</v>
      </c>
      <c r="H90" s="538">
        <f>SUMIFS('HORAS TRABAJADAS'!K:K,'HORAS TRABAJADAS'!A:A,A90,'HORAS TRABAJADAS'!B:B,"&gt;="&amp;B90,'HORAS TRABAJADAS'!B:B,"&lt;="&amp;C90)</f>
        <v>0</v>
      </c>
      <c r="I90" s="538">
        <f>SUMIFS('HORAS TRABAJADAS'!L:L,'HORAS TRABAJADAS'!A:A,A90,'HORAS TRABAJADAS'!B:B,"&gt;="&amp;B90,'HORAS TRABAJADAS'!B:B,"&lt;="&amp;C90)</f>
        <v>0</v>
      </c>
      <c r="J90" s="538">
        <f>SUMIFS('HORAS TRABAJADAS'!M:M,'HORAS TRABAJADAS'!A:A,A90,'HORAS TRABAJADAS'!B:B,"&gt;="&amp;B90,'HORAS TRABAJADAS'!B:B,"&lt;="&amp;C90)</f>
        <v>0</v>
      </c>
      <c r="K90" s="539">
        <f>SUMIFS('HORAS TRABAJADAS'!N:N,'HORAS TRABAJADAS'!A:A,A90,'HORAS TRABAJADAS'!B:B,"&gt;="&amp;B90,'HORAS TRABAJADAS'!B:B,"&lt;="&amp;C90)</f>
        <v>0</v>
      </c>
      <c r="L90" s="533" t="str">
        <f t="shared" si="4"/>
        <v>0 horas y 0 minutos</v>
      </c>
      <c r="M90" s="534">
        <f>SUMIFS('HORAS TRABAJADAS'!Q:Q,'HORAS TRABAJADAS'!A:A,A90,'HORAS TRABAJADAS'!B:B,"&gt;="&amp;B90,'HORAS TRABAJADAS'!B:B,"&lt;="&amp;C90)</f>
        <v>0</v>
      </c>
      <c r="N90" s="535">
        <f t="shared" si="3"/>
        <v>0</v>
      </c>
    </row>
    <row r="91" spans="1:14">
      <c r="A91" s="566">
        <v>1311966071</v>
      </c>
      <c r="B91" s="567">
        <v>43313</v>
      </c>
      <c r="C91" s="568">
        <v>43343</v>
      </c>
      <c r="D91" s="537">
        <f>SUMIFS('HORAS TRABAJADAS'!G$1:G$65538,'HORAS TRABAJADAS'!A$1:A$65538,A91,'HORAS TRABAJADAS'!B$1:B$65538,"&gt;="&amp;B91,'HORAS TRABAJADAS'!B$1:B$65538,"&lt;="&amp;C91)</f>
        <v>0</v>
      </c>
      <c r="E91" s="538">
        <f>SUMIFS('HORAS TRABAJADAS'!H:H,'HORAS TRABAJADAS'!A:A,A91,'HORAS TRABAJADAS'!B:B,"&gt;="&amp;B91,'HORAS TRABAJADAS'!B:B,"&lt;="&amp;C91)</f>
        <v>0</v>
      </c>
      <c r="F91" s="538">
        <f>SUMIFS('HORAS TRABAJADAS'!I:I,'HORAS TRABAJADAS'!A:A,A91,'HORAS TRABAJADAS'!B:B,"&gt;="&amp;B91,'HORAS TRABAJADAS'!B:B,"&lt;="&amp;C91)</f>
        <v>0</v>
      </c>
      <c r="G91" s="538">
        <f>SUMIFS('HORAS TRABAJADAS'!J:J,'HORAS TRABAJADAS'!A:A,A91,'HORAS TRABAJADAS'!B:B,"&gt;="&amp;B91,'HORAS TRABAJADAS'!B:B,"&lt;="&amp;C91)</f>
        <v>0</v>
      </c>
      <c r="H91" s="538">
        <f>SUMIFS('HORAS TRABAJADAS'!K:K,'HORAS TRABAJADAS'!A:A,A91,'HORAS TRABAJADAS'!B:B,"&gt;="&amp;B91,'HORAS TRABAJADAS'!B:B,"&lt;="&amp;C91)</f>
        <v>0</v>
      </c>
      <c r="I91" s="538">
        <f>SUMIFS('HORAS TRABAJADAS'!L:L,'HORAS TRABAJADAS'!A:A,A91,'HORAS TRABAJADAS'!B:B,"&gt;="&amp;B91,'HORAS TRABAJADAS'!B:B,"&lt;="&amp;C91)</f>
        <v>0</v>
      </c>
      <c r="J91" s="538">
        <f>SUMIFS('HORAS TRABAJADAS'!M:M,'HORAS TRABAJADAS'!A:A,A91,'HORAS TRABAJADAS'!B:B,"&gt;="&amp;B91,'HORAS TRABAJADAS'!B:B,"&lt;="&amp;C91)</f>
        <v>0</v>
      </c>
      <c r="K91" s="539">
        <f>SUMIFS('HORAS TRABAJADAS'!N:N,'HORAS TRABAJADAS'!A:A,A91,'HORAS TRABAJADAS'!B:B,"&gt;="&amp;B91,'HORAS TRABAJADAS'!B:B,"&lt;="&amp;C91)</f>
        <v>0</v>
      </c>
      <c r="L91" s="533" t="str">
        <f t="shared" si="4"/>
        <v>0 horas y 0 minutos</v>
      </c>
      <c r="M91" s="534">
        <f>SUMIFS('HORAS TRABAJADAS'!Q:Q,'HORAS TRABAJADAS'!A:A,A91,'HORAS TRABAJADAS'!B:B,"&gt;="&amp;B91,'HORAS TRABAJADAS'!B:B,"&lt;="&amp;C91)</f>
        <v>0</v>
      </c>
      <c r="N91" s="535">
        <f t="shared" si="3"/>
        <v>0</v>
      </c>
    </row>
    <row r="92" spans="1:14">
      <c r="A92" s="566">
        <v>1317424267</v>
      </c>
      <c r="B92" s="567">
        <v>43313</v>
      </c>
      <c r="C92" s="568">
        <v>43343</v>
      </c>
      <c r="D92" s="537">
        <f>SUMIFS('HORAS TRABAJADAS'!G$1:G$65538,'HORAS TRABAJADAS'!A$1:A$65538,A92,'HORAS TRABAJADAS'!B$1:B$65538,"&gt;="&amp;B92,'HORAS TRABAJADAS'!B$1:B$65538,"&lt;="&amp;C92)</f>
        <v>0</v>
      </c>
      <c r="E92" s="538">
        <f>SUMIFS('HORAS TRABAJADAS'!H:H,'HORAS TRABAJADAS'!A:A,A92,'HORAS TRABAJADAS'!B:B,"&gt;="&amp;B92,'HORAS TRABAJADAS'!B:B,"&lt;="&amp;C92)</f>
        <v>0</v>
      </c>
      <c r="F92" s="538">
        <f>SUMIFS('HORAS TRABAJADAS'!I:I,'HORAS TRABAJADAS'!A:A,A92,'HORAS TRABAJADAS'!B:B,"&gt;="&amp;B92,'HORAS TRABAJADAS'!B:B,"&lt;="&amp;C92)</f>
        <v>0</v>
      </c>
      <c r="G92" s="538">
        <f>SUMIFS('HORAS TRABAJADAS'!J:J,'HORAS TRABAJADAS'!A:A,A92,'HORAS TRABAJADAS'!B:B,"&gt;="&amp;B92,'HORAS TRABAJADAS'!B:B,"&lt;="&amp;C92)</f>
        <v>0</v>
      </c>
      <c r="H92" s="538">
        <f>SUMIFS('HORAS TRABAJADAS'!K:K,'HORAS TRABAJADAS'!A:A,A92,'HORAS TRABAJADAS'!B:B,"&gt;="&amp;B92,'HORAS TRABAJADAS'!B:B,"&lt;="&amp;C92)</f>
        <v>0</v>
      </c>
      <c r="I92" s="538">
        <f>SUMIFS('HORAS TRABAJADAS'!L:L,'HORAS TRABAJADAS'!A:A,A92,'HORAS TRABAJADAS'!B:B,"&gt;="&amp;B92,'HORAS TRABAJADAS'!B:B,"&lt;="&amp;C92)</f>
        <v>0</v>
      </c>
      <c r="J92" s="538">
        <f>SUMIFS('HORAS TRABAJADAS'!M:M,'HORAS TRABAJADAS'!A:A,A92,'HORAS TRABAJADAS'!B:B,"&gt;="&amp;B92,'HORAS TRABAJADAS'!B:B,"&lt;="&amp;C92)</f>
        <v>0</v>
      </c>
      <c r="K92" s="539">
        <f>SUMIFS('HORAS TRABAJADAS'!N:N,'HORAS TRABAJADAS'!A:A,A92,'HORAS TRABAJADAS'!B:B,"&gt;="&amp;B92,'HORAS TRABAJADAS'!B:B,"&lt;="&amp;C92)</f>
        <v>0</v>
      </c>
      <c r="L92" s="533" t="str">
        <f t="shared" si="4"/>
        <v>0 horas y 0 minutos</v>
      </c>
      <c r="M92" s="534">
        <f>SUMIFS('HORAS TRABAJADAS'!Q:Q,'HORAS TRABAJADAS'!A:A,A92,'HORAS TRABAJADAS'!B:B,"&gt;="&amp;B92,'HORAS TRABAJADAS'!B:B,"&lt;="&amp;C92)</f>
        <v>0</v>
      </c>
      <c r="N92" s="535">
        <f t="shared" si="3"/>
        <v>0</v>
      </c>
    </row>
    <row r="93" spans="1:14">
      <c r="A93" s="566">
        <v>1315211554</v>
      </c>
      <c r="B93" s="567">
        <v>43313</v>
      </c>
      <c r="C93" s="568">
        <v>43343</v>
      </c>
      <c r="D93" s="537">
        <f>SUMIFS('HORAS TRABAJADAS'!G$1:G$65538,'HORAS TRABAJADAS'!A$1:A$65538,A93,'HORAS TRABAJADAS'!B$1:B$65538,"&gt;="&amp;B93,'HORAS TRABAJADAS'!B$1:B$65538,"&lt;="&amp;C93)</f>
        <v>0</v>
      </c>
      <c r="E93" s="538">
        <f>SUMIFS('HORAS TRABAJADAS'!H:H,'HORAS TRABAJADAS'!A:A,A93,'HORAS TRABAJADAS'!B:B,"&gt;="&amp;B93,'HORAS TRABAJADAS'!B:B,"&lt;="&amp;C93)</f>
        <v>0</v>
      </c>
      <c r="F93" s="538">
        <f>SUMIFS('HORAS TRABAJADAS'!I:I,'HORAS TRABAJADAS'!A:A,A93,'HORAS TRABAJADAS'!B:B,"&gt;="&amp;B93,'HORAS TRABAJADAS'!B:B,"&lt;="&amp;C93)</f>
        <v>0</v>
      </c>
      <c r="G93" s="538">
        <f>SUMIFS('HORAS TRABAJADAS'!J:J,'HORAS TRABAJADAS'!A:A,A93,'HORAS TRABAJADAS'!B:B,"&gt;="&amp;B93,'HORAS TRABAJADAS'!B:B,"&lt;="&amp;C93)</f>
        <v>0</v>
      </c>
      <c r="H93" s="538">
        <f>SUMIFS('HORAS TRABAJADAS'!K:K,'HORAS TRABAJADAS'!A:A,A93,'HORAS TRABAJADAS'!B:B,"&gt;="&amp;B93,'HORAS TRABAJADAS'!B:B,"&lt;="&amp;C93)</f>
        <v>0</v>
      </c>
      <c r="I93" s="538">
        <f>SUMIFS('HORAS TRABAJADAS'!L:L,'HORAS TRABAJADAS'!A:A,A93,'HORAS TRABAJADAS'!B:B,"&gt;="&amp;B93,'HORAS TRABAJADAS'!B:B,"&lt;="&amp;C93)</f>
        <v>0</v>
      </c>
      <c r="J93" s="538">
        <f>SUMIFS('HORAS TRABAJADAS'!M:M,'HORAS TRABAJADAS'!A:A,A93,'HORAS TRABAJADAS'!B:B,"&gt;="&amp;B93,'HORAS TRABAJADAS'!B:B,"&lt;="&amp;C93)</f>
        <v>0</v>
      </c>
      <c r="K93" s="539">
        <f>SUMIFS('HORAS TRABAJADAS'!N:N,'HORAS TRABAJADAS'!A:A,A93,'HORAS TRABAJADAS'!B:B,"&gt;="&amp;B93,'HORAS TRABAJADAS'!B:B,"&lt;="&amp;C93)</f>
        <v>0</v>
      </c>
      <c r="L93" s="533" t="str">
        <f t="shared" si="4"/>
        <v>0 horas y 0 minutos</v>
      </c>
      <c r="M93" s="534">
        <f>SUMIFS('HORAS TRABAJADAS'!Q:Q,'HORAS TRABAJADAS'!A:A,A93,'HORAS TRABAJADAS'!B:B,"&gt;="&amp;B93,'HORAS TRABAJADAS'!B:B,"&lt;="&amp;C93)</f>
        <v>0</v>
      </c>
      <c r="N93" s="535">
        <f t="shared" si="3"/>
        <v>0</v>
      </c>
    </row>
    <row r="94" spans="1:14">
      <c r="A94" s="566">
        <v>1241318672</v>
      </c>
      <c r="B94" s="567">
        <v>43313</v>
      </c>
      <c r="C94" s="568">
        <v>43343</v>
      </c>
      <c r="D94" s="537">
        <f>SUMIFS('HORAS TRABAJADAS'!G$1:G$65538,'HORAS TRABAJADAS'!A$1:A$65538,A94,'HORAS TRABAJADAS'!B$1:B$65538,"&gt;="&amp;B94,'HORAS TRABAJADAS'!B$1:B$65538,"&lt;="&amp;C94)</f>
        <v>0</v>
      </c>
      <c r="E94" s="538">
        <f>SUMIFS('HORAS TRABAJADAS'!H:H,'HORAS TRABAJADAS'!A:A,A94,'HORAS TRABAJADAS'!B:B,"&gt;="&amp;B94,'HORAS TRABAJADAS'!B:B,"&lt;="&amp;C94)</f>
        <v>0</v>
      </c>
      <c r="F94" s="538">
        <f>SUMIFS('HORAS TRABAJADAS'!I:I,'HORAS TRABAJADAS'!A:A,A94,'HORAS TRABAJADAS'!B:B,"&gt;="&amp;B94,'HORAS TRABAJADAS'!B:B,"&lt;="&amp;C94)</f>
        <v>0</v>
      </c>
      <c r="G94" s="538">
        <f>SUMIFS('HORAS TRABAJADAS'!J:J,'HORAS TRABAJADAS'!A:A,A94,'HORAS TRABAJADAS'!B:B,"&gt;="&amp;B94,'HORAS TRABAJADAS'!B:B,"&lt;="&amp;C94)</f>
        <v>0</v>
      </c>
      <c r="H94" s="538">
        <f>SUMIFS('HORAS TRABAJADAS'!K:K,'HORAS TRABAJADAS'!A:A,A94,'HORAS TRABAJADAS'!B:B,"&gt;="&amp;B94,'HORAS TRABAJADAS'!B:B,"&lt;="&amp;C94)</f>
        <v>0</v>
      </c>
      <c r="I94" s="538">
        <f>SUMIFS('HORAS TRABAJADAS'!L:L,'HORAS TRABAJADAS'!A:A,A94,'HORAS TRABAJADAS'!B:B,"&gt;="&amp;B94,'HORAS TRABAJADAS'!B:B,"&lt;="&amp;C94)</f>
        <v>0</v>
      </c>
      <c r="J94" s="538">
        <f>SUMIFS('HORAS TRABAJADAS'!M:M,'HORAS TRABAJADAS'!A:A,A94,'HORAS TRABAJADAS'!B:B,"&gt;="&amp;B94,'HORAS TRABAJADAS'!B:B,"&lt;="&amp;C94)</f>
        <v>0</v>
      </c>
      <c r="K94" s="539">
        <f>SUMIFS('HORAS TRABAJADAS'!N:N,'HORAS TRABAJADAS'!A:A,A94,'HORAS TRABAJADAS'!B:B,"&gt;="&amp;B94,'HORAS TRABAJADAS'!B:B,"&lt;="&amp;C94)</f>
        <v>0</v>
      </c>
      <c r="L94" s="533" t="str">
        <f t="shared" si="4"/>
        <v>0 horas y 0 minutos</v>
      </c>
      <c r="M94" s="534">
        <f>SUMIFS('HORAS TRABAJADAS'!Q:Q,'HORAS TRABAJADAS'!A:A,A94,'HORAS TRABAJADAS'!B:B,"&gt;="&amp;B94,'HORAS TRABAJADAS'!B:B,"&lt;="&amp;C94)</f>
        <v>0</v>
      </c>
      <c r="N94" s="535">
        <f t="shared" si="3"/>
        <v>0</v>
      </c>
    </row>
    <row r="95" spans="1:14">
      <c r="A95" s="566">
        <v>1324063080</v>
      </c>
      <c r="B95" s="567">
        <v>43313</v>
      </c>
      <c r="C95" s="568">
        <v>43343</v>
      </c>
      <c r="D95" s="537">
        <f>SUMIFS('HORAS TRABAJADAS'!G$1:G$65538,'HORAS TRABAJADAS'!A$1:A$65538,A95,'HORAS TRABAJADAS'!B$1:B$65538,"&gt;="&amp;B95,'HORAS TRABAJADAS'!B$1:B$65538,"&lt;="&amp;C95)</f>
        <v>0</v>
      </c>
      <c r="E95" s="538">
        <f>SUMIFS('HORAS TRABAJADAS'!H:H,'HORAS TRABAJADAS'!A:A,A95,'HORAS TRABAJADAS'!B:B,"&gt;="&amp;B95,'HORAS TRABAJADAS'!B:B,"&lt;="&amp;C95)</f>
        <v>0</v>
      </c>
      <c r="F95" s="538">
        <f>SUMIFS('HORAS TRABAJADAS'!I:I,'HORAS TRABAJADAS'!A:A,A95,'HORAS TRABAJADAS'!B:B,"&gt;="&amp;B95,'HORAS TRABAJADAS'!B:B,"&lt;="&amp;C95)</f>
        <v>0</v>
      </c>
      <c r="G95" s="538">
        <f>SUMIFS('HORAS TRABAJADAS'!J:J,'HORAS TRABAJADAS'!A:A,A95,'HORAS TRABAJADAS'!B:B,"&gt;="&amp;B95,'HORAS TRABAJADAS'!B:B,"&lt;="&amp;C95)</f>
        <v>0</v>
      </c>
      <c r="H95" s="538">
        <f>SUMIFS('HORAS TRABAJADAS'!K:K,'HORAS TRABAJADAS'!A:A,A95,'HORAS TRABAJADAS'!B:B,"&gt;="&amp;B95,'HORAS TRABAJADAS'!B:B,"&lt;="&amp;C95)</f>
        <v>0</v>
      </c>
      <c r="I95" s="538">
        <f>SUMIFS('HORAS TRABAJADAS'!L:L,'HORAS TRABAJADAS'!A:A,A95,'HORAS TRABAJADAS'!B:B,"&gt;="&amp;B95,'HORAS TRABAJADAS'!B:B,"&lt;="&amp;C95)</f>
        <v>0</v>
      </c>
      <c r="J95" s="538">
        <f>SUMIFS('HORAS TRABAJADAS'!M:M,'HORAS TRABAJADAS'!A:A,A95,'HORAS TRABAJADAS'!B:B,"&gt;="&amp;B95,'HORAS TRABAJADAS'!B:B,"&lt;="&amp;C95)</f>
        <v>0</v>
      </c>
      <c r="K95" s="539">
        <f>SUMIFS('HORAS TRABAJADAS'!N:N,'HORAS TRABAJADAS'!A:A,A95,'HORAS TRABAJADAS'!B:B,"&gt;="&amp;B95,'HORAS TRABAJADAS'!B:B,"&lt;="&amp;C95)</f>
        <v>0</v>
      </c>
      <c r="L95" s="533" t="str">
        <f t="shared" si="4"/>
        <v>0 horas y 0 minutos</v>
      </c>
      <c r="M95" s="534">
        <f>SUMIFS('HORAS TRABAJADAS'!Q:Q,'HORAS TRABAJADAS'!A:A,A95,'HORAS TRABAJADAS'!B:B,"&gt;="&amp;B95,'HORAS TRABAJADAS'!B:B,"&lt;="&amp;C95)</f>
        <v>0</v>
      </c>
      <c r="N95" s="535">
        <f t="shared" si="3"/>
        <v>0</v>
      </c>
    </row>
    <row r="96" spans="1:14">
      <c r="A96" s="566">
        <v>1259425899</v>
      </c>
      <c r="B96" s="567">
        <v>43313</v>
      </c>
      <c r="C96" s="568">
        <v>43343</v>
      </c>
      <c r="D96" s="537">
        <f>SUMIFS('HORAS TRABAJADAS'!G$1:G$65538,'HORAS TRABAJADAS'!A$1:A$65538,A96,'HORAS TRABAJADAS'!B$1:B$65538,"&gt;="&amp;B96,'HORAS TRABAJADAS'!B$1:B$65538,"&lt;="&amp;C96)</f>
        <v>0</v>
      </c>
      <c r="E96" s="538">
        <f>SUMIFS('HORAS TRABAJADAS'!H:H,'HORAS TRABAJADAS'!A:A,A96,'HORAS TRABAJADAS'!B:B,"&gt;="&amp;B96,'HORAS TRABAJADAS'!B:B,"&lt;="&amp;C96)</f>
        <v>0</v>
      </c>
      <c r="F96" s="538">
        <f>SUMIFS('HORAS TRABAJADAS'!I:I,'HORAS TRABAJADAS'!A:A,A96,'HORAS TRABAJADAS'!B:B,"&gt;="&amp;B96,'HORAS TRABAJADAS'!B:B,"&lt;="&amp;C96)</f>
        <v>0</v>
      </c>
      <c r="G96" s="538">
        <f>SUMIFS('HORAS TRABAJADAS'!J:J,'HORAS TRABAJADAS'!A:A,A96,'HORAS TRABAJADAS'!B:B,"&gt;="&amp;B96,'HORAS TRABAJADAS'!B:B,"&lt;="&amp;C96)</f>
        <v>0</v>
      </c>
      <c r="H96" s="538">
        <f>SUMIFS('HORAS TRABAJADAS'!K:K,'HORAS TRABAJADAS'!A:A,A96,'HORAS TRABAJADAS'!B:B,"&gt;="&amp;B96,'HORAS TRABAJADAS'!B:B,"&lt;="&amp;C96)</f>
        <v>0</v>
      </c>
      <c r="I96" s="538">
        <f>SUMIFS('HORAS TRABAJADAS'!L:L,'HORAS TRABAJADAS'!A:A,A96,'HORAS TRABAJADAS'!B:B,"&gt;="&amp;B96,'HORAS TRABAJADAS'!B:B,"&lt;="&amp;C96)</f>
        <v>0</v>
      </c>
      <c r="J96" s="538">
        <f>SUMIFS('HORAS TRABAJADAS'!M:M,'HORAS TRABAJADAS'!A:A,A96,'HORAS TRABAJADAS'!B:B,"&gt;="&amp;B96,'HORAS TRABAJADAS'!B:B,"&lt;="&amp;C96)</f>
        <v>0</v>
      </c>
      <c r="K96" s="539">
        <f>SUMIFS('HORAS TRABAJADAS'!N:N,'HORAS TRABAJADAS'!A:A,A96,'HORAS TRABAJADAS'!B:B,"&gt;="&amp;B96,'HORAS TRABAJADAS'!B:B,"&lt;="&amp;C96)</f>
        <v>0</v>
      </c>
      <c r="L96" s="533" t="str">
        <f t="shared" si="4"/>
        <v>0 horas y 0 minutos</v>
      </c>
      <c r="M96" s="534">
        <f>SUMIFS('HORAS TRABAJADAS'!Q:Q,'HORAS TRABAJADAS'!A:A,A96,'HORAS TRABAJADAS'!B:B,"&gt;="&amp;B96,'HORAS TRABAJADAS'!B:B,"&lt;="&amp;C96)</f>
        <v>0</v>
      </c>
      <c r="N96" s="535">
        <f t="shared" si="3"/>
        <v>0</v>
      </c>
    </row>
    <row r="97" spans="1:14">
      <c r="A97" s="550"/>
      <c r="B97" s="551"/>
      <c r="C97" s="556"/>
      <c r="D97" s="537">
        <f>SUMIFS('HORAS TRABAJADAS'!G$1:G$65538,'HORAS TRABAJADAS'!A$1:A$65538,A97,'HORAS TRABAJADAS'!B$1:B$65538,"&gt;="&amp;B97,'HORAS TRABAJADAS'!B$1:B$65538,"&lt;="&amp;C97)</f>
        <v>0</v>
      </c>
      <c r="E97" s="538">
        <f>SUMIFS('HORAS TRABAJADAS'!H:H,'HORAS TRABAJADAS'!A:A,A97,'HORAS TRABAJADAS'!B:B,"&gt;="&amp;B97,'HORAS TRABAJADAS'!B:B,"&lt;="&amp;C97)</f>
        <v>0</v>
      </c>
      <c r="F97" s="538">
        <f>SUMIFS('HORAS TRABAJADAS'!I:I,'HORAS TRABAJADAS'!A:A,A97,'HORAS TRABAJADAS'!B:B,"&gt;="&amp;B97,'HORAS TRABAJADAS'!B:B,"&lt;="&amp;C97)</f>
        <v>0</v>
      </c>
      <c r="G97" s="538">
        <f>SUMIFS('HORAS TRABAJADAS'!J:J,'HORAS TRABAJADAS'!A:A,A97,'HORAS TRABAJADAS'!B:B,"&gt;="&amp;B97,'HORAS TRABAJADAS'!B:B,"&lt;="&amp;C97)</f>
        <v>0</v>
      </c>
      <c r="H97" s="538">
        <f>SUMIFS('HORAS TRABAJADAS'!K:K,'HORAS TRABAJADAS'!A:A,A97,'HORAS TRABAJADAS'!B:B,"&gt;="&amp;B97,'HORAS TRABAJADAS'!B:B,"&lt;="&amp;C97)</f>
        <v>0</v>
      </c>
      <c r="I97" s="538">
        <f>SUMIFS('HORAS TRABAJADAS'!L:L,'HORAS TRABAJADAS'!A:A,A97,'HORAS TRABAJADAS'!B:B,"&gt;="&amp;B97,'HORAS TRABAJADAS'!B:B,"&lt;="&amp;C97)</f>
        <v>0</v>
      </c>
      <c r="J97" s="538">
        <f>SUMIFS('HORAS TRABAJADAS'!M:M,'HORAS TRABAJADAS'!A:A,A97,'HORAS TRABAJADAS'!B:B,"&gt;="&amp;B97,'HORAS TRABAJADAS'!B:B,"&lt;="&amp;C97)</f>
        <v>0</v>
      </c>
      <c r="K97" s="539">
        <f>SUMIFS('HORAS TRABAJADAS'!N:N,'HORAS TRABAJADAS'!A:A,A97,'HORAS TRABAJADAS'!B:B,"&gt;="&amp;B97,'HORAS TRABAJADAS'!B:B,"&lt;="&amp;C97)</f>
        <v>0</v>
      </c>
      <c r="L97" s="533" t="str">
        <f t="shared" si="4"/>
        <v>0 horas y 0 minutos</v>
      </c>
      <c r="M97" s="534">
        <f>SUMIFS('HORAS TRABAJADAS'!Q:Q,'HORAS TRABAJADAS'!A:A,A97,'HORAS TRABAJADAS'!B:B,"&gt;="&amp;B97,'HORAS TRABAJADAS'!B:B,"&lt;="&amp;C97)</f>
        <v>0</v>
      </c>
      <c r="N97" s="535">
        <f t="shared" si="3"/>
        <v>0</v>
      </c>
    </row>
    <row r="98" spans="1:14">
      <c r="A98" s="569">
        <v>1321648522</v>
      </c>
      <c r="B98" s="570">
        <v>43344</v>
      </c>
      <c r="C98" s="571">
        <v>43373</v>
      </c>
      <c r="D98" s="537">
        <f>SUMIFS('HORAS TRABAJADAS'!G$1:G$65538,'HORAS TRABAJADAS'!A$1:A$65538,A98,'HORAS TRABAJADAS'!B$1:B$65538,"&gt;="&amp;B98,'HORAS TRABAJADAS'!B$1:B$65538,"&lt;="&amp;C98)</f>
        <v>0</v>
      </c>
      <c r="E98" s="538">
        <f>SUMIFS('HORAS TRABAJADAS'!H:H,'HORAS TRABAJADAS'!A:A,A98,'HORAS TRABAJADAS'!B:B,"&gt;="&amp;B98,'HORAS TRABAJADAS'!B:B,"&lt;="&amp;C98)</f>
        <v>0</v>
      </c>
      <c r="F98" s="538">
        <f>SUMIFS('HORAS TRABAJADAS'!I:I,'HORAS TRABAJADAS'!A:A,A98,'HORAS TRABAJADAS'!B:B,"&gt;="&amp;B98,'HORAS TRABAJADAS'!B:B,"&lt;="&amp;C98)</f>
        <v>0</v>
      </c>
      <c r="G98" s="538">
        <f>SUMIFS('HORAS TRABAJADAS'!J:J,'HORAS TRABAJADAS'!A:A,A98,'HORAS TRABAJADAS'!B:B,"&gt;="&amp;B98,'HORAS TRABAJADAS'!B:B,"&lt;="&amp;C98)</f>
        <v>0</v>
      </c>
      <c r="H98" s="538">
        <f>SUMIFS('HORAS TRABAJADAS'!K:K,'HORAS TRABAJADAS'!A:A,A98,'HORAS TRABAJADAS'!B:B,"&gt;="&amp;B98,'HORAS TRABAJADAS'!B:B,"&lt;="&amp;C98)</f>
        <v>0</v>
      </c>
      <c r="I98" s="538">
        <f>SUMIFS('HORAS TRABAJADAS'!L:L,'HORAS TRABAJADAS'!A:A,A98,'HORAS TRABAJADAS'!B:B,"&gt;="&amp;B98,'HORAS TRABAJADAS'!B:B,"&lt;="&amp;C98)</f>
        <v>0</v>
      </c>
      <c r="J98" s="538">
        <f>SUMIFS('HORAS TRABAJADAS'!M:M,'HORAS TRABAJADAS'!A:A,A98,'HORAS TRABAJADAS'!B:B,"&gt;="&amp;B98,'HORAS TRABAJADAS'!B:B,"&lt;="&amp;C98)</f>
        <v>0</v>
      </c>
      <c r="K98" s="539">
        <f>SUMIFS('HORAS TRABAJADAS'!N:N,'HORAS TRABAJADAS'!A:A,A98,'HORAS TRABAJADAS'!B:B,"&gt;="&amp;B98,'HORAS TRABAJADAS'!B:B,"&lt;="&amp;C98)</f>
        <v>0</v>
      </c>
      <c r="L98" s="533" t="str">
        <f t="shared" si="4"/>
        <v>0 horas y 0 minutos</v>
      </c>
      <c r="M98" s="534">
        <f>SUMIFS('HORAS TRABAJADAS'!Q:Q,'HORAS TRABAJADAS'!A:A,A98,'HORAS TRABAJADAS'!B:B,"&gt;="&amp;B98,'HORAS TRABAJADAS'!B:B,"&lt;="&amp;C98)</f>
        <v>0</v>
      </c>
      <c r="N98" s="535">
        <f t="shared" si="3"/>
        <v>0</v>
      </c>
    </row>
    <row r="99" spans="1:14">
      <c r="A99" s="569">
        <v>1323384207</v>
      </c>
      <c r="B99" s="570">
        <v>43344</v>
      </c>
      <c r="C99" s="571">
        <v>43373</v>
      </c>
      <c r="D99" s="537">
        <f>SUMIFS('HORAS TRABAJADAS'!G$1:G$65538,'HORAS TRABAJADAS'!A$1:A$65538,A99,'HORAS TRABAJADAS'!B$1:B$65538,"&gt;="&amp;B99,'HORAS TRABAJADAS'!B$1:B$65538,"&lt;="&amp;C99)</f>
        <v>0</v>
      </c>
      <c r="E99" s="538">
        <f>SUMIFS('HORAS TRABAJADAS'!H:H,'HORAS TRABAJADAS'!A:A,A99,'HORAS TRABAJADAS'!B:B,"&gt;="&amp;B99,'HORAS TRABAJADAS'!B:B,"&lt;="&amp;C99)</f>
        <v>0</v>
      </c>
      <c r="F99" s="538">
        <f>SUMIFS('HORAS TRABAJADAS'!I:I,'HORAS TRABAJADAS'!A:A,A99,'HORAS TRABAJADAS'!B:B,"&gt;="&amp;B99,'HORAS TRABAJADAS'!B:B,"&lt;="&amp;C99)</f>
        <v>0</v>
      </c>
      <c r="G99" s="538">
        <f>SUMIFS('HORAS TRABAJADAS'!J:J,'HORAS TRABAJADAS'!A:A,A99,'HORAS TRABAJADAS'!B:B,"&gt;="&amp;B99,'HORAS TRABAJADAS'!B:B,"&lt;="&amp;C99)</f>
        <v>0</v>
      </c>
      <c r="H99" s="538">
        <f>SUMIFS('HORAS TRABAJADAS'!K:K,'HORAS TRABAJADAS'!A:A,A99,'HORAS TRABAJADAS'!B:B,"&gt;="&amp;B99,'HORAS TRABAJADAS'!B:B,"&lt;="&amp;C99)</f>
        <v>0</v>
      </c>
      <c r="I99" s="538">
        <f>SUMIFS('HORAS TRABAJADAS'!L:L,'HORAS TRABAJADAS'!A:A,A99,'HORAS TRABAJADAS'!B:B,"&gt;="&amp;B99,'HORAS TRABAJADAS'!B:B,"&lt;="&amp;C99)</f>
        <v>0</v>
      </c>
      <c r="J99" s="538">
        <f>SUMIFS('HORAS TRABAJADAS'!M:M,'HORAS TRABAJADAS'!A:A,A99,'HORAS TRABAJADAS'!B:B,"&gt;="&amp;B99,'HORAS TRABAJADAS'!B:B,"&lt;="&amp;C99)</f>
        <v>0</v>
      </c>
      <c r="K99" s="539">
        <f>SUMIFS('HORAS TRABAJADAS'!N:N,'HORAS TRABAJADAS'!A:A,A99,'HORAS TRABAJADAS'!B:B,"&gt;="&amp;B99,'HORAS TRABAJADAS'!B:B,"&lt;="&amp;C99)</f>
        <v>0</v>
      </c>
      <c r="L99" s="533" t="str">
        <f t="shared" si="4"/>
        <v>0 horas y 0 minutos</v>
      </c>
      <c r="M99" s="534">
        <f>SUMIFS('HORAS TRABAJADAS'!Q:Q,'HORAS TRABAJADAS'!A:A,A99,'HORAS TRABAJADAS'!B:B,"&gt;="&amp;B99,'HORAS TRABAJADAS'!B:B,"&lt;="&amp;C99)</f>
        <v>0</v>
      </c>
      <c r="N99" s="535">
        <f t="shared" si="3"/>
        <v>0</v>
      </c>
    </row>
    <row r="100" spans="1:14">
      <c r="A100" s="569">
        <v>1237462775</v>
      </c>
      <c r="B100" s="570">
        <v>43344</v>
      </c>
      <c r="C100" s="571">
        <v>43373</v>
      </c>
      <c r="D100" s="537">
        <f>SUMIFS('HORAS TRABAJADAS'!G$1:G$65538,'HORAS TRABAJADAS'!A$1:A$65538,A100,'HORAS TRABAJADAS'!B$1:B$65538,"&gt;="&amp;B100,'HORAS TRABAJADAS'!B$1:B$65538,"&lt;="&amp;C100)</f>
        <v>0</v>
      </c>
      <c r="E100" s="538">
        <f>SUMIFS('HORAS TRABAJADAS'!H:H,'HORAS TRABAJADAS'!A:A,A100,'HORAS TRABAJADAS'!B:B,"&gt;="&amp;B100,'HORAS TRABAJADAS'!B:B,"&lt;="&amp;C100)</f>
        <v>0</v>
      </c>
      <c r="F100" s="538">
        <f>SUMIFS('HORAS TRABAJADAS'!I:I,'HORAS TRABAJADAS'!A:A,A100,'HORAS TRABAJADAS'!B:B,"&gt;="&amp;B100,'HORAS TRABAJADAS'!B:B,"&lt;="&amp;C100)</f>
        <v>0</v>
      </c>
      <c r="G100" s="538">
        <f>SUMIFS('HORAS TRABAJADAS'!J:J,'HORAS TRABAJADAS'!A:A,A100,'HORAS TRABAJADAS'!B:B,"&gt;="&amp;B100,'HORAS TRABAJADAS'!B:B,"&lt;="&amp;C100)</f>
        <v>0</v>
      </c>
      <c r="H100" s="538">
        <f>SUMIFS('HORAS TRABAJADAS'!K:K,'HORAS TRABAJADAS'!A:A,A100,'HORAS TRABAJADAS'!B:B,"&gt;="&amp;B100,'HORAS TRABAJADAS'!B:B,"&lt;="&amp;C100)</f>
        <v>0</v>
      </c>
      <c r="I100" s="538">
        <f>SUMIFS('HORAS TRABAJADAS'!L:L,'HORAS TRABAJADAS'!A:A,A100,'HORAS TRABAJADAS'!B:B,"&gt;="&amp;B100,'HORAS TRABAJADAS'!B:B,"&lt;="&amp;C100)</f>
        <v>0</v>
      </c>
      <c r="J100" s="538">
        <f>SUMIFS('HORAS TRABAJADAS'!M:M,'HORAS TRABAJADAS'!A:A,A100,'HORAS TRABAJADAS'!B:B,"&gt;="&amp;B100,'HORAS TRABAJADAS'!B:B,"&lt;="&amp;C100)</f>
        <v>0</v>
      </c>
      <c r="K100" s="539">
        <f>SUMIFS('HORAS TRABAJADAS'!N:N,'HORAS TRABAJADAS'!A:A,A100,'HORAS TRABAJADAS'!B:B,"&gt;="&amp;B100,'HORAS TRABAJADAS'!B:B,"&lt;="&amp;C100)</f>
        <v>0</v>
      </c>
      <c r="L100" s="533" t="str">
        <f t="shared" si="4"/>
        <v>0 horas y 0 minutos</v>
      </c>
      <c r="M100" s="534">
        <f>SUMIFS('HORAS TRABAJADAS'!Q:Q,'HORAS TRABAJADAS'!A:A,A100,'HORAS TRABAJADAS'!B:B,"&gt;="&amp;B100,'HORAS TRABAJADAS'!B:B,"&lt;="&amp;C100)</f>
        <v>0</v>
      </c>
      <c r="N100" s="535">
        <f t="shared" si="3"/>
        <v>0</v>
      </c>
    </row>
    <row r="101" spans="1:14">
      <c r="A101" s="569">
        <v>1285748000</v>
      </c>
      <c r="B101" s="570">
        <v>43344</v>
      </c>
      <c r="C101" s="571">
        <v>43373</v>
      </c>
      <c r="D101" s="537">
        <f>SUMIFS('HORAS TRABAJADAS'!G$1:G$65538,'HORAS TRABAJADAS'!A$1:A$65538,A101,'HORAS TRABAJADAS'!B$1:B$65538,"&gt;="&amp;B101,'HORAS TRABAJADAS'!B$1:B$65538,"&lt;="&amp;C101)</f>
        <v>0</v>
      </c>
      <c r="E101" s="538">
        <f>SUMIFS('HORAS TRABAJADAS'!H:H,'HORAS TRABAJADAS'!A:A,A101,'HORAS TRABAJADAS'!B:B,"&gt;="&amp;B101,'HORAS TRABAJADAS'!B:B,"&lt;="&amp;C101)</f>
        <v>0</v>
      </c>
      <c r="F101" s="538">
        <f>SUMIFS('HORAS TRABAJADAS'!I:I,'HORAS TRABAJADAS'!A:A,A101,'HORAS TRABAJADAS'!B:B,"&gt;="&amp;B101,'HORAS TRABAJADAS'!B:B,"&lt;="&amp;C101)</f>
        <v>0</v>
      </c>
      <c r="G101" s="538">
        <f>SUMIFS('HORAS TRABAJADAS'!J:J,'HORAS TRABAJADAS'!A:A,A101,'HORAS TRABAJADAS'!B:B,"&gt;="&amp;B101,'HORAS TRABAJADAS'!B:B,"&lt;="&amp;C101)</f>
        <v>0</v>
      </c>
      <c r="H101" s="538">
        <f>SUMIFS('HORAS TRABAJADAS'!K:K,'HORAS TRABAJADAS'!A:A,A101,'HORAS TRABAJADAS'!B:B,"&gt;="&amp;B101,'HORAS TRABAJADAS'!B:B,"&lt;="&amp;C101)</f>
        <v>0</v>
      </c>
      <c r="I101" s="538">
        <f>SUMIFS('HORAS TRABAJADAS'!L:L,'HORAS TRABAJADAS'!A:A,A101,'HORAS TRABAJADAS'!B:B,"&gt;="&amp;B101,'HORAS TRABAJADAS'!B:B,"&lt;="&amp;C101)</f>
        <v>0</v>
      </c>
      <c r="J101" s="538">
        <f>SUMIFS('HORAS TRABAJADAS'!M:M,'HORAS TRABAJADAS'!A:A,A101,'HORAS TRABAJADAS'!B:B,"&gt;="&amp;B101,'HORAS TRABAJADAS'!B:B,"&lt;="&amp;C101)</f>
        <v>0</v>
      </c>
      <c r="K101" s="539">
        <f>SUMIFS('HORAS TRABAJADAS'!N:N,'HORAS TRABAJADAS'!A:A,A101,'HORAS TRABAJADAS'!B:B,"&gt;="&amp;B101,'HORAS TRABAJADAS'!B:B,"&lt;="&amp;C101)</f>
        <v>0</v>
      </c>
      <c r="L101" s="533" t="str">
        <f t="shared" si="4"/>
        <v>0 horas y 0 minutos</v>
      </c>
      <c r="M101" s="534">
        <f>SUMIFS('HORAS TRABAJADAS'!Q:Q,'HORAS TRABAJADAS'!A:A,A101,'HORAS TRABAJADAS'!B:B,"&gt;="&amp;B101,'HORAS TRABAJADAS'!B:B,"&lt;="&amp;C101)</f>
        <v>0</v>
      </c>
      <c r="N101" s="535">
        <f t="shared" si="3"/>
        <v>0</v>
      </c>
    </row>
    <row r="102" spans="1:14">
      <c r="A102" s="569">
        <v>1247550875</v>
      </c>
      <c r="B102" s="570">
        <v>43344</v>
      </c>
      <c r="C102" s="571">
        <v>43373</v>
      </c>
      <c r="D102" s="537">
        <f>SUMIFS('HORAS TRABAJADAS'!G$1:G$65538,'HORAS TRABAJADAS'!A$1:A$65538,A102,'HORAS TRABAJADAS'!B$1:B$65538,"&gt;="&amp;B102,'HORAS TRABAJADAS'!B$1:B$65538,"&lt;="&amp;C102)</f>
        <v>0</v>
      </c>
      <c r="E102" s="538">
        <f>SUMIFS('HORAS TRABAJADAS'!H:H,'HORAS TRABAJADAS'!A:A,A102,'HORAS TRABAJADAS'!B:B,"&gt;="&amp;B102,'HORAS TRABAJADAS'!B:B,"&lt;="&amp;C102)</f>
        <v>0</v>
      </c>
      <c r="F102" s="538">
        <f>SUMIFS('HORAS TRABAJADAS'!I:I,'HORAS TRABAJADAS'!A:A,A102,'HORAS TRABAJADAS'!B:B,"&gt;="&amp;B102,'HORAS TRABAJADAS'!B:B,"&lt;="&amp;C102)</f>
        <v>0</v>
      </c>
      <c r="G102" s="538">
        <f>SUMIFS('HORAS TRABAJADAS'!J:J,'HORAS TRABAJADAS'!A:A,A102,'HORAS TRABAJADAS'!B:B,"&gt;="&amp;B102,'HORAS TRABAJADAS'!B:B,"&lt;="&amp;C102)</f>
        <v>0</v>
      </c>
      <c r="H102" s="538">
        <f>SUMIFS('HORAS TRABAJADAS'!K:K,'HORAS TRABAJADAS'!A:A,A102,'HORAS TRABAJADAS'!B:B,"&gt;="&amp;B102,'HORAS TRABAJADAS'!B:B,"&lt;="&amp;C102)</f>
        <v>0</v>
      </c>
      <c r="I102" s="538">
        <f>SUMIFS('HORAS TRABAJADAS'!L:L,'HORAS TRABAJADAS'!A:A,A102,'HORAS TRABAJADAS'!B:B,"&gt;="&amp;B102,'HORAS TRABAJADAS'!B:B,"&lt;="&amp;C102)</f>
        <v>0</v>
      </c>
      <c r="J102" s="538">
        <f>SUMIFS('HORAS TRABAJADAS'!M:M,'HORAS TRABAJADAS'!A:A,A102,'HORAS TRABAJADAS'!B:B,"&gt;="&amp;B102,'HORAS TRABAJADAS'!B:B,"&lt;="&amp;C102)</f>
        <v>0</v>
      </c>
      <c r="K102" s="539">
        <f>SUMIFS('HORAS TRABAJADAS'!N:N,'HORAS TRABAJADAS'!A:A,A102,'HORAS TRABAJADAS'!B:B,"&gt;="&amp;B102,'HORAS TRABAJADAS'!B:B,"&lt;="&amp;C102)</f>
        <v>0</v>
      </c>
      <c r="L102" s="533" t="str">
        <f t="shared" si="4"/>
        <v>0 horas y 0 minutos</v>
      </c>
      <c r="M102" s="534">
        <f>SUMIFS('HORAS TRABAJADAS'!Q:Q,'HORAS TRABAJADAS'!A:A,A102,'HORAS TRABAJADAS'!B:B,"&gt;="&amp;B102,'HORAS TRABAJADAS'!B:B,"&lt;="&amp;C102)</f>
        <v>0</v>
      </c>
      <c r="N102" s="535">
        <f t="shared" si="3"/>
        <v>0</v>
      </c>
    </row>
    <row r="103" spans="1:14">
      <c r="A103" s="569">
        <v>1311966071</v>
      </c>
      <c r="B103" s="570">
        <v>43344</v>
      </c>
      <c r="C103" s="571">
        <v>43373</v>
      </c>
      <c r="D103" s="537">
        <f>SUMIFS('HORAS TRABAJADAS'!G$1:G$65538,'HORAS TRABAJADAS'!A$1:A$65538,A103,'HORAS TRABAJADAS'!B$1:B$65538,"&gt;="&amp;B103,'HORAS TRABAJADAS'!B$1:B$65538,"&lt;="&amp;C103)</f>
        <v>0</v>
      </c>
      <c r="E103" s="538">
        <f>SUMIFS('HORAS TRABAJADAS'!H:H,'HORAS TRABAJADAS'!A:A,A103,'HORAS TRABAJADAS'!B:B,"&gt;="&amp;B103,'HORAS TRABAJADAS'!B:B,"&lt;="&amp;C103)</f>
        <v>0</v>
      </c>
      <c r="F103" s="538">
        <f>SUMIFS('HORAS TRABAJADAS'!I:I,'HORAS TRABAJADAS'!A:A,A103,'HORAS TRABAJADAS'!B:B,"&gt;="&amp;B103,'HORAS TRABAJADAS'!B:B,"&lt;="&amp;C103)</f>
        <v>0</v>
      </c>
      <c r="G103" s="538">
        <f>SUMIFS('HORAS TRABAJADAS'!J:J,'HORAS TRABAJADAS'!A:A,A103,'HORAS TRABAJADAS'!B:B,"&gt;="&amp;B103,'HORAS TRABAJADAS'!B:B,"&lt;="&amp;C103)</f>
        <v>0</v>
      </c>
      <c r="H103" s="538">
        <f>SUMIFS('HORAS TRABAJADAS'!K:K,'HORAS TRABAJADAS'!A:A,A103,'HORAS TRABAJADAS'!B:B,"&gt;="&amp;B103,'HORAS TRABAJADAS'!B:B,"&lt;="&amp;C103)</f>
        <v>0</v>
      </c>
      <c r="I103" s="538">
        <f>SUMIFS('HORAS TRABAJADAS'!L:L,'HORAS TRABAJADAS'!A:A,A103,'HORAS TRABAJADAS'!B:B,"&gt;="&amp;B103,'HORAS TRABAJADAS'!B:B,"&lt;="&amp;C103)</f>
        <v>0</v>
      </c>
      <c r="J103" s="538">
        <f>SUMIFS('HORAS TRABAJADAS'!M:M,'HORAS TRABAJADAS'!A:A,A103,'HORAS TRABAJADAS'!B:B,"&gt;="&amp;B103,'HORAS TRABAJADAS'!B:B,"&lt;="&amp;C103)</f>
        <v>0</v>
      </c>
      <c r="K103" s="539">
        <f>SUMIFS('HORAS TRABAJADAS'!N:N,'HORAS TRABAJADAS'!A:A,A103,'HORAS TRABAJADAS'!B:B,"&gt;="&amp;B103,'HORAS TRABAJADAS'!B:B,"&lt;="&amp;C103)</f>
        <v>0</v>
      </c>
      <c r="L103" s="533" t="str">
        <f t="shared" si="4"/>
        <v>0 horas y 0 minutos</v>
      </c>
      <c r="M103" s="534">
        <f>SUMIFS('HORAS TRABAJADAS'!Q:Q,'HORAS TRABAJADAS'!A:A,A103,'HORAS TRABAJADAS'!B:B,"&gt;="&amp;B103,'HORAS TRABAJADAS'!B:B,"&lt;="&amp;C103)</f>
        <v>0</v>
      </c>
      <c r="N103" s="535">
        <f t="shared" si="3"/>
        <v>0</v>
      </c>
    </row>
    <row r="104" spans="1:14">
      <c r="A104" s="569">
        <v>1317424267</v>
      </c>
      <c r="B104" s="570">
        <v>43344</v>
      </c>
      <c r="C104" s="571">
        <v>43373</v>
      </c>
      <c r="D104" s="537">
        <f>SUMIFS('HORAS TRABAJADAS'!G$1:G$65538,'HORAS TRABAJADAS'!A$1:A$65538,A104,'HORAS TRABAJADAS'!B$1:B$65538,"&gt;="&amp;B104,'HORAS TRABAJADAS'!B$1:B$65538,"&lt;="&amp;C104)</f>
        <v>0</v>
      </c>
      <c r="E104" s="538">
        <f>SUMIFS('HORAS TRABAJADAS'!H:H,'HORAS TRABAJADAS'!A:A,A104,'HORAS TRABAJADAS'!B:B,"&gt;="&amp;B104,'HORAS TRABAJADAS'!B:B,"&lt;="&amp;C104)</f>
        <v>0</v>
      </c>
      <c r="F104" s="538">
        <f>SUMIFS('HORAS TRABAJADAS'!I:I,'HORAS TRABAJADAS'!A:A,A104,'HORAS TRABAJADAS'!B:B,"&gt;="&amp;B104,'HORAS TRABAJADAS'!B:B,"&lt;="&amp;C104)</f>
        <v>0</v>
      </c>
      <c r="G104" s="538">
        <f>SUMIFS('HORAS TRABAJADAS'!J:J,'HORAS TRABAJADAS'!A:A,A104,'HORAS TRABAJADAS'!B:B,"&gt;="&amp;B104,'HORAS TRABAJADAS'!B:B,"&lt;="&amp;C104)</f>
        <v>0</v>
      </c>
      <c r="H104" s="538">
        <f>SUMIFS('HORAS TRABAJADAS'!K:K,'HORAS TRABAJADAS'!A:A,A104,'HORAS TRABAJADAS'!B:B,"&gt;="&amp;B104,'HORAS TRABAJADAS'!B:B,"&lt;="&amp;C104)</f>
        <v>0</v>
      </c>
      <c r="I104" s="538">
        <f>SUMIFS('HORAS TRABAJADAS'!L:L,'HORAS TRABAJADAS'!A:A,A104,'HORAS TRABAJADAS'!B:B,"&gt;="&amp;B104,'HORAS TRABAJADAS'!B:B,"&lt;="&amp;C104)</f>
        <v>0</v>
      </c>
      <c r="J104" s="538">
        <f>SUMIFS('HORAS TRABAJADAS'!M:M,'HORAS TRABAJADAS'!A:A,A104,'HORAS TRABAJADAS'!B:B,"&gt;="&amp;B104,'HORAS TRABAJADAS'!B:B,"&lt;="&amp;C104)</f>
        <v>0</v>
      </c>
      <c r="K104" s="539">
        <f>SUMIFS('HORAS TRABAJADAS'!N:N,'HORAS TRABAJADAS'!A:A,A104,'HORAS TRABAJADAS'!B:B,"&gt;="&amp;B104,'HORAS TRABAJADAS'!B:B,"&lt;="&amp;C104)</f>
        <v>0</v>
      </c>
      <c r="L104" s="533" t="str">
        <f t="shared" si="4"/>
        <v>0 horas y 0 minutos</v>
      </c>
      <c r="M104" s="534">
        <f>SUMIFS('HORAS TRABAJADAS'!Q:Q,'HORAS TRABAJADAS'!A:A,A104,'HORAS TRABAJADAS'!B:B,"&gt;="&amp;B104,'HORAS TRABAJADAS'!B:B,"&lt;="&amp;C104)</f>
        <v>0</v>
      </c>
      <c r="N104" s="535">
        <f t="shared" si="3"/>
        <v>0</v>
      </c>
    </row>
    <row r="105" spans="1:14">
      <c r="A105" s="569">
        <v>1315211554</v>
      </c>
      <c r="B105" s="570">
        <v>43344</v>
      </c>
      <c r="C105" s="571">
        <v>43373</v>
      </c>
      <c r="D105" s="537">
        <f>SUMIFS('HORAS TRABAJADAS'!G$1:G$65538,'HORAS TRABAJADAS'!A$1:A$65538,A105,'HORAS TRABAJADAS'!B$1:B$65538,"&gt;="&amp;B105,'HORAS TRABAJADAS'!B$1:B$65538,"&lt;="&amp;C105)</f>
        <v>0</v>
      </c>
      <c r="E105" s="538">
        <f>SUMIFS('HORAS TRABAJADAS'!H:H,'HORAS TRABAJADAS'!A:A,A105,'HORAS TRABAJADAS'!B:B,"&gt;="&amp;B105,'HORAS TRABAJADAS'!B:B,"&lt;="&amp;C105)</f>
        <v>0</v>
      </c>
      <c r="F105" s="538">
        <f>SUMIFS('HORAS TRABAJADAS'!I:I,'HORAS TRABAJADAS'!A:A,A105,'HORAS TRABAJADAS'!B:B,"&gt;="&amp;B105,'HORAS TRABAJADAS'!B:B,"&lt;="&amp;C105)</f>
        <v>0</v>
      </c>
      <c r="G105" s="538">
        <f>SUMIFS('HORAS TRABAJADAS'!J:J,'HORAS TRABAJADAS'!A:A,A105,'HORAS TRABAJADAS'!B:B,"&gt;="&amp;B105,'HORAS TRABAJADAS'!B:B,"&lt;="&amp;C105)</f>
        <v>0</v>
      </c>
      <c r="H105" s="538">
        <f>SUMIFS('HORAS TRABAJADAS'!K:K,'HORAS TRABAJADAS'!A:A,A105,'HORAS TRABAJADAS'!B:B,"&gt;="&amp;B105,'HORAS TRABAJADAS'!B:B,"&lt;="&amp;C105)</f>
        <v>0</v>
      </c>
      <c r="I105" s="538">
        <f>SUMIFS('HORAS TRABAJADAS'!L:L,'HORAS TRABAJADAS'!A:A,A105,'HORAS TRABAJADAS'!B:B,"&gt;="&amp;B105,'HORAS TRABAJADAS'!B:B,"&lt;="&amp;C105)</f>
        <v>0</v>
      </c>
      <c r="J105" s="538">
        <f>SUMIFS('HORAS TRABAJADAS'!M:M,'HORAS TRABAJADAS'!A:A,A105,'HORAS TRABAJADAS'!B:B,"&gt;="&amp;B105,'HORAS TRABAJADAS'!B:B,"&lt;="&amp;C105)</f>
        <v>0</v>
      </c>
      <c r="K105" s="539">
        <f>SUMIFS('HORAS TRABAJADAS'!N:N,'HORAS TRABAJADAS'!A:A,A105,'HORAS TRABAJADAS'!B:B,"&gt;="&amp;B105,'HORAS TRABAJADAS'!B:B,"&lt;="&amp;C105)</f>
        <v>0</v>
      </c>
      <c r="L105" s="533" t="str">
        <f t="shared" si="4"/>
        <v>0 horas y 0 minutos</v>
      </c>
      <c r="M105" s="534">
        <f>SUMIFS('HORAS TRABAJADAS'!Q:Q,'HORAS TRABAJADAS'!A:A,A105,'HORAS TRABAJADAS'!B:B,"&gt;="&amp;B105,'HORAS TRABAJADAS'!B:B,"&lt;="&amp;C105)</f>
        <v>0</v>
      </c>
      <c r="N105" s="535">
        <f t="shared" si="3"/>
        <v>0</v>
      </c>
    </row>
    <row r="106" spans="1:14">
      <c r="A106" s="569">
        <v>1241318672</v>
      </c>
      <c r="B106" s="570">
        <v>43344</v>
      </c>
      <c r="C106" s="571">
        <v>43373</v>
      </c>
      <c r="D106" s="537">
        <f>SUMIFS('HORAS TRABAJADAS'!G$1:G$65538,'HORAS TRABAJADAS'!A$1:A$65538,A106,'HORAS TRABAJADAS'!B$1:B$65538,"&gt;="&amp;B106,'HORAS TRABAJADAS'!B$1:B$65538,"&lt;="&amp;C106)</f>
        <v>0</v>
      </c>
      <c r="E106" s="538">
        <f>SUMIFS('HORAS TRABAJADAS'!H:H,'HORAS TRABAJADAS'!A:A,A106,'HORAS TRABAJADAS'!B:B,"&gt;="&amp;B106,'HORAS TRABAJADAS'!B:B,"&lt;="&amp;C106)</f>
        <v>0</v>
      </c>
      <c r="F106" s="538">
        <f>SUMIFS('HORAS TRABAJADAS'!I:I,'HORAS TRABAJADAS'!A:A,A106,'HORAS TRABAJADAS'!B:B,"&gt;="&amp;B106,'HORAS TRABAJADAS'!B:B,"&lt;="&amp;C106)</f>
        <v>0</v>
      </c>
      <c r="G106" s="538">
        <f>SUMIFS('HORAS TRABAJADAS'!J:J,'HORAS TRABAJADAS'!A:A,A106,'HORAS TRABAJADAS'!B:B,"&gt;="&amp;B106,'HORAS TRABAJADAS'!B:B,"&lt;="&amp;C106)</f>
        <v>0</v>
      </c>
      <c r="H106" s="538">
        <f>SUMIFS('HORAS TRABAJADAS'!K:K,'HORAS TRABAJADAS'!A:A,A106,'HORAS TRABAJADAS'!B:B,"&gt;="&amp;B106,'HORAS TRABAJADAS'!B:B,"&lt;="&amp;C106)</f>
        <v>0</v>
      </c>
      <c r="I106" s="538">
        <f>SUMIFS('HORAS TRABAJADAS'!L:L,'HORAS TRABAJADAS'!A:A,A106,'HORAS TRABAJADAS'!B:B,"&gt;="&amp;B106,'HORAS TRABAJADAS'!B:B,"&lt;="&amp;C106)</f>
        <v>0</v>
      </c>
      <c r="J106" s="538">
        <f>SUMIFS('HORAS TRABAJADAS'!M:M,'HORAS TRABAJADAS'!A:A,A106,'HORAS TRABAJADAS'!B:B,"&gt;="&amp;B106,'HORAS TRABAJADAS'!B:B,"&lt;="&amp;C106)</f>
        <v>0</v>
      </c>
      <c r="K106" s="539">
        <f>SUMIFS('HORAS TRABAJADAS'!N:N,'HORAS TRABAJADAS'!A:A,A106,'HORAS TRABAJADAS'!B:B,"&gt;="&amp;B106,'HORAS TRABAJADAS'!B:B,"&lt;="&amp;C106)</f>
        <v>0</v>
      </c>
      <c r="L106" s="533" t="str">
        <f t="shared" si="4"/>
        <v>0 horas y 0 minutos</v>
      </c>
      <c r="M106" s="534">
        <f>SUMIFS('HORAS TRABAJADAS'!Q:Q,'HORAS TRABAJADAS'!A:A,A106,'HORAS TRABAJADAS'!B:B,"&gt;="&amp;B106,'HORAS TRABAJADAS'!B:B,"&lt;="&amp;C106)</f>
        <v>0</v>
      </c>
      <c r="N106" s="535">
        <f t="shared" si="3"/>
        <v>0</v>
      </c>
    </row>
    <row r="107" spans="1:14">
      <c r="A107" s="569">
        <v>1324063080</v>
      </c>
      <c r="B107" s="570">
        <v>43344</v>
      </c>
      <c r="C107" s="571">
        <v>43373</v>
      </c>
      <c r="D107" s="537">
        <f>SUMIFS('HORAS TRABAJADAS'!G$1:G$65538,'HORAS TRABAJADAS'!A$1:A$65538,A107,'HORAS TRABAJADAS'!B$1:B$65538,"&gt;="&amp;B107,'HORAS TRABAJADAS'!B$1:B$65538,"&lt;="&amp;C107)</f>
        <v>0</v>
      </c>
      <c r="E107" s="538">
        <f>SUMIFS('HORAS TRABAJADAS'!H:H,'HORAS TRABAJADAS'!A:A,A107,'HORAS TRABAJADAS'!B:B,"&gt;="&amp;B107,'HORAS TRABAJADAS'!B:B,"&lt;="&amp;C107)</f>
        <v>0</v>
      </c>
      <c r="F107" s="538">
        <f>SUMIFS('HORAS TRABAJADAS'!I:I,'HORAS TRABAJADAS'!A:A,A107,'HORAS TRABAJADAS'!B:B,"&gt;="&amp;B107,'HORAS TRABAJADAS'!B:B,"&lt;="&amp;C107)</f>
        <v>0</v>
      </c>
      <c r="G107" s="538">
        <f>SUMIFS('HORAS TRABAJADAS'!J:J,'HORAS TRABAJADAS'!A:A,A107,'HORAS TRABAJADAS'!B:B,"&gt;="&amp;B107,'HORAS TRABAJADAS'!B:B,"&lt;="&amp;C107)</f>
        <v>0</v>
      </c>
      <c r="H107" s="538">
        <f>SUMIFS('HORAS TRABAJADAS'!K:K,'HORAS TRABAJADAS'!A:A,A107,'HORAS TRABAJADAS'!B:B,"&gt;="&amp;B107,'HORAS TRABAJADAS'!B:B,"&lt;="&amp;C107)</f>
        <v>0</v>
      </c>
      <c r="I107" s="538">
        <f>SUMIFS('HORAS TRABAJADAS'!L:L,'HORAS TRABAJADAS'!A:A,A107,'HORAS TRABAJADAS'!B:B,"&gt;="&amp;B107,'HORAS TRABAJADAS'!B:B,"&lt;="&amp;C107)</f>
        <v>0</v>
      </c>
      <c r="J107" s="538">
        <f>SUMIFS('HORAS TRABAJADAS'!M:M,'HORAS TRABAJADAS'!A:A,A107,'HORAS TRABAJADAS'!B:B,"&gt;="&amp;B107,'HORAS TRABAJADAS'!B:B,"&lt;="&amp;C107)</f>
        <v>0</v>
      </c>
      <c r="K107" s="539">
        <f>SUMIFS('HORAS TRABAJADAS'!N:N,'HORAS TRABAJADAS'!A:A,A107,'HORAS TRABAJADAS'!B:B,"&gt;="&amp;B107,'HORAS TRABAJADAS'!B:B,"&lt;="&amp;C107)</f>
        <v>0</v>
      </c>
      <c r="L107" s="533" t="str">
        <f t="shared" si="4"/>
        <v>0 horas y 0 minutos</v>
      </c>
      <c r="M107" s="534">
        <f>SUMIFS('HORAS TRABAJADAS'!Q:Q,'HORAS TRABAJADAS'!A:A,A107,'HORAS TRABAJADAS'!B:B,"&gt;="&amp;B107,'HORAS TRABAJADAS'!B:B,"&lt;="&amp;C107)</f>
        <v>0</v>
      </c>
      <c r="N107" s="535">
        <f t="shared" si="3"/>
        <v>0</v>
      </c>
    </row>
    <row r="108" spans="1:14">
      <c r="A108" s="569">
        <v>1259425899</v>
      </c>
      <c r="B108" s="570">
        <v>43344</v>
      </c>
      <c r="C108" s="571">
        <v>43373</v>
      </c>
      <c r="D108" s="537">
        <f>SUMIFS('HORAS TRABAJADAS'!G$1:G$65538,'HORAS TRABAJADAS'!A$1:A$65538,A108,'HORAS TRABAJADAS'!B$1:B$65538,"&gt;="&amp;B108,'HORAS TRABAJADAS'!B$1:B$65538,"&lt;="&amp;C108)</f>
        <v>0</v>
      </c>
      <c r="E108" s="538">
        <f>SUMIFS('HORAS TRABAJADAS'!H:H,'HORAS TRABAJADAS'!A:A,A108,'HORAS TRABAJADAS'!B:B,"&gt;="&amp;B108,'HORAS TRABAJADAS'!B:B,"&lt;="&amp;C108)</f>
        <v>0</v>
      </c>
      <c r="F108" s="538">
        <f>SUMIFS('HORAS TRABAJADAS'!I:I,'HORAS TRABAJADAS'!A:A,A108,'HORAS TRABAJADAS'!B:B,"&gt;="&amp;B108,'HORAS TRABAJADAS'!B:B,"&lt;="&amp;C108)</f>
        <v>0</v>
      </c>
      <c r="G108" s="538">
        <f>SUMIFS('HORAS TRABAJADAS'!J:J,'HORAS TRABAJADAS'!A:A,A108,'HORAS TRABAJADAS'!B:B,"&gt;="&amp;B108,'HORAS TRABAJADAS'!B:B,"&lt;="&amp;C108)</f>
        <v>0</v>
      </c>
      <c r="H108" s="538">
        <f>SUMIFS('HORAS TRABAJADAS'!K:K,'HORAS TRABAJADAS'!A:A,A108,'HORAS TRABAJADAS'!B:B,"&gt;="&amp;B108,'HORAS TRABAJADAS'!B:B,"&lt;="&amp;C108)</f>
        <v>0</v>
      </c>
      <c r="I108" s="538">
        <f>SUMIFS('HORAS TRABAJADAS'!L:L,'HORAS TRABAJADAS'!A:A,A108,'HORAS TRABAJADAS'!B:B,"&gt;="&amp;B108,'HORAS TRABAJADAS'!B:B,"&lt;="&amp;C108)</f>
        <v>0</v>
      </c>
      <c r="J108" s="538">
        <f>SUMIFS('HORAS TRABAJADAS'!M:M,'HORAS TRABAJADAS'!A:A,A108,'HORAS TRABAJADAS'!B:B,"&gt;="&amp;B108,'HORAS TRABAJADAS'!B:B,"&lt;="&amp;C108)</f>
        <v>0</v>
      </c>
      <c r="K108" s="539">
        <f>SUMIFS('HORAS TRABAJADAS'!N:N,'HORAS TRABAJADAS'!A:A,A108,'HORAS TRABAJADAS'!B:B,"&gt;="&amp;B108,'HORAS TRABAJADAS'!B:B,"&lt;="&amp;C108)</f>
        <v>0</v>
      </c>
      <c r="L108" s="533" t="str">
        <f t="shared" si="4"/>
        <v>0 horas y 0 minutos</v>
      </c>
      <c r="M108" s="534">
        <f>SUMIFS('HORAS TRABAJADAS'!Q:Q,'HORAS TRABAJADAS'!A:A,A108,'HORAS TRABAJADAS'!B:B,"&gt;="&amp;B108,'HORAS TRABAJADAS'!B:B,"&lt;="&amp;C108)</f>
        <v>0</v>
      </c>
      <c r="N108" s="535">
        <f t="shared" si="3"/>
        <v>0</v>
      </c>
    </row>
    <row r="109" spans="1:14">
      <c r="A109" s="550"/>
      <c r="B109" s="551"/>
      <c r="C109" s="556"/>
      <c r="D109" s="537">
        <f>SUMIFS('HORAS TRABAJADAS'!G$1:G$65538,'HORAS TRABAJADAS'!A$1:A$65538,A109,'HORAS TRABAJADAS'!B$1:B$65538,"&gt;="&amp;B109,'HORAS TRABAJADAS'!B$1:B$65538,"&lt;="&amp;C109)</f>
        <v>0</v>
      </c>
      <c r="E109" s="538">
        <f>SUMIFS('HORAS TRABAJADAS'!H:H,'HORAS TRABAJADAS'!A:A,A109,'HORAS TRABAJADAS'!B:B,"&gt;="&amp;B109,'HORAS TRABAJADAS'!B:B,"&lt;="&amp;C109)</f>
        <v>0</v>
      </c>
      <c r="F109" s="538">
        <f>SUMIFS('HORAS TRABAJADAS'!I:I,'HORAS TRABAJADAS'!A:A,A109,'HORAS TRABAJADAS'!B:B,"&gt;="&amp;B109,'HORAS TRABAJADAS'!B:B,"&lt;="&amp;C109)</f>
        <v>0</v>
      </c>
      <c r="G109" s="538">
        <f>SUMIFS('HORAS TRABAJADAS'!J:J,'HORAS TRABAJADAS'!A:A,A109,'HORAS TRABAJADAS'!B:B,"&gt;="&amp;B109,'HORAS TRABAJADAS'!B:B,"&lt;="&amp;C109)</f>
        <v>0</v>
      </c>
      <c r="H109" s="538">
        <f>SUMIFS('HORAS TRABAJADAS'!K:K,'HORAS TRABAJADAS'!A:A,A109,'HORAS TRABAJADAS'!B:B,"&gt;="&amp;B109,'HORAS TRABAJADAS'!B:B,"&lt;="&amp;C109)</f>
        <v>0</v>
      </c>
      <c r="I109" s="538">
        <f>SUMIFS('HORAS TRABAJADAS'!L:L,'HORAS TRABAJADAS'!A:A,A109,'HORAS TRABAJADAS'!B:B,"&gt;="&amp;B109,'HORAS TRABAJADAS'!B:B,"&lt;="&amp;C109)</f>
        <v>0</v>
      </c>
      <c r="J109" s="538">
        <f>SUMIFS('HORAS TRABAJADAS'!M:M,'HORAS TRABAJADAS'!A:A,A109,'HORAS TRABAJADAS'!B:B,"&gt;="&amp;B109,'HORAS TRABAJADAS'!B:B,"&lt;="&amp;C109)</f>
        <v>0</v>
      </c>
      <c r="K109" s="539">
        <f>SUMIFS('HORAS TRABAJADAS'!N:N,'HORAS TRABAJADAS'!A:A,A109,'HORAS TRABAJADAS'!B:B,"&gt;="&amp;B109,'HORAS TRABAJADAS'!B:B,"&lt;="&amp;C109)</f>
        <v>0</v>
      </c>
      <c r="L109" s="533" t="str">
        <f t="shared" si="4"/>
        <v>0 horas y 0 minutos</v>
      </c>
      <c r="M109" s="534">
        <f>SUMIFS('HORAS TRABAJADAS'!Q:Q,'HORAS TRABAJADAS'!A:A,A109,'HORAS TRABAJADAS'!B:B,"&gt;="&amp;B109,'HORAS TRABAJADAS'!B:B,"&lt;="&amp;C109)</f>
        <v>0</v>
      </c>
      <c r="N109" s="535">
        <f t="shared" si="3"/>
        <v>0</v>
      </c>
    </row>
    <row r="110" spans="1:14">
      <c r="A110" s="572">
        <v>1321648522</v>
      </c>
      <c r="B110" s="573">
        <v>43374</v>
      </c>
      <c r="C110" s="574">
        <v>43404</v>
      </c>
      <c r="D110" s="537">
        <f>SUMIFS('HORAS TRABAJADAS'!G$1:G$65538,'HORAS TRABAJADAS'!A$1:A$65538,A110,'HORAS TRABAJADAS'!B$1:B$65538,"&gt;="&amp;B110,'HORAS TRABAJADAS'!B$1:B$65538,"&lt;="&amp;C110)</f>
        <v>0</v>
      </c>
      <c r="E110" s="538">
        <f>SUMIFS('HORAS TRABAJADAS'!H:H,'HORAS TRABAJADAS'!A:A,A110,'HORAS TRABAJADAS'!B:B,"&gt;="&amp;B110,'HORAS TRABAJADAS'!B:B,"&lt;="&amp;C110)</f>
        <v>0</v>
      </c>
      <c r="F110" s="538">
        <f>SUMIFS('HORAS TRABAJADAS'!I:I,'HORAS TRABAJADAS'!A:A,A110,'HORAS TRABAJADAS'!B:B,"&gt;="&amp;B110,'HORAS TRABAJADAS'!B:B,"&lt;="&amp;C110)</f>
        <v>0</v>
      </c>
      <c r="G110" s="538">
        <f>SUMIFS('HORAS TRABAJADAS'!J:J,'HORAS TRABAJADAS'!A:A,A110,'HORAS TRABAJADAS'!B:B,"&gt;="&amp;B110,'HORAS TRABAJADAS'!B:B,"&lt;="&amp;C110)</f>
        <v>0</v>
      </c>
      <c r="H110" s="538">
        <f>SUMIFS('HORAS TRABAJADAS'!K:K,'HORAS TRABAJADAS'!A:A,A110,'HORAS TRABAJADAS'!B:B,"&gt;="&amp;B110,'HORAS TRABAJADAS'!B:B,"&lt;="&amp;C110)</f>
        <v>0</v>
      </c>
      <c r="I110" s="538">
        <f>SUMIFS('HORAS TRABAJADAS'!L:L,'HORAS TRABAJADAS'!A:A,A110,'HORAS TRABAJADAS'!B:B,"&gt;="&amp;B110,'HORAS TRABAJADAS'!B:B,"&lt;="&amp;C110)</f>
        <v>0</v>
      </c>
      <c r="J110" s="538">
        <f>SUMIFS('HORAS TRABAJADAS'!M:M,'HORAS TRABAJADAS'!A:A,A110,'HORAS TRABAJADAS'!B:B,"&gt;="&amp;B110,'HORAS TRABAJADAS'!B:B,"&lt;="&amp;C110)</f>
        <v>0</v>
      </c>
      <c r="K110" s="539">
        <f>SUMIFS('HORAS TRABAJADAS'!N:N,'HORAS TRABAJADAS'!A:A,A110,'HORAS TRABAJADAS'!B:B,"&gt;="&amp;B110,'HORAS TRABAJADAS'!B:B,"&lt;="&amp;C110)</f>
        <v>0</v>
      </c>
      <c r="L110" s="533" t="str">
        <f t="shared" si="4"/>
        <v>0 horas y 0 minutos</v>
      </c>
      <c r="M110" s="534">
        <f>SUMIFS('HORAS TRABAJADAS'!Q:Q,'HORAS TRABAJADAS'!A:A,A110,'HORAS TRABAJADAS'!B:B,"&gt;="&amp;B110,'HORAS TRABAJADAS'!B:B,"&lt;="&amp;C110)</f>
        <v>0</v>
      </c>
      <c r="N110" s="535">
        <f t="shared" si="3"/>
        <v>0</v>
      </c>
    </row>
    <row r="111" spans="1:14">
      <c r="A111" s="572">
        <v>1323384207</v>
      </c>
      <c r="B111" s="573">
        <v>43374</v>
      </c>
      <c r="C111" s="574">
        <v>43404</v>
      </c>
      <c r="D111" s="537">
        <f>SUMIFS('HORAS TRABAJADAS'!G$1:G$65538,'HORAS TRABAJADAS'!A$1:A$65538,A111,'HORAS TRABAJADAS'!B$1:B$65538,"&gt;="&amp;B111,'HORAS TRABAJADAS'!B$1:B$65538,"&lt;="&amp;C111)</f>
        <v>0</v>
      </c>
      <c r="E111" s="538">
        <f>SUMIFS('HORAS TRABAJADAS'!H:H,'HORAS TRABAJADAS'!A:A,A111,'HORAS TRABAJADAS'!B:B,"&gt;="&amp;B111,'HORAS TRABAJADAS'!B:B,"&lt;="&amp;C111)</f>
        <v>0</v>
      </c>
      <c r="F111" s="538">
        <f>SUMIFS('HORAS TRABAJADAS'!I:I,'HORAS TRABAJADAS'!A:A,A111,'HORAS TRABAJADAS'!B:B,"&gt;="&amp;B111,'HORAS TRABAJADAS'!B:B,"&lt;="&amp;C111)</f>
        <v>0</v>
      </c>
      <c r="G111" s="538">
        <f>SUMIFS('HORAS TRABAJADAS'!J:J,'HORAS TRABAJADAS'!A:A,A111,'HORAS TRABAJADAS'!B:B,"&gt;="&amp;B111,'HORAS TRABAJADAS'!B:B,"&lt;="&amp;C111)</f>
        <v>0</v>
      </c>
      <c r="H111" s="538">
        <f>SUMIFS('HORAS TRABAJADAS'!K:K,'HORAS TRABAJADAS'!A:A,A111,'HORAS TRABAJADAS'!B:B,"&gt;="&amp;B111,'HORAS TRABAJADAS'!B:B,"&lt;="&amp;C111)</f>
        <v>0</v>
      </c>
      <c r="I111" s="538">
        <f>SUMIFS('HORAS TRABAJADAS'!L:L,'HORAS TRABAJADAS'!A:A,A111,'HORAS TRABAJADAS'!B:B,"&gt;="&amp;B111,'HORAS TRABAJADAS'!B:B,"&lt;="&amp;C111)</f>
        <v>0</v>
      </c>
      <c r="J111" s="538">
        <f>SUMIFS('HORAS TRABAJADAS'!M:M,'HORAS TRABAJADAS'!A:A,A111,'HORAS TRABAJADAS'!B:B,"&gt;="&amp;B111,'HORAS TRABAJADAS'!B:B,"&lt;="&amp;C111)</f>
        <v>0</v>
      </c>
      <c r="K111" s="539">
        <f>SUMIFS('HORAS TRABAJADAS'!N:N,'HORAS TRABAJADAS'!A:A,A111,'HORAS TRABAJADAS'!B:B,"&gt;="&amp;B111,'HORAS TRABAJADAS'!B:B,"&lt;="&amp;C111)</f>
        <v>0</v>
      </c>
      <c r="L111" s="533" t="str">
        <f t="shared" si="4"/>
        <v>0 horas y 0 minutos</v>
      </c>
      <c r="M111" s="534">
        <f>SUMIFS('HORAS TRABAJADAS'!Q:Q,'HORAS TRABAJADAS'!A:A,A111,'HORAS TRABAJADAS'!B:B,"&gt;="&amp;B111,'HORAS TRABAJADAS'!B:B,"&lt;="&amp;C111)</f>
        <v>0</v>
      </c>
      <c r="N111" s="535">
        <f t="shared" si="3"/>
        <v>0</v>
      </c>
    </row>
    <row r="112" spans="1:14">
      <c r="A112" s="572">
        <v>1237462775</v>
      </c>
      <c r="B112" s="573">
        <v>43374</v>
      </c>
      <c r="C112" s="574">
        <v>43404</v>
      </c>
      <c r="D112" s="537">
        <f>SUMIFS('HORAS TRABAJADAS'!G$1:G$65538,'HORAS TRABAJADAS'!A$1:A$65538,A112,'HORAS TRABAJADAS'!B$1:B$65538,"&gt;="&amp;B112,'HORAS TRABAJADAS'!B$1:B$65538,"&lt;="&amp;C112)</f>
        <v>3</v>
      </c>
      <c r="E112" s="538">
        <f>SUMIFS('HORAS TRABAJADAS'!H:H,'HORAS TRABAJADAS'!A:A,A112,'HORAS TRABAJADAS'!B:B,"&gt;="&amp;B112,'HORAS TRABAJADAS'!B:B,"&lt;="&amp;C112)</f>
        <v>3</v>
      </c>
      <c r="F112" s="538">
        <f>SUMIFS('HORAS TRABAJADAS'!I:I,'HORAS TRABAJADAS'!A:A,A112,'HORAS TRABAJADAS'!B:B,"&gt;="&amp;B112,'HORAS TRABAJADAS'!B:B,"&lt;="&amp;C112)</f>
        <v>0</v>
      </c>
      <c r="G112" s="538">
        <f>SUMIFS('HORAS TRABAJADAS'!J:J,'HORAS TRABAJADAS'!A:A,A112,'HORAS TRABAJADAS'!B:B,"&gt;="&amp;B112,'HORAS TRABAJADAS'!B:B,"&lt;="&amp;C112)</f>
        <v>0</v>
      </c>
      <c r="H112" s="538">
        <f>SUMIFS('HORAS TRABAJADAS'!K:K,'HORAS TRABAJADAS'!A:A,A112,'HORAS TRABAJADAS'!B:B,"&gt;="&amp;B112,'HORAS TRABAJADAS'!B:B,"&lt;="&amp;C112)</f>
        <v>0</v>
      </c>
      <c r="I112" s="538">
        <f>SUMIFS('HORAS TRABAJADAS'!L:L,'HORAS TRABAJADAS'!A:A,A112,'HORAS TRABAJADAS'!B:B,"&gt;="&amp;B112,'HORAS TRABAJADAS'!B:B,"&lt;="&amp;C112)</f>
        <v>0</v>
      </c>
      <c r="J112" s="538">
        <f>SUMIFS('HORAS TRABAJADAS'!M:M,'HORAS TRABAJADAS'!A:A,A112,'HORAS TRABAJADAS'!B:B,"&gt;="&amp;B112,'HORAS TRABAJADAS'!B:B,"&lt;="&amp;C112)</f>
        <v>0</v>
      </c>
      <c r="K112" s="539">
        <f>SUMIFS('HORAS TRABAJADAS'!N:N,'HORAS TRABAJADAS'!A:A,A112,'HORAS TRABAJADAS'!B:B,"&gt;="&amp;B112,'HORAS TRABAJADAS'!B:B,"&lt;="&amp;C112)</f>
        <v>0</v>
      </c>
      <c r="L112" s="533" t="str">
        <f t="shared" si="4"/>
        <v>5 horas y 20 minutos</v>
      </c>
      <c r="M112" s="534">
        <f>SUMIFS('HORAS TRABAJADAS'!Q:Q,'HORAS TRABAJADAS'!A:A,A112,'HORAS TRABAJADAS'!B:B,"&gt;="&amp;B112,'HORAS TRABAJADAS'!B:B,"&lt;="&amp;C112)</f>
        <v>320</v>
      </c>
      <c r="N112" s="535">
        <f t="shared" si="3"/>
        <v>0</v>
      </c>
    </row>
    <row r="113" spans="1:14">
      <c r="A113" s="572">
        <v>1285748000</v>
      </c>
      <c r="B113" s="573">
        <v>43374</v>
      </c>
      <c r="C113" s="574">
        <v>43404</v>
      </c>
      <c r="D113" s="537">
        <f>SUMIFS('HORAS TRABAJADAS'!G$1:G$65538,'HORAS TRABAJADAS'!A$1:A$65538,A113,'HORAS TRABAJADAS'!B$1:B$65538,"&gt;="&amp;B113,'HORAS TRABAJADAS'!B$1:B$65538,"&lt;="&amp;C113)</f>
        <v>0</v>
      </c>
      <c r="E113" s="538">
        <f>SUMIFS('HORAS TRABAJADAS'!H:H,'HORAS TRABAJADAS'!A:A,A113,'HORAS TRABAJADAS'!B:B,"&gt;="&amp;B113,'HORAS TRABAJADAS'!B:B,"&lt;="&amp;C113)</f>
        <v>0</v>
      </c>
      <c r="F113" s="538">
        <f>SUMIFS('HORAS TRABAJADAS'!I:I,'HORAS TRABAJADAS'!A:A,A113,'HORAS TRABAJADAS'!B:B,"&gt;="&amp;B113,'HORAS TRABAJADAS'!B:B,"&lt;="&amp;C113)</f>
        <v>0</v>
      </c>
      <c r="G113" s="538">
        <f>SUMIFS('HORAS TRABAJADAS'!J:J,'HORAS TRABAJADAS'!A:A,A113,'HORAS TRABAJADAS'!B:B,"&gt;="&amp;B113,'HORAS TRABAJADAS'!B:B,"&lt;="&amp;C113)</f>
        <v>0</v>
      </c>
      <c r="H113" s="538">
        <f>SUMIFS('HORAS TRABAJADAS'!K:K,'HORAS TRABAJADAS'!A:A,A113,'HORAS TRABAJADAS'!B:B,"&gt;="&amp;B113,'HORAS TRABAJADAS'!B:B,"&lt;="&amp;C113)</f>
        <v>0</v>
      </c>
      <c r="I113" s="538">
        <f>SUMIFS('HORAS TRABAJADAS'!L:L,'HORAS TRABAJADAS'!A:A,A113,'HORAS TRABAJADAS'!B:B,"&gt;="&amp;B113,'HORAS TRABAJADAS'!B:B,"&lt;="&amp;C113)</f>
        <v>0</v>
      </c>
      <c r="J113" s="538">
        <f>SUMIFS('HORAS TRABAJADAS'!M:M,'HORAS TRABAJADAS'!A:A,A113,'HORAS TRABAJADAS'!B:B,"&gt;="&amp;B113,'HORAS TRABAJADAS'!B:B,"&lt;="&amp;C113)</f>
        <v>0</v>
      </c>
      <c r="K113" s="539">
        <f>SUMIFS('HORAS TRABAJADAS'!N:N,'HORAS TRABAJADAS'!A:A,A113,'HORAS TRABAJADAS'!B:B,"&gt;="&amp;B113,'HORAS TRABAJADAS'!B:B,"&lt;="&amp;C113)</f>
        <v>0</v>
      </c>
      <c r="L113" s="533" t="str">
        <f t="shared" si="4"/>
        <v>0 horas y 0 minutos</v>
      </c>
      <c r="M113" s="534">
        <f>SUMIFS('HORAS TRABAJADAS'!Q:Q,'HORAS TRABAJADAS'!A:A,A113,'HORAS TRABAJADAS'!B:B,"&gt;="&amp;B113,'HORAS TRABAJADAS'!B:B,"&lt;="&amp;C113)</f>
        <v>0</v>
      </c>
      <c r="N113" s="535">
        <f t="shared" si="3"/>
        <v>0</v>
      </c>
    </row>
    <row r="114" spans="1:14">
      <c r="A114" s="572">
        <v>1247550875</v>
      </c>
      <c r="B114" s="573">
        <v>43374</v>
      </c>
      <c r="C114" s="574">
        <v>43404</v>
      </c>
      <c r="D114" s="537">
        <f>SUMIFS('HORAS TRABAJADAS'!G$1:G$65538,'HORAS TRABAJADAS'!A$1:A$65538,A114,'HORAS TRABAJADAS'!B$1:B$65538,"&gt;="&amp;B114,'HORAS TRABAJADAS'!B$1:B$65538,"&lt;="&amp;C114)</f>
        <v>0</v>
      </c>
      <c r="E114" s="538">
        <f>SUMIFS('HORAS TRABAJADAS'!H:H,'HORAS TRABAJADAS'!A:A,A114,'HORAS TRABAJADAS'!B:B,"&gt;="&amp;B114,'HORAS TRABAJADAS'!B:B,"&lt;="&amp;C114)</f>
        <v>0</v>
      </c>
      <c r="F114" s="538">
        <f>SUMIFS('HORAS TRABAJADAS'!I:I,'HORAS TRABAJADAS'!A:A,A114,'HORAS TRABAJADAS'!B:B,"&gt;="&amp;B114,'HORAS TRABAJADAS'!B:B,"&lt;="&amp;C114)</f>
        <v>0</v>
      </c>
      <c r="G114" s="538">
        <f>SUMIFS('HORAS TRABAJADAS'!J:J,'HORAS TRABAJADAS'!A:A,A114,'HORAS TRABAJADAS'!B:B,"&gt;="&amp;B114,'HORAS TRABAJADAS'!B:B,"&lt;="&amp;C114)</f>
        <v>0</v>
      </c>
      <c r="H114" s="538">
        <f>SUMIFS('HORAS TRABAJADAS'!K:K,'HORAS TRABAJADAS'!A:A,A114,'HORAS TRABAJADAS'!B:B,"&gt;="&amp;B114,'HORAS TRABAJADAS'!B:B,"&lt;="&amp;C114)</f>
        <v>0</v>
      </c>
      <c r="I114" s="538">
        <f>SUMIFS('HORAS TRABAJADAS'!L:L,'HORAS TRABAJADAS'!A:A,A114,'HORAS TRABAJADAS'!B:B,"&gt;="&amp;B114,'HORAS TRABAJADAS'!B:B,"&lt;="&amp;C114)</f>
        <v>0</v>
      </c>
      <c r="J114" s="538">
        <f>SUMIFS('HORAS TRABAJADAS'!M:M,'HORAS TRABAJADAS'!A:A,A114,'HORAS TRABAJADAS'!B:B,"&gt;="&amp;B114,'HORAS TRABAJADAS'!B:B,"&lt;="&amp;C114)</f>
        <v>0</v>
      </c>
      <c r="K114" s="539">
        <f>SUMIFS('HORAS TRABAJADAS'!N:N,'HORAS TRABAJADAS'!A:A,A114,'HORAS TRABAJADAS'!B:B,"&gt;="&amp;B114,'HORAS TRABAJADAS'!B:B,"&lt;="&amp;C114)</f>
        <v>0</v>
      </c>
      <c r="L114" s="533" t="str">
        <f t="shared" si="4"/>
        <v>0 horas y 0 minutos</v>
      </c>
      <c r="M114" s="534">
        <f>SUMIFS('HORAS TRABAJADAS'!Q:Q,'HORAS TRABAJADAS'!A:A,A114,'HORAS TRABAJADAS'!B:B,"&gt;="&amp;B114,'HORAS TRABAJADAS'!B:B,"&lt;="&amp;C114)</f>
        <v>0</v>
      </c>
      <c r="N114" s="535">
        <f t="shared" si="3"/>
        <v>0</v>
      </c>
    </row>
    <row r="115" spans="1:14">
      <c r="A115" s="572">
        <v>1311966071</v>
      </c>
      <c r="B115" s="573">
        <v>43374</v>
      </c>
      <c r="C115" s="574">
        <v>43404</v>
      </c>
      <c r="D115" s="537">
        <f>SUMIFS('HORAS TRABAJADAS'!G$1:G$65538,'HORAS TRABAJADAS'!A$1:A$65538,A115,'HORAS TRABAJADAS'!B$1:B$65538,"&gt;="&amp;B115,'HORAS TRABAJADAS'!B$1:B$65538,"&lt;="&amp;C115)</f>
        <v>0</v>
      </c>
      <c r="E115" s="538">
        <f>SUMIFS('HORAS TRABAJADAS'!H:H,'HORAS TRABAJADAS'!A:A,A115,'HORAS TRABAJADAS'!B:B,"&gt;="&amp;B115,'HORAS TRABAJADAS'!B:B,"&lt;="&amp;C115)</f>
        <v>0</v>
      </c>
      <c r="F115" s="538">
        <f>SUMIFS('HORAS TRABAJADAS'!I:I,'HORAS TRABAJADAS'!A:A,A115,'HORAS TRABAJADAS'!B:B,"&gt;="&amp;B115,'HORAS TRABAJADAS'!B:B,"&lt;="&amp;C115)</f>
        <v>0</v>
      </c>
      <c r="G115" s="538">
        <f>SUMIFS('HORAS TRABAJADAS'!J:J,'HORAS TRABAJADAS'!A:A,A115,'HORAS TRABAJADAS'!B:B,"&gt;="&amp;B115,'HORAS TRABAJADAS'!B:B,"&lt;="&amp;C115)</f>
        <v>0</v>
      </c>
      <c r="H115" s="538">
        <f>SUMIFS('HORAS TRABAJADAS'!K:K,'HORAS TRABAJADAS'!A:A,A115,'HORAS TRABAJADAS'!B:B,"&gt;="&amp;B115,'HORAS TRABAJADAS'!B:B,"&lt;="&amp;C115)</f>
        <v>0</v>
      </c>
      <c r="I115" s="538">
        <f>SUMIFS('HORAS TRABAJADAS'!L:L,'HORAS TRABAJADAS'!A:A,A115,'HORAS TRABAJADAS'!B:B,"&gt;="&amp;B115,'HORAS TRABAJADAS'!B:B,"&lt;="&amp;C115)</f>
        <v>0</v>
      </c>
      <c r="J115" s="538">
        <f>SUMIFS('HORAS TRABAJADAS'!M:M,'HORAS TRABAJADAS'!A:A,A115,'HORAS TRABAJADAS'!B:B,"&gt;="&amp;B115,'HORAS TRABAJADAS'!B:B,"&lt;="&amp;C115)</f>
        <v>0</v>
      </c>
      <c r="K115" s="539">
        <f>SUMIFS('HORAS TRABAJADAS'!N:N,'HORAS TRABAJADAS'!A:A,A115,'HORAS TRABAJADAS'!B:B,"&gt;="&amp;B115,'HORAS TRABAJADAS'!B:B,"&lt;="&amp;C115)</f>
        <v>0</v>
      </c>
      <c r="L115" s="533" t="str">
        <f t="shared" si="4"/>
        <v>0 horas y 0 minutos</v>
      </c>
      <c r="M115" s="534">
        <f>SUMIFS('HORAS TRABAJADAS'!Q:Q,'HORAS TRABAJADAS'!A:A,A115,'HORAS TRABAJADAS'!B:B,"&gt;="&amp;B115,'HORAS TRABAJADAS'!B:B,"&lt;="&amp;C115)</f>
        <v>0</v>
      </c>
      <c r="N115" s="535">
        <f t="shared" si="3"/>
        <v>0</v>
      </c>
    </row>
    <row r="116" spans="1:14">
      <c r="A116" s="572">
        <v>1317424267</v>
      </c>
      <c r="B116" s="573">
        <v>43374</v>
      </c>
      <c r="C116" s="574">
        <v>43404</v>
      </c>
      <c r="D116" s="537">
        <f>SUMIFS('HORAS TRABAJADAS'!G$1:G$65538,'HORAS TRABAJADAS'!A$1:A$65538,A116,'HORAS TRABAJADAS'!B$1:B$65538,"&gt;="&amp;B116,'HORAS TRABAJADAS'!B$1:B$65538,"&lt;="&amp;C116)</f>
        <v>0</v>
      </c>
      <c r="E116" s="538">
        <f>SUMIFS('HORAS TRABAJADAS'!H:H,'HORAS TRABAJADAS'!A:A,A116,'HORAS TRABAJADAS'!B:B,"&gt;="&amp;B116,'HORAS TRABAJADAS'!B:B,"&lt;="&amp;C116)</f>
        <v>0</v>
      </c>
      <c r="F116" s="538">
        <f>SUMIFS('HORAS TRABAJADAS'!I:I,'HORAS TRABAJADAS'!A:A,A116,'HORAS TRABAJADAS'!B:B,"&gt;="&amp;B116,'HORAS TRABAJADAS'!B:B,"&lt;="&amp;C116)</f>
        <v>0</v>
      </c>
      <c r="G116" s="538">
        <f>SUMIFS('HORAS TRABAJADAS'!J:J,'HORAS TRABAJADAS'!A:A,A116,'HORAS TRABAJADAS'!B:B,"&gt;="&amp;B116,'HORAS TRABAJADAS'!B:B,"&lt;="&amp;C116)</f>
        <v>0</v>
      </c>
      <c r="H116" s="538">
        <f>SUMIFS('HORAS TRABAJADAS'!K:K,'HORAS TRABAJADAS'!A:A,A116,'HORAS TRABAJADAS'!B:B,"&gt;="&amp;B116,'HORAS TRABAJADAS'!B:B,"&lt;="&amp;C116)</f>
        <v>0</v>
      </c>
      <c r="I116" s="538">
        <f>SUMIFS('HORAS TRABAJADAS'!L:L,'HORAS TRABAJADAS'!A:A,A116,'HORAS TRABAJADAS'!B:B,"&gt;="&amp;B116,'HORAS TRABAJADAS'!B:B,"&lt;="&amp;C116)</f>
        <v>0</v>
      </c>
      <c r="J116" s="538">
        <f>SUMIFS('HORAS TRABAJADAS'!M:M,'HORAS TRABAJADAS'!A:A,A116,'HORAS TRABAJADAS'!B:B,"&gt;="&amp;B116,'HORAS TRABAJADAS'!B:B,"&lt;="&amp;C116)</f>
        <v>0</v>
      </c>
      <c r="K116" s="539">
        <f>SUMIFS('HORAS TRABAJADAS'!N:N,'HORAS TRABAJADAS'!A:A,A116,'HORAS TRABAJADAS'!B:B,"&gt;="&amp;B116,'HORAS TRABAJADAS'!B:B,"&lt;="&amp;C116)</f>
        <v>0</v>
      </c>
      <c r="L116" s="533" t="str">
        <f t="shared" si="4"/>
        <v>0 horas y 0 minutos</v>
      </c>
      <c r="M116" s="534">
        <f>SUMIFS('HORAS TRABAJADAS'!Q:Q,'HORAS TRABAJADAS'!A:A,A116,'HORAS TRABAJADAS'!B:B,"&gt;="&amp;B116,'HORAS TRABAJADAS'!B:B,"&lt;="&amp;C116)</f>
        <v>0</v>
      </c>
      <c r="N116" s="535">
        <f t="shared" si="3"/>
        <v>0</v>
      </c>
    </row>
    <row r="117" spans="1:14">
      <c r="A117" s="572">
        <v>1315211554</v>
      </c>
      <c r="B117" s="573">
        <v>43374</v>
      </c>
      <c r="C117" s="574">
        <v>43404</v>
      </c>
      <c r="D117" s="537">
        <f>SUMIFS('HORAS TRABAJADAS'!G$1:G$65538,'HORAS TRABAJADAS'!A$1:A$65538,A117,'HORAS TRABAJADAS'!B$1:B$65538,"&gt;="&amp;B117,'HORAS TRABAJADAS'!B$1:B$65538,"&lt;="&amp;C117)</f>
        <v>0</v>
      </c>
      <c r="E117" s="538">
        <f>SUMIFS('HORAS TRABAJADAS'!H:H,'HORAS TRABAJADAS'!A:A,A117,'HORAS TRABAJADAS'!B:B,"&gt;="&amp;B117,'HORAS TRABAJADAS'!B:B,"&lt;="&amp;C117)</f>
        <v>0</v>
      </c>
      <c r="F117" s="538">
        <f>SUMIFS('HORAS TRABAJADAS'!I:I,'HORAS TRABAJADAS'!A:A,A117,'HORAS TRABAJADAS'!B:B,"&gt;="&amp;B117,'HORAS TRABAJADAS'!B:B,"&lt;="&amp;C117)</f>
        <v>0</v>
      </c>
      <c r="G117" s="538">
        <f>SUMIFS('HORAS TRABAJADAS'!J:J,'HORAS TRABAJADAS'!A:A,A117,'HORAS TRABAJADAS'!B:B,"&gt;="&amp;B117,'HORAS TRABAJADAS'!B:B,"&lt;="&amp;C117)</f>
        <v>0</v>
      </c>
      <c r="H117" s="538">
        <f>SUMIFS('HORAS TRABAJADAS'!K:K,'HORAS TRABAJADAS'!A:A,A117,'HORAS TRABAJADAS'!B:B,"&gt;="&amp;B117,'HORAS TRABAJADAS'!B:B,"&lt;="&amp;C117)</f>
        <v>0</v>
      </c>
      <c r="I117" s="538">
        <f>SUMIFS('HORAS TRABAJADAS'!L:L,'HORAS TRABAJADAS'!A:A,A117,'HORAS TRABAJADAS'!B:B,"&gt;="&amp;B117,'HORAS TRABAJADAS'!B:B,"&lt;="&amp;C117)</f>
        <v>0</v>
      </c>
      <c r="J117" s="538">
        <f>SUMIFS('HORAS TRABAJADAS'!M:M,'HORAS TRABAJADAS'!A:A,A117,'HORAS TRABAJADAS'!B:B,"&gt;="&amp;B117,'HORAS TRABAJADAS'!B:B,"&lt;="&amp;C117)</f>
        <v>0</v>
      </c>
      <c r="K117" s="539">
        <f>SUMIFS('HORAS TRABAJADAS'!N:N,'HORAS TRABAJADAS'!A:A,A117,'HORAS TRABAJADAS'!B:B,"&gt;="&amp;B117,'HORAS TRABAJADAS'!B:B,"&lt;="&amp;C117)</f>
        <v>0</v>
      </c>
      <c r="L117" s="533" t="str">
        <f t="shared" si="4"/>
        <v>0 horas y 0 minutos</v>
      </c>
      <c r="M117" s="534">
        <f>SUMIFS('HORAS TRABAJADAS'!Q:Q,'HORAS TRABAJADAS'!A:A,A117,'HORAS TRABAJADAS'!B:B,"&gt;="&amp;B117,'HORAS TRABAJADAS'!B:B,"&lt;="&amp;C117)</f>
        <v>0</v>
      </c>
      <c r="N117" s="535">
        <f t="shared" si="3"/>
        <v>0</v>
      </c>
    </row>
    <row r="118" spans="1:14">
      <c r="A118" s="572">
        <v>1241318672</v>
      </c>
      <c r="B118" s="573">
        <v>43374</v>
      </c>
      <c r="C118" s="574">
        <v>43404</v>
      </c>
      <c r="D118" s="537">
        <f>SUMIFS('HORAS TRABAJADAS'!G$1:G$65538,'HORAS TRABAJADAS'!A$1:A$65538,A118,'HORAS TRABAJADAS'!B$1:B$65538,"&gt;="&amp;B118,'HORAS TRABAJADAS'!B$1:B$65538,"&lt;="&amp;C118)</f>
        <v>0</v>
      </c>
      <c r="E118" s="538">
        <f>SUMIFS('HORAS TRABAJADAS'!H:H,'HORAS TRABAJADAS'!A:A,A118,'HORAS TRABAJADAS'!B:B,"&gt;="&amp;B118,'HORAS TRABAJADAS'!B:B,"&lt;="&amp;C118)</f>
        <v>0</v>
      </c>
      <c r="F118" s="538">
        <f>SUMIFS('HORAS TRABAJADAS'!I:I,'HORAS TRABAJADAS'!A:A,A118,'HORAS TRABAJADAS'!B:B,"&gt;="&amp;B118,'HORAS TRABAJADAS'!B:B,"&lt;="&amp;C118)</f>
        <v>0</v>
      </c>
      <c r="G118" s="538">
        <f>SUMIFS('HORAS TRABAJADAS'!J:J,'HORAS TRABAJADAS'!A:A,A118,'HORAS TRABAJADAS'!B:B,"&gt;="&amp;B118,'HORAS TRABAJADAS'!B:B,"&lt;="&amp;C118)</f>
        <v>0</v>
      </c>
      <c r="H118" s="538">
        <f>SUMIFS('HORAS TRABAJADAS'!K:K,'HORAS TRABAJADAS'!A:A,A118,'HORAS TRABAJADAS'!B:B,"&gt;="&amp;B118,'HORAS TRABAJADAS'!B:B,"&lt;="&amp;C118)</f>
        <v>0</v>
      </c>
      <c r="I118" s="538">
        <f>SUMIFS('HORAS TRABAJADAS'!L:L,'HORAS TRABAJADAS'!A:A,A118,'HORAS TRABAJADAS'!B:B,"&gt;="&amp;B118,'HORAS TRABAJADAS'!B:B,"&lt;="&amp;C118)</f>
        <v>0</v>
      </c>
      <c r="J118" s="538">
        <f>SUMIFS('HORAS TRABAJADAS'!M:M,'HORAS TRABAJADAS'!A:A,A118,'HORAS TRABAJADAS'!B:B,"&gt;="&amp;B118,'HORAS TRABAJADAS'!B:B,"&lt;="&amp;C118)</f>
        <v>0</v>
      </c>
      <c r="K118" s="539">
        <f>SUMIFS('HORAS TRABAJADAS'!N:N,'HORAS TRABAJADAS'!A:A,A118,'HORAS TRABAJADAS'!B:B,"&gt;="&amp;B118,'HORAS TRABAJADAS'!B:B,"&lt;="&amp;C118)</f>
        <v>0</v>
      </c>
      <c r="L118" s="533" t="str">
        <f t="shared" si="4"/>
        <v>0 horas y 0 minutos</v>
      </c>
      <c r="M118" s="534">
        <f>SUMIFS('HORAS TRABAJADAS'!Q:Q,'HORAS TRABAJADAS'!A:A,A118,'HORAS TRABAJADAS'!B:B,"&gt;="&amp;B118,'HORAS TRABAJADAS'!B:B,"&lt;="&amp;C118)</f>
        <v>0</v>
      </c>
      <c r="N118" s="535">
        <f t="shared" si="3"/>
        <v>0</v>
      </c>
    </row>
    <row r="119" spans="1:14">
      <c r="A119" s="572">
        <v>1324063080</v>
      </c>
      <c r="B119" s="573">
        <v>43374</v>
      </c>
      <c r="C119" s="574">
        <v>43404</v>
      </c>
      <c r="D119" s="537">
        <f>SUMIFS('HORAS TRABAJADAS'!G$1:G$65538,'HORAS TRABAJADAS'!A$1:A$65538,A119,'HORAS TRABAJADAS'!B$1:B$65538,"&gt;="&amp;B119,'HORAS TRABAJADAS'!B$1:B$65538,"&lt;="&amp;C119)</f>
        <v>0</v>
      </c>
      <c r="E119" s="538">
        <f>SUMIFS('HORAS TRABAJADAS'!H:H,'HORAS TRABAJADAS'!A:A,A119,'HORAS TRABAJADAS'!B:B,"&gt;="&amp;B119,'HORAS TRABAJADAS'!B:B,"&lt;="&amp;C119)</f>
        <v>0</v>
      </c>
      <c r="F119" s="538">
        <f>SUMIFS('HORAS TRABAJADAS'!I:I,'HORAS TRABAJADAS'!A:A,A119,'HORAS TRABAJADAS'!B:B,"&gt;="&amp;B119,'HORAS TRABAJADAS'!B:B,"&lt;="&amp;C119)</f>
        <v>0</v>
      </c>
      <c r="G119" s="538">
        <f>SUMIFS('HORAS TRABAJADAS'!J:J,'HORAS TRABAJADAS'!A:A,A119,'HORAS TRABAJADAS'!B:B,"&gt;="&amp;B119,'HORAS TRABAJADAS'!B:B,"&lt;="&amp;C119)</f>
        <v>0</v>
      </c>
      <c r="H119" s="538">
        <f>SUMIFS('HORAS TRABAJADAS'!K:K,'HORAS TRABAJADAS'!A:A,A119,'HORAS TRABAJADAS'!B:B,"&gt;="&amp;B119,'HORAS TRABAJADAS'!B:B,"&lt;="&amp;C119)</f>
        <v>0</v>
      </c>
      <c r="I119" s="538">
        <f>SUMIFS('HORAS TRABAJADAS'!L:L,'HORAS TRABAJADAS'!A:A,A119,'HORAS TRABAJADAS'!B:B,"&gt;="&amp;B119,'HORAS TRABAJADAS'!B:B,"&lt;="&amp;C119)</f>
        <v>0</v>
      </c>
      <c r="J119" s="538">
        <f>SUMIFS('HORAS TRABAJADAS'!M:M,'HORAS TRABAJADAS'!A:A,A119,'HORAS TRABAJADAS'!B:B,"&gt;="&amp;B119,'HORAS TRABAJADAS'!B:B,"&lt;="&amp;C119)</f>
        <v>0</v>
      </c>
      <c r="K119" s="539">
        <f>SUMIFS('HORAS TRABAJADAS'!N:N,'HORAS TRABAJADAS'!A:A,A119,'HORAS TRABAJADAS'!B:B,"&gt;="&amp;B119,'HORAS TRABAJADAS'!B:B,"&lt;="&amp;C119)</f>
        <v>0</v>
      </c>
      <c r="L119" s="533" t="str">
        <f t="shared" si="4"/>
        <v>0 horas y 0 minutos</v>
      </c>
      <c r="M119" s="534">
        <f>SUMIFS('HORAS TRABAJADAS'!Q:Q,'HORAS TRABAJADAS'!A:A,A119,'HORAS TRABAJADAS'!B:B,"&gt;="&amp;B119,'HORAS TRABAJADAS'!B:B,"&lt;="&amp;C119)</f>
        <v>0</v>
      </c>
      <c r="N119" s="535">
        <f t="shared" si="3"/>
        <v>0</v>
      </c>
    </row>
    <row r="120" spans="1:14">
      <c r="A120" s="572">
        <v>1259425899</v>
      </c>
      <c r="B120" s="573">
        <v>43374</v>
      </c>
      <c r="C120" s="574">
        <v>43404</v>
      </c>
      <c r="D120" s="537">
        <f>SUMIFS('HORAS TRABAJADAS'!G$1:G$65538,'HORAS TRABAJADAS'!A$1:A$65538,A120,'HORAS TRABAJADAS'!B$1:B$65538,"&gt;="&amp;B120,'HORAS TRABAJADAS'!B$1:B$65538,"&lt;="&amp;C120)</f>
        <v>0</v>
      </c>
      <c r="E120" s="538">
        <f>SUMIFS('HORAS TRABAJADAS'!H:H,'HORAS TRABAJADAS'!A:A,A120,'HORAS TRABAJADAS'!B:B,"&gt;="&amp;B120,'HORAS TRABAJADAS'!B:B,"&lt;="&amp;C120)</f>
        <v>0</v>
      </c>
      <c r="F120" s="538">
        <f>SUMIFS('HORAS TRABAJADAS'!I:I,'HORAS TRABAJADAS'!A:A,A120,'HORAS TRABAJADAS'!B:B,"&gt;="&amp;B120,'HORAS TRABAJADAS'!B:B,"&lt;="&amp;C120)</f>
        <v>0</v>
      </c>
      <c r="G120" s="538">
        <f>SUMIFS('HORAS TRABAJADAS'!J:J,'HORAS TRABAJADAS'!A:A,A120,'HORAS TRABAJADAS'!B:B,"&gt;="&amp;B120,'HORAS TRABAJADAS'!B:B,"&lt;="&amp;C120)</f>
        <v>0</v>
      </c>
      <c r="H120" s="538">
        <f>SUMIFS('HORAS TRABAJADAS'!K:K,'HORAS TRABAJADAS'!A:A,A120,'HORAS TRABAJADAS'!B:B,"&gt;="&amp;B120,'HORAS TRABAJADAS'!B:B,"&lt;="&amp;C120)</f>
        <v>0</v>
      </c>
      <c r="I120" s="538">
        <f>SUMIFS('HORAS TRABAJADAS'!L:L,'HORAS TRABAJADAS'!A:A,A120,'HORAS TRABAJADAS'!B:B,"&gt;="&amp;B120,'HORAS TRABAJADAS'!B:B,"&lt;="&amp;C120)</f>
        <v>0</v>
      </c>
      <c r="J120" s="538">
        <f>SUMIFS('HORAS TRABAJADAS'!M:M,'HORAS TRABAJADAS'!A:A,A120,'HORAS TRABAJADAS'!B:B,"&gt;="&amp;B120,'HORAS TRABAJADAS'!B:B,"&lt;="&amp;C120)</f>
        <v>0</v>
      </c>
      <c r="K120" s="539">
        <f>SUMIFS('HORAS TRABAJADAS'!N:N,'HORAS TRABAJADAS'!A:A,A120,'HORAS TRABAJADAS'!B:B,"&gt;="&amp;B120,'HORAS TRABAJADAS'!B:B,"&lt;="&amp;C120)</f>
        <v>0</v>
      </c>
      <c r="L120" s="533" t="str">
        <f t="shared" si="4"/>
        <v>0 horas y 0 minutos</v>
      </c>
      <c r="M120" s="534">
        <f>SUMIFS('HORAS TRABAJADAS'!Q:Q,'HORAS TRABAJADAS'!A:A,A120,'HORAS TRABAJADAS'!B:B,"&gt;="&amp;B120,'HORAS TRABAJADAS'!B:B,"&lt;="&amp;C120)</f>
        <v>0</v>
      </c>
      <c r="N120" s="535">
        <f t="shared" si="3"/>
        <v>0</v>
      </c>
    </row>
    <row r="121" spans="1:14">
      <c r="A121" s="550"/>
      <c r="B121" s="551"/>
      <c r="C121" s="556"/>
      <c r="D121" s="537">
        <f>SUMIFS('HORAS TRABAJADAS'!G$1:G$65538,'HORAS TRABAJADAS'!A$1:A$65538,A121,'HORAS TRABAJADAS'!B$1:B$65538,"&gt;="&amp;B121,'HORAS TRABAJADAS'!B$1:B$65538,"&lt;="&amp;C121)</f>
        <v>0</v>
      </c>
      <c r="E121" s="538">
        <f>SUMIFS('HORAS TRABAJADAS'!H:H,'HORAS TRABAJADAS'!A:A,A121,'HORAS TRABAJADAS'!B:B,"&gt;="&amp;B121,'HORAS TRABAJADAS'!B:B,"&lt;="&amp;C121)</f>
        <v>0</v>
      </c>
      <c r="F121" s="538">
        <f>SUMIFS('HORAS TRABAJADAS'!I:I,'HORAS TRABAJADAS'!A:A,A121,'HORAS TRABAJADAS'!B:B,"&gt;="&amp;B121,'HORAS TRABAJADAS'!B:B,"&lt;="&amp;C121)</f>
        <v>0</v>
      </c>
      <c r="G121" s="538">
        <f>SUMIFS('HORAS TRABAJADAS'!J:J,'HORAS TRABAJADAS'!A:A,A121,'HORAS TRABAJADAS'!B:B,"&gt;="&amp;B121,'HORAS TRABAJADAS'!B:B,"&lt;="&amp;C121)</f>
        <v>0</v>
      </c>
      <c r="H121" s="538">
        <f>SUMIFS('HORAS TRABAJADAS'!K:K,'HORAS TRABAJADAS'!A:A,A121,'HORAS TRABAJADAS'!B:B,"&gt;="&amp;B121,'HORAS TRABAJADAS'!B:B,"&lt;="&amp;C121)</f>
        <v>0</v>
      </c>
      <c r="I121" s="538">
        <f>SUMIFS('HORAS TRABAJADAS'!L:L,'HORAS TRABAJADAS'!A:A,A121,'HORAS TRABAJADAS'!B:B,"&gt;="&amp;B121,'HORAS TRABAJADAS'!B:B,"&lt;="&amp;C121)</f>
        <v>0</v>
      </c>
      <c r="J121" s="538">
        <f>SUMIFS('HORAS TRABAJADAS'!M:M,'HORAS TRABAJADAS'!A:A,A121,'HORAS TRABAJADAS'!B:B,"&gt;="&amp;B121,'HORAS TRABAJADAS'!B:B,"&lt;="&amp;C121)</f>
        <v>0</v>
      </c>
      <c r="K121" s="539">
        <f>SUMIFS('HORAS TRABAJADAS'!N:N,'HORAS TRABAJADAS'!A:A,A121,'HORAS TRABAJADAS'!B:B,"&gt;="&amp;B121,'HORAS TRABAJADAS'!B:B,"&lt;="&amp;C121)</f>
        <v>0</v>
      </c>
      <c r="L121" s="533" t="str">
        <f t="shared" si="4"/>
        <v>0 horas y 0 minutos</v>
      </c>
      <c r="M121" s="534">
        <f>SUMIFS('HORAS TRABAJADAS'!Q:Q,'HORAS TRABAJADAS'!A:A,A121,'HORAS TRABAJADAS'!B:B,"&gt;="&amp;B121,'HORAS TRABAJADAS'!B:B,"&lt;="&amp;C121)</f>
        <v>0</v>
      </c>
      <c r="N121" s="535">
        <f t="shared" si="3"/>
        <v>0</v>
      </c>
    </row>
    <row r="122" spans="1:14">
      <c r="A122" s="575">
        <v>1321648522</v>
      </c>
      <c r="B122" s="576">
        <v>43405</v>
      </c>
      <c r="C122" s="577">
        <v>43434</v>
      </c>
      <c r="D122" s="537">
        <f>SUMIFS('HORAS TRABAJADAS'!G$1:G$65538,'HORAS TRABAJADAS'!A$1:A$65538,A122,'HORAS TRABAJADAS'!B$1:B$65538,"&gt;="&amp;B122,'HORAS TRABAJADAS'!B$1:B$65538,"&lt;="&amp;C122)</f>
        <v>0</v>
      </c>
      <c r="E122" s="538">
        <f>SUMIFS('HORAS TRABAJADAS'!H:H,'HORAS TRABAJADAS'!A:A,A122,'HORAS TRABAJADAS'!B:B,"&gt;="&amp;B122,'HORAS TRABAJADAS'!B:B,"&lt;="&amp;C122)</f>
        <v>0</v>
      </c>
      <c r="F122" s="538">
        <f>SUMIFS('HORAS TRABAJADAS'!I:I,'HORAS TRABAJADAS'!A:A,A122,'HORAS TRABAJADAS'!B:B,"&gt;="&amp;B122,'HORAS TRABAJADAS'!B:B,"&lt;="&amp;C122)</f>
        <v>0</v>
      </c>
      <c r="G122" s="538">
        <f>SUMIFS('HORAS TRABAJADAS'!J:J,'HORAS TRABAJADAS'!A:A,A122,'HORAS TRABAJADAS'!B:B,"&gt;="&amp;B122,'HORAS TRABAJADAS'!B:B,"&lt;="&amp;C122)</f>
        <v>0</v>
      </c>
      <c r="H122" s="538">
        <f>SUMIFS('HORAS TRABAJADAS'!K:K,'HORAS TRABAJADAS'!A:A,A122,'HORAS TRABAJADAS'!B:B,"&gt;="&amp;B122,'HORAS TRABAJADAS'!B:B,"&lt;="&amp;C122)</f>
        <v>0</v>
      </c>
      <c r="I122" s="538">
        <f>SUMIFS('HORAS TRABAJADAS'!L:L,'HORAS TRABAJADAS'!A:A,A122,'HORAS TRABAJADAS'!B:B,"&gt;="&amp;B122,'HORAS TRABAJADAS'!B:B,"&lt;="&amp;C122)</f>
        <v>0</v>
      </c>
      <c r="J122" s="538">
        <f>SUMIFS('HORAS TRABAJADAS'!M:M,'HORAS TRABAJADAS'!A:A,A122,'HORAS TRABAJADAS'!B:B,"&gt;="&amp;B122,'HORAS TRABAJADAS'!B:B,"&lt;="&amp;C122)</f>
        <v>0</v>
      </c>
      <c r="K122" s="539">
        <f>SUMIFS('HORAS TRABAJADAS'!N:N,'HORAS TRABAJADAS'!A:A,A122,'HORAS TRABAJADAS'!B:B,"&gt;="&amp;B122,'HORAS TRABAJADAS'!B:B,"&lt;="&amp;C122)</f>
        <v>0</v>
      </c>
      <c r="L122" s="533" t="str">
        <f t="shared" si="4"/>
        <v>0 horas y 0 minutos</v>
      </c>
      <c r="M122" s="534">
        <f>SUMIFS('HORAS TRABAJADAS'!Q:Q,'HORAS TRABAJADAS'!A:A,A122,'HORAS TRABAJADAS'!B:B,"&gt;="&amp;B122,'HORAS TRABAJADAS'!B:B,"&lt;="&amp;C122)</f>
        <v>0</v>
      </c>
      <c r="N122" s="535">
        <f t="shared" si="3"/>
        <v>0</v>
      </c>
    </row>
    <row r="123" spans="1:14">
      <c r="A123" s="575">
        <v>1323384207</v>
      </c>
      <c r="B123" s="576">
        <v>43405</v>
      </c>
      <c r="C123" s="577">
        <v>43434</v>
      </c>
      <c r="D123" s="537">
        <f>SUMIFS('HORAS TRABAJADAS'!G$1:G$65538,'HORAS TRABAJADAS'!A$1:A$65538,A123,'HORAS TRABAJADAS'!B$1:B$65538,"&gt;="&amp;B123,'HORAS TRABAJADAS'!B$1:B$65538,"&lt;="&amp;C123)</f>
        <v>0</v>
      </c>
      <c r="E123" s="538">
        <f>SUMIFS('HORAS TRABAJADAS'!H:H,'HORAS TRABAJADAS'!A:A,A123,'HORAS TRABAJADAS'!B:B,"&gt;="&amp;B123,'HORAS TRABAJADAS'!B:B,"&lt;="&amp;C123)</f>
        <v>0</v>
      </c>
      <c r="F123" s="538">
        <f>SUMIFS('HORAS TRABAJADAS'!I:I,'HORAS TRABAJADAS'!A:A,A123,'HORAS TRABAJADAS'!B:B,"&gt;="&amp;B123,'HORAS TRABAJADAS'!B:B,"&lt;="&amp;C123)</f>
        <v>0</v>
      </c>
      <c r="G123" s="538">
        <f>SUMIFS('HORAS TRABAJADAS'!J:J,'HORAS TRABAJADAS'!A:A,A123,'HORAS TRABAJADAS'!B:B,"&gt;="&amp;B123,'HORAS TRABAJADAS'!B:B,"&lt;="&amp;C123)</f>
        <v>0</v>
      </c>
      <c r="H123" s="538">
        <f>SUMIFS('HORAS TRABAJADAS'!K:K,'HORAS TRABAJADAS'!A:A,A123,'HORAS TRABAJADAS'!B:B,"&gt;="&amp;B123,'HORAS TRABAJADAS'!B:B,"&lt;="&amp;C123)</f>
        <v>0</v>
      </c>
      <c r="I123" s="538">
        <f>SUMIFS('HORAS TRABAJADAS'!L:L,'HORAS TRABAJADAS'!A:A,A123,'HORAS TRABAJADAS'!B:B,"&gt;="&amp;B123,'HORAS TRABAJADAS'!B:B,"&lt;="&amp;C123)</f>
        <v>0</v>
      </c>
      <c r="J123" s="538">
        <f>SUMIFS('HORAS TRABAJADAS'!M:M,'HORAS TRABAJADAS'!A:A,A123,'HORAS TRABAJADAS'!B:B,"&gt;="&amp;B123,'HORAS TRABAJADAS'!B:B,"&lt;="&amp;C123)</f>
        <v>0</v>
      </c>
      <c r="K123" s="539">
        <f>SUMIFS('HORAS TRABAJADAS'!N:N,'HORAS TRABAJADAS'!A:A,A123,'HORAS TRABAJADAS'!B:B,"&gt;="&amp;B123,'HORAS TRABAJADAS'!B:B,"&lt;="&amp;C123)</f>
        <v>0</v>
      </c>
      <c r="L123" s="533" t="str">
        <f t="shared" si="4"/>
        <v>0 horas y 0 minutos</v>
      </c>
      <c r="M123" s="534">
        <f>SUMIFS('HORAS TRABAJADAS'!Q:Q,'HORAS TRABAJADAS'!A:A,A123,'HORAS TRABAJADAS'!B:B,"&gt;="&amp;B123,'HORAS TRABAJADAS'!B:B,"&lt;="&amp;C123)</f>
        <v>0</v>
      </c>
      <c r="N123" s="535">
        <f t="shared" si="3"/>
        <v>0</v>
      </c>
    </row>
    <row r="124" spans="1:14">
      <c r="A124" s="575">
        <v>1237462775</v>
      </c>
      <c r="B124" s="576">
        <v>43405</v>
      </c>
      <c r="C124" s="577">
        <v>43434</v>
      </c>
      <c r="D124" s="537">
        <f>SUMIFS('HORAS TRABAJADAS'!G$1:G$65538,'HORAS TRABAJADAS'!A$1:A$65538,A124,'HORAS TRABAJADAS'!B$1:B$65538,"&gt;="&amp;B124,'HORAS TRABAJADAS'!B$1:B$65538,"&lt;="&amp;C124)</f>
        <v>0</v>
      </c>
      <c r="E124" s="538">
        <f>SUMIFS('HORAS TRABAJADAS'!H:H,'HORAS TRABAJADAS'!A:A,A124,'HORAS TRABAJADAS'!B:B,"&gt;="&amp;B124,'HORAS TRABAJADAS'!B:B,"&lt;="&amp;C124)</f>
        <v>0</v>
      </c>
      <c r="F124" s="538">
        <f>SUMIFS('HORAS TRABAJADAS'!I:I,'HORAS TRABAJADAS'!A:A,A124,'HORAS TRABAJADAS'!B:B,"&gt;="&amp;B124,'HORAS TRABAJADAS'!B:B,"&lt;="&amp;C124)</f>
        <v>0</v>
      </c>
      <c r="G124" s="538">
        <f>SUMIFS('HORAS TRABAJADAS'!J:J,'HORAS TRABAJADAS'!A:A,A124,'HORAS TRABAJADAS'!B:B,"&gt;="&amp;B124,'HORAS TRABAJADAS'!B:B,"&lt;="&amp;C124)</f>
        <v>0</v>
      </c>
      <c r="H124" s="538">
        <f>SUMIFS('HORAS TRABAJADAS'!K:K,'HORAS TRABAJADAS'!A:A,A124,'HORAS TRABAJADAS'!B:B,"&gt;="&amp;B124,'HORAS TRABAJADAS'!B:B,"&lt;="&amp;C124)</f>
        <v>0</v>
      </c>
      <c r="I124" s="538">
        <f>SUMIFS('HORAS TRABAJADAS'!L:L,'HORAS TRABAJADAS'!A:A,A124,'HORAS TRABAJADAS'!B:B,"&gt;="&amp;B124,'HORAS TRABAJADAS'!B:B,"&lt;="&amp;C124)</f>
        <v>0</v>
      </c>
      <c r="J124" s="538">
        <f>SUMIFS('HORAS TRABAJADAS'!M:M,'HORAS TRABAJADAS'!A:A,A124,'HORAS TRABAJADAS'!B:B,"&gt;="&amp;B124,'HORAS TRABAJADAS'!B:B,"&lt;="&amp;C124)</f>
        <v>0</v>
      </c>
      <c r="K124" s="539">
        <f>SUMIFS('HORAS TRABAJADAS'!N:N,'HORAS TRABAJADAS'!A:A,A124,'HORAS TRABAJADAS'!B:B,"&gt;="&amp;B124,'HORAS TRABAJADAS'!B:B,"&lt;="&amp;C124)</f>
        <v>0</v>
      </c>
      <c r="L124" s="533" t="str">
        <f t="shared" si="4"/>
        <v>0 horas y 0 minutos</v>
      </c>
      <c r="M124" s="534">
        <f>SUMIFS('HORAS TRABAJADAS'!Q:Q,'HORAS TRABAJADAS'!A:A,A124,'HORAS TRABAJADAS'!B:B,"&gt;="&amp;B124,'HORAS TRABAJADAS'!B:B,"&lt;="&amp;C124)</f>
        <v>0</v>
      </c>
      <c r="N124" s="535">
        <f t="shared" si="3"/>
        <v>0</v>
      </c>
    </row>
    <row r="125" spans="1:14">
      <c r="A125" s="575">
        <v>1285748000</v>
      </c>
      <c r="B125" s="576">
        <v>43405</v>
      </c>
      <c r="C125" s="577">
        <v>43434</v>
      </c>
      <c r="D125" s="537">
        <f>SUMIFS('HORAS TRABAJADAS'!G$1:G$65538,'HORAS TRABAJADAS'!A$1:A$65538,A125,'HORAS TRABAJADAS'!B$1:B$65538,"&gt;="&amp;B125,'HORAS TRABAJADAS'!B$1:B$65538,"&lt;="&amp;C125)</f>
        <v>0</v>
      </c>
      <c r="E125" s="538">
        <f>SUMIFS('HORAS TRABAJADAS'!H:H,'HORAS TRABAJADAS'!A:A,A125,'HORAS TRABAJADAS'!B:B,"&gt;="&amp;B125,'HORAS TRABAJADAS'!B:B,"&lt;="&amp;C125)</f>
        <v>0</v>
      </c>
      <c r="F125" s="538">
        <f>SUMIFS('HORAS TRABAJADAS'!I:I,'HORAS TRABAJADAS'!A:A,A125,'HORAS TRABAJADAS'!B:B,"&gt;="&amp;B125,'HORAS TRABAJADAS'!B:B,"&lt;="&amp;C125)</f>
        <v>0</v>
      </c>
      <c r="G125" s="538">
        <f>SUMIFS('HORAS TRABAJADAS'!J:J,'HORAS TRABAJADAS'!A:A,A125,'HORAS TRABAJADAS'!B:B,"&gt;="&amp;B125,'HORAS TRABAJADAS'!B:B,"&lt;="&amp;C125)</f>
        <v>0</v>
      </c>
      <c r="H125" s="538">
        <f>SUMIFS('HORAS TRABAJADAS'!K:K,'HORAS TRABAJADAS'!A:A,A125,'HORAS TRABAJADAS'!B:B,"&gt;="&amp;B125,'HORAS TRABAJADAS'!B:B,"&lt;="&amp;C125)</f>
        <v>0</v>
      </c>
      <c r="I125" s="538">
        <f>SUMIFS('HORAS TRABAJADAS'!L:L,'HORAS TRABAJADAS'!A:A,A125,'HORAS TRABAJADAS'!B:B,"&gt;="&amp;B125,'HORAS TRABAJADAS'!B:B,"&lt;="&amp;C125)</f>
        <v>0</v>
      </c>
      <c r="J125" s="538">
        <f>SUMIFS('HORAS TRABAJADAS'!M:M,'HORAS TRABAJADAS'!A:A,A125,'HORAS TRABAJADAS'!B:B,"&gt;="&amp;B125,'HORAS TRABAJADAS'!B:B,"&lt;="&amp;C125)</f>
        <v>0</v>
      </c>
      <c r="K125" s="539">
        <f>SUMIFS('HORAS TRABAJADAS'!N:N,'HORAS TRABAJADAS'!A:A,A125,'HORAS TRABAJADAS'!B:B,"&gt;="&amp;B125,'HORAS TRABAJADAS'!B:B,"&lt;="&amp;C125)</f>
        <v>0</v>
      </c>
      <c r="L125" s="533" t="str">
        <f t="shared" si="4"/>
        <v>0 horas y 0 minutos</v>
      </c>
      <c r="M125" s="534">
        <f>SUMIFS('HORAS TRABAJADAS'!Q:Q,'HORAS TRABAJADAS'!A:A,A125,'HORAS TRABAJADAS'!B:B,"&gt;="&amp;B125,'HORAS TRABAJADAS'!B:B,"&lt;="&amp;C125)</f>
        <v>0</v>
      </c>
      <c r="N125" s="535">
        <f t="shared" si="3"/>
        <v>0</v>
      </c>
    </row>
    <row r="126" spans="1:14">
      <c r="A126" s="575">
        <v>1247550875</v>
      </c>
      <c r="B126" s="576">
        <v>43405</v>
      </c>
      <c r="C126" s="577">
        <v>43434</v>
      </c>
      <c r="D126" s="537">
        <f>SUMIFS('HORAS TRABAJADAS'!G$1:G$65538,'HORAS TRABAJADAS'!A$1:A$65538,A126,'HORAS TRABAJADAS'!B$1:B$65538,"&gt;="&amp;B126,'HORAS TRABAJADAS'!B$1:B$65538,"&lt;="&amp;C126)</f>
        <v>0</v>
      </c>
      <c r="E126" s="538">
        <f>SUMIFS('HORAS TRABAJADAS'!H:H,'HORAS TRABAJADAS'!A:A,A126,'HORAS TRABAJADAS'!B:B,"&gt;="&amp;B126,'HORAS TRABAJADAS'!B:B,"&lt;="&amp;C126)</f>
        <v>0</v>
      </c>
      <c r="F126" s="538">
        <f>SUMIFS('HORAS TRABAJADAS'!I:I,'HORAS TRABAJADAS'!A:A,A126,'HORAS TRABAJADAS'!B:B,"&gt;="&amp;B126,'HORAS TRABAJADAS'!B:B,"&lt;="&amp;C126)</f>
        <v>0</v>
      </c>
      <c r="G126" s="538">
        <f>SUMIFS('HORAS TRABAJADAS'!J:J,'HORAS TRABAJADAS'!A:A,A126,'HORAS TRABAJADAS'!B:B,"&gt;="&amp;B126,'HORAS TRABAJADAS'!B:B,"&lt;="&amp;C126)</f>
        <v>0</v>
      </c>
      <c r="H126" s="538">
        <f>SUMIFS('HORAS TRABAJADAS'!K:K,'HORAS TRABAJADAS'!A:A,A126,'HORAS TRABAJADAS'!B:B,"&gt;="&amp;B126,'HORAS TRABAJADAS'!B:B,"&lt;="&amp;C126)</f>
        <v>0</v>
      </c>
      <c r="I126" s="538">
        <f>SUMIFS('HORAS TRABAJADAS'!L:L,'HORAS TRABAJADAS'!A:A,A126,'HORAS TRABAJADAS'!B:B,"&gt;="&amp;B126,'HORAS TRABAJADAS'!B:B,"&lt;="&amp;C126)</f>
        <v>0</v>
      </c>
      <c r="J126" s="538">
        <f>SUMIFS('HORAS TRABAJADAS'!M:M,'HORAS TRABAJADAS'!A:A,A126,'HORAS TRABAJADAS'!B:B,"&gt;="&amp;B126,'HORAS TRABAJADAS'!B:B,"&lt;="&amp;C126)</f>
        <v>0</v>
      </c>
      <c r="K126" s="539">
        <f>SUMIFS('HORAS TRABAJADAS'!N:N,'HORAS TRABAJADAS'!A:A,A126,'HORAS TRABAJADAS'!B:B,"&gt;="&amp;B126,'HORAS TRABAJADAS'!B:B,"&lt;="&amp;C126)</f>
        <v>0</v>
      </c>
      <c r="L126" s="533" t="str">
        <f t="shared" si="4"/>
        <v>0 horas y 0 minutos</v>
      </c>
      <c r="M126" s="534">
        <f>SUMIFS('HORAS TRABAJADAS'!Q:Q,'HORAS TRABAJADAS'!A:A,A126,'HORAS TRABAJADAS'!B:B,"&gt;="&amp;B126,'HORAS TRABAJADAS'!B:B,"&lt;="&amp;C126)</f>
        <v>0</v>
      </c>
      <c r="N126" s="535">
        <f t="shared" si="3"/>
        <v>0</v>
      </c>
    </row>
    <row r="127" spans="1:14">
      <c r="A127" s="575">
        <v>1311966071</v>
      </c>
      <c r="B127" s="576">
        <v>43405</v>
      </c>
      <c r="C127" s="577">
        <v>43434</v>
      </c>
      <c r="D127" s="537">
        <f>SUMIFS('HORAS TRABAJADAS'!G$1:G$65538,'HORAS TRABAJADAS'!A$1:A$65538,A127,'HORAS TRABAJADAS'!B$1:B$65538,"&gt;="&amp;B127,'HORAS TRABAJADAS'!B$1:B$65538,"&lt;="&amp;C127)</f>
        <v>0</v>
      </c>
      <c r="E127" s="538">
        <f>SUMIFS('HORAS TRABAJADAS'!H:H,'HORAS TRABAJADAS'!A:A,A127,'HORAS TRABAJADAS'!B:B,"&gt;="&amp;B127,'HORAS TRABAJADAS'!B:B,"&lt;="&amp;C127)</f>
        <v>0</v>
      </c>
      <c r="F127" s="538">
        <f>SUMIFS('HORAS TRABAJADAS'!I:I,'HORAS TRABAJADAS'!A:A,A127,'HORAS TRABAJADAS'!B:B,"&gt;="&amp;B127,'HORAS TRABAJADAS'!B:B,"&lt;="&amp;C127)</f>
        <v>0</v>
      </c>
      <c r="G127" s="538">
        <f>SUMIFS('HORAS TRABAJADAS'!J:J,'HORAS TRABAJADAS'!A:A,A127,'HORAS TRABAJADAS'!B:B,"&gt;="&amp;B127,'HORAS TRABAJADAS'!B:B,"&lt;="&amp;C127)</f>
        <v>0</v>
      </c>
      <c r="H127" s="538">
        <f>SUMIFS('HORAS TRABAJADAS'!K:K,'HORAS TRABAJADAS'!A:A,A127,'HORAS TRABAJADAS'!B:B,"&gt;="&amp;B127,'HORAS TRABAJADAS'!B:B,"&lt;="&amp;C127)</f>
        <v>0</v>
      </c>
      <c r="I127" s="538">
        <f>SUMIFS('HORAS TRABAJADAS'!L:L,'HORAS TRABAJADAS'!A:A,A127,'HORAS TRABAJADAS'!B:B,"&gt;="&amp;B127,'HORAS TRABAJADAS'!B:B,"&lt;="&amp;C127)</f>
        <v>0</v>
      </c>
      <c r="J127" s="538">
        <f>SUMIFS('HORAS TRABAJADAS'!M:M,'HORAS TRABAJADAS'!A:A,A127,'HORAS TRABAJADAS'!B:B,"&gt;="&amp;B127,'HORAS TRABAJADAS'!B:B,"&lt;="&amp;C127)</f>
        <v>0</v>
      </c>
      <c r="K127" s="539">
        <f>SUMIFS('HORAS TRABAJADAS'!N:N,'HORAS TRABAJADAS'!A:A,A127,'HORAS TRABAJADAS'!B:B,"&gt;="&amp;B127,'HORAS TRABAJADAS'!B:B,"&lt;="&amp;C127)</f>
        <v>0</v>
      </c>
      <c r="L127" s="533" t="str">
        <f t="shared" si="4"/>
        <v>0 horas y 0 minutos</v>
      </c>
      <c r="M127" s="534">
        <f>SUMIFS('HORAS TRABAJADAS'!Q:Q,'HORAS TRABAJADAS'!A:A,A127,'HORAS TRABAJADAS'!B:B,"&gt;="&amp;B127,'HORAS TRABAJADAS'!B:B,"&lt;="&amp;C127)</f>
        <v>0</v>
      </c>
      <c r="N127" s="535">
        <f t="shared" si="3"/>
        <v>0</v>
      </c>
    </row>
    <row r="128" spans="1:14">
      <c r="A128" s="575">
        <v>1317424267</v>
      </c>
      <c r="B128" s="576">
        <v>43405</v>
      </c>
      <c r="C128" s="577">
        <v>43434</v>
      </c>
      <c r="D128" s="537">
        <f>SUMIFS('HORAS TRABAJADAS'!G$1:G$65538,'HORAS TRABAJADAS'!A$1:A$65538,A128,'HORAS TRABAJADAS'!B$1:B$65538,"&gt;="&amp;B128,'HORAS TRABAJADAS'!B$1:B$65538,"&lt;="&amp;C128)</f>
        <v>0</v>
      </c>
      <c r="E128" s="538">
        <f>SUMIFS('HORAS TRABAJADAS'!H:H,'HORAS TRABAJADAS'!A:A,A128,'HORAS TRABAJADAS'!B:B,"&gt;="&amp;B128,'HORAS TRABAJADAS'!B:B,"&lt;="&amp;C128)</f>
        <v>0</v>
      </c>
      <c r="F128" s="538">
        <f>SUMIFS('HORAS TRABAJADAS'!I:I,'HORAS TRABAJADAS'!A:A,A128,'HORAS TRABAJADAS'!B:B,"&gt;="&amp;B128,'HORAS TRABAJADAS'!B:B,"&lt;="&amp;C128)</f>
        <v>0</v>
      </c>
      <c r="G128" s="538">
        <f>SUMIFS('HORAS TRABAJADAS'!J:J,'HORAS TRABAJADAS'!A:A,A128,'HORAS TRABAJADAS'!B:B,"&gt;="&amp;B128,'HORAS TRABAJADAS'!B:B,"&lt;="&amp;C128)</f>
        <v>0</v>
      </c>
      <c r="H128" s="538">
        <f>SUMIFS('HORAS TRABAJADAS'!K:K,'HORAS TRABAJADAS'!A:A,A128,'HORAS TRABAJADAS'!B:B,"&gt;="&amp;B128,'HORAS TRABAJADAS'!B:B,"&lt;="&amp;C128)</f>
        <v>0</v>
      </c>
      <c r="I128" s="538">
        <f>SUMIFS('HORAS TRABAJADAS'!L:L,'HORAS TRABAJADAS'!A:A,A128,'HORAS TRABAJADAS'!B:B,"&gt;="&amp;B128,'HORAS TRABAJADAS'!B:B,"&lt;="&amp;C128)</f>
        <v>0</v>
      </c>
      <c r="J128" s="538">
        <f>SUMIFS('HORAS TRABAJADAS'!M:M,'HORAS TRABAJADAS'!A:A,A128,'HORAS TRABAJADAS'!B:B,"&gt;="&amp;B128,'HORAS TRABAJADAS'!B:B,"&lt;="&amp;C128)</f>
        <v>0</v>
      </c>
      <c r="K128" s="539">
        <f>SUMIFS('HORAS TRABAJADAS'!N:N,'HORAS TRABAJADAS'!A:A,A128,'HORAS TRABAJADAS'!B:B,"&gt;="&amp;B128,'HORAS TRABAJADAS'!B:B,"&lt;="&amp;C128)</f>
        <v>0</v>
      </c>
      <c r="L128" s="533" t="str">
        <f t="shared" si="4"/>
        <v>0 horas y 0 minutos</v>
      </c>
      <c r="M128" s="534">
        <f>SUMIFS('HORAS TRABAJADAS'!Q:Q,'HORAS TRABAJADAS'!A:A,A128,'HORAS TRABAJADAS'!B:B,"&gt;="&amp;B128,'HORAS TRABAJADAS'!B:B,"&lt;="&amp;C128)</f>
        <v>0</v>
      </c>
      <c r="N128" s="535">
        <f t="shared" si="3"/>
        <v>0</v>
      </c>
    </row>
    <row r="129" spans="1:14">
      <c r="A129" s="575">
        <v>1315211554</v>
      </c>
      <c r="B129" s="576">
        <v>43405</v>
      </c>
      <c r="C129" s="577">
        <v>43434</v>
      </c>
      <c r="D129" s="537">
        <f>SUMIFS('HORAS TRABAJADAS'!G$1:G$65538,'HORAS TRABAJADAS'!A$1:A$65538,A129,'HORAS TRABAJADAS'!B$1:B$65538,"&gt;="&amp;B129,'HORAS TRABAJADAS'!B$1:B$65538,"&lt;="&amp;C129)</f>
        <v>0</v>
      </c>
      <c r="E129" s="538">
        <f>SUMIFS('HORAS TRABAJADAS'!H:H,'HORAS TRABAJADAS'!A:A,A129,'HORAS TRABAJADAS'!B:B,"&gt;="&amp;B129,'HORAS TRABAJADAS'!B:B,"&lt;="&amp;C129)</f>
        <v>0</v>
      </c>
      <c r="F129" s="538">
        <f>SUMIFS('HORAS TRABAJADAS'!I:I,'HORAS TRABAJADAS'!A:A,A129,'HORAS TRABAJADAS'!B:B,"&gt;="&amp;B129,'HORAS TRABAJADAS'!B:B,"&lt;="&amp;C129)</f>
        <v>0</v>
      </c>
      <c r="G129" s="538">
        <f>SUMIFS('HORAS TRABAJADAS'!J:J,'HORAS TRABAJADAS'!A:A,A129,'HORAS TRABAJADAS'!B:B,"&gt;="&amp;B129,'HORAS TRABAJADAS'!B:B,"&lt;="&amp;C129)</f>
        <v>0</v>
      </c>
      <c r="H129" s="538">
        <f>SUMIFS('HORAS TRABAJADAS'!K:K,'HORAS TRABAJADAS'!A:A,A129,'HORAS TRABAJADAS'!B:B,"&gt;="&amp;B129,'HORAS TRABAJADAS'!B:B,"&lt;="&amp;C129)</f>
        <v>0</v>
      </c>
      <c r="I129" s="538">
        <f>SUMIFS('HORAS TRABAJADAS'!L:L,'HORAS TRABAJADAS'!A:A,A129,'HORAS TRABAJADAS'!B:B,"&gt;="&amp;B129,'HORAS TRABAJADAS'!B:B,"&lt;="&amp;C129)</f>
        <v>0</v>
      </c>
      <c r="J129" s="538">
        <f>SUMIFS('HORAS TRABAJADAS'!M:M,'HORAS TRABAJADAS'!A:A,A129,'HORAS TRABAJADAS'!B:B,"&gt;="&amp;B129,'HORAS TRABAJADAS'!B:B,"&lt;="&amp;C129)</f>
        <v>0</v>
      </c>
      <c r="K129" s="539">
        <f>SUMIFS('HORAS TRABAJADAS'!N:N,'HORAS TRABAJADAS'!A:A,A129,'HORAS TRABAJADAS'!B:B,"&gt;="&amp;B129,'HORAS TRABAJADAS'!B:B,"&lt;="&amp;C129)</f>
        <v>0</v>
      </c>
      <c r="L129" s="533" t="str">
        <f t="shared" si="4"/>
        <v>0 horas y 0 minutos</v>
      </c>
      <c r="M129" s="534">
        <f>SUMIFS('HORAS TRABAJADAS'!Q:Q,'HORAS TRABAJADAS'!A:A,A129,'HORAS TRABAJADAS'!B:B,"&gt;="&amp;B129,'HORAS TRABAJADAS'!B:B,"&lt;="&amp;C129)</f>
        <v>0</v>
      </c>
      <c r="N129" s="535">
        <f t="shared" si="3"/>
        <v>0</v>
      </c>
    </row>
    <row r="130" spans="1:14">
      <c r="A130" s="575">
        <v>1241318672</v>
      </c>
      <c r="B130" s="576">
        <v>43405</v>
      </c>
      <c r="C130" s="577">
        <v>43434</v>
      </c>
      <c r="D130" s="537">
        <f>SUMIFS('HORAS TRABAJADAS'!G$1:G$65538,'HORAS TRABAJADAS'!A$1:A$65538,A130,'HORAS TRABAJADAS'!B$1:B$65538,"&gt;="&amp;B130,'HORAS TRABAJADAS'!B$1:B$65538,"&lt;="&amp;C130)</f>
        <v>0</v>
      </c>
      <c r="E130" s="538">
        <f>SUMIFS('HORAS TRABAJADAS'!H:H,'HORAS TRABAJADAS'!A:A,A130,'HORAS TRABAJADAS'!B:B,"&gt;="&amp;B130,'HORAS TRABAJADAS'!B:B,"&lt;="&amp;C130)</f>
        <v>0</v>
      </c>
      <c r="F130" s="538">
        <f>SUMIFS('HORAS TRABAJADAS'!I:I,'HORAS TRABAJADAS'!A:A,A130,'HORAS TRABAJADAS'!B:B,"&gt;="&amp;B130,'HORAS TRABAJADAS'!B:B,"&lt;="&amp;C130)</f>
        <v>0</v>
      </c>
      <c r="G130" s="538">
        <f>SUMIFS('HORAS TRABAJADAS'!J:J,'HORAS TRABAJADAS'!A:A,A130,'HORAS TRABAJADAS'!B:B,"&gt;="&amp;B130,'HORAS TRABAJADAS'!B:B,"&lt;="&amp;C130)</f>
        <v>0</v>
      </c>
      <c r="H130" s="538">
        <f>SUMIFS('HORAS TRABAJADAS'!K:K,'HORAS TRABAJADAS'!A:A,A130,'HORAS TRABAJADAS'!B:B,"&gt;="&amp;B130,'HORAS TRABAJADAS'!B:B,"&lt;="&amp;C130)</f>
        <v>0</v>
      </c>
      <c r="I130" s="538">
        <f>SUMIFS('HORAS TRABAJADAS'!L:L,'HORAS TRABAJADAS'!A:A,A130,'HORAS TRABAJADAS'!B:B,"&gt;="&amp;B130,'HORAS TRABAJADAS'!B:B,"&lt;="&amp;C130)</f>
        <v>0</v>
      </c>
      <c r="J130" s="538">
        <f>SUMIFS('HORAS TRABAJADAS'!M:M,'HORAS TRABAJADAS'!A:A,A130,'HORAS TRABAJADAS'!B:B,"&gt;="&amp;B130,'HORAS TRABAJADAS'!B:B,"&lt;="&amp;C130)</f>
        <v>0</v>
      </c>
      <c r="K130" s="539">
        <f>SUMIFS('HORAS TRABAJADAS'!N:N,'HORAS TRABAJADAS'!A:A,A130,'HORAS TRABAJADAS'!B:B,"&gt;="&amp;B130,'HORAS TRABAJADAS'!B:B,"&lt;="&amp;C130)</f>
        <v>0</v>
      </c>
      <c r="L130" s="533" t="str">
        <f t="shared" si="4"/>
        <v>0 horas y 0 minutos</v>
      </c>
      <c r="M130" s="534">
        <f>SUMIFS('HORAS TRABAJADAS'!Q:Q,'HORAS TRABAJADAS'!A:A,A130,'HORAS TRABAJADAS'!B:B,"&gt;="&amp;B130,'HORAS TRABAJADAS'!B:B,"&lt;="&amp;C130)</f>
        <v>0</v>
      </c>
      <c r="N130" s="535">
        <f t="shared" si="3"/>
        <v>0</v>
      </c>
    </row>
    <row r="131" spans="1:14">
      <c r="A131" s="575">
        <v>1324063080</v>
      </c>
      <c r="B131" s="576">
        <v>43405</v>
      </c>
      <c r="C131" s="577">
        <v>43434</v>
      </c>
      <c r="D131" s="537">
        <f>SUMIFS('HORAS TRABAJADAS'!G$1:G$65538,'HORAS TRABAJADAS'!A$1:A$65538,A131,'HORAS TRABAJADAS'!B$1:B$65538,"&gt;="&amp;B131,'HORAS TRABAJADAS'!B$1:B$65538,"&lt;="&amp;C131)</f>
        <v>0</v>
      </c>
      <c r="E131" s="538">
        <f>SUMIFS('HORAS TRABAJADAS'!H:H,'HORAS TRABAJADAS'!A:A,A131,'HORAS TRABAJADAS'!B:B,"&gt;="&amp;B131,'HORAS TRABAJADAS'!B:B,"&lt;="&amp;C131)</f>
        <v>0</v>
      </c>
      <c r="F131" s="538">
        <f>SUMIFS('HORAS TRABAJADAS'!I:I,'HORAS TRABAJADAS'!A:A,A131,'HORAS TRABAJADAS'!B:B,"&gt;="&amp;B131,'HORAS TRABAJADAS'!B:B,"&lt;="&amp;C131)</f>
        <v>0</v>
      </c>
      <c r="G131" s="538">
        <f>SUMIFS('HORAS TRABAJADAS'!J:J,'HORAS TRABAJADAS'!A:A,A131,'HORAS TRABAJADAS'!B:B,"&gt;="&amp;B131,'HORAS TRABAJADAS'!B:B,"&lt;="&amp;C131)</f>
        <v>0</v>
      </c>
      <c r="H131" s="538">
        <f>SUMIFS('HORAS TRABAJADAS'!K:K,'HORAS TRABAJADAS'!A:A,A131,'HORAS TRABAJADAS'!B:B,"&gt;="&amp;B131,'HORAS TRABAJADAS'!B:B,"&lt;="&amp;C131)</f>
        <v>0</v>
      </c>
      <c r="I131" s="538">
        <f>SUMIFS('HORAS TRABAJADAS'!L:L,'HORAS TRABAJADAS'!A:A,A131,'HORAS TRABAJADAS'!B:B,"&gt;="&amp;B131,'HORAS TRABAJADAS'!B:B,"&lt;="&amp;C131)</f>
        <v>0</v>
      </c>
      <c r="J131" s="538">
        <f>SUMIFS('HORAS TRABAJADAS'!M:M,'HORAS TRABAJADAS'!A:A,A131,'HORAS TRABAJADAS'!B:B,"&gt;="&amp;B131,'HORAS TRABAJADAS'!B:B,"&lt;="&amp;C131)</f>
        <v>0</v>
      </c>
      <c r="K131" s="539">
        <f>SUMIFS('HORAS TRABAJADAS'!N:N,'HORAS TRABAJADAS'!A:A,A131,'HORAS TRABAJADAS'!B:B,"&gt;="&amp;B131,'HORAS TRABAJADAS'!B:B,"&lt;="&amp;C131)</f>
        <v>0</v>
      </c>
      <c r="L131" s="533" t="str">
        <f t="shared" si="4"/>
        <v>0 horas y 0 minutos</v>
      </c>
      <c r="M131" s="534">
        <f>SUMIFS('HORAS TRABAJADAS'!Q:Q,'HORAS TRABAJADAS'!A:A,A131,'HORAS TRABAJADAS'!B:B,"&gt;="&amp;B131,'HORAS TRABAJADAS'!B:B,"&lt;="&amp;C131)</f>
        <v>0</v>
      </c>
      <c r="N131" s="535">
        <f t="shared" ref="N131:N144" si="5">SUM(F131,G131,J131,K131)*60</f>
        <v>0</v>
      </c>
    </row>
    <row r="132" spans="1:14">
      <c r="A132" s="575">
        <v>1259425899</v>
      </c>
      <c r="B132" s="576">
        <v>43405</v>
      </c>
      <c r="C132" s="577">
        <v>43434</v>
      </c>
      <c r="D132" s="537">
        <f>SUMIFS('HORAS TRABAJADAS'!G$1:G$65538,'HORAS TRABAJADAS'!A$1:A$65538,A132,'HORAS TRABAJADAS'!B$1:B$65538,"&gt;="&amp;B132,'HORAS TRABAJADAS'!B$1:B$65538,"&lt;="&amp;C132)</f>
        <v>0</v>
      </c>
      <c r="E132" s="538">
        <f>SUMIFS('HORAS TRABAJADAS'!H:H,'HORAS TRABAJADAS'!A:A,A132,'HORAS TRABAJADAS'!B:B,"&gt;="&amp;B132,'HORAS TRABAJADAS'!B:B,"&lt;="&amp;C132)</f>
        <v>0</v>
      </c>
      <c r="F132" s="538">
        <f>SUMIFS('HORAS TRABAJADAS'!I:I,'HORAS TRABAJADAS'!A:A,A132,'HORAS TRABAJADAS'!B:B,"&gt;="&amp;B132,'HORAS TRABAJADAS'!B:B,"&lt;="&amp;C132)</f>
        <v>0</v>
      </c>
      <c r="G132" s="538">
        <f>SUMIFS('HORAS TRABAJADAS'!J:J,'HORAS TRABAJADAS'!A:A,A132,'HORAS TRABAJADAS'!B:B,"&gt;="&amp;B132,'HORAS TRABAJADAS'!B:B,"&lt;="&amp;C132)</f>
        <v>0</v>
      </c>
      <c r="H132" s="538">
        <f>SUMIFS('HORAS TRABAJADAS'!K:K,'HORAS TRABAJADAS'!A:A,A132,'HORAS TRABAJADAS'!B:B,"&gt;="&amp;B132,'HORAS TRABAJADAS'!B:B,"&lt;="&amp;C132)</f>
        <v>0</v>
      </c>
      <c r="I132" s="538">
        <f>SUMIFS('HORAS TRABAJADAS'!L:L,'HORAS TRABAJADAS'!A:A,A132,'HORAS TRABAJADAS'!B:B,"&gt;="&amp;B132,'HORAS TRABAJADAS'!B:B,"&lt;="&amp;C132)</f>
        <v>0</v>
      </c>
      <c r="J132" s="538">
        <f>SUMIFS('HORAS TRABAJADAS'!M:M,'HORAS TRABAJADAS'!A:A,A132,'HORAS TRABAJADAS'!B:B,"&gt;="&amp;B132,'HORAS TRABAJADAS'!B:B,"&lt;="&amp;C132)</f>
        <v>0</v>
      </c>
      <c r="K132" s="539">
        <f>SUMIFS('HORAS TRABAJADAS'!N:N,'HORAS TRABAJADAS'!A:A,A132,'HORAS TRABAJADAS'!B:B,"&gt;="&amp;B132,'HORAS TRABAJADAS'!B:B,"&lt;="&amp;C132)</f>
        <v>0</v>
      </c>
      <c r="L132" s="533" t="str">
        <f t="shared" si="4"/>
        <v>0 horas y 0 minutos</v>
      </c>
      <c r="M132" s="534">
        <f>SUMIFS('HORAS TRABAJADAS'!Q:Q,'HORAS TRABAJADAS'!A:A,A132,'HORAS TRABAJADAS'!B:B,"&gt;="&amp;B132,'HORAS TRABAJADAS'!B:B,"&lt;="&amp;C132)</f>
        <v>0</v>
      </c>
      <c r="N132" s="535">
        <f t="shared" si="5"/>
        <v>0</v>
      </c>
    </row>
    <row r="133" spans="1:14">
      <c r="A133" s="550"/>
      <c r="B133" s="551"/>
      <c r="C133" s="556"/>
      <c r="D133" s="537">
        <f>SUMIFS('HORAS TRABAJADAS'!G$1:G$65538,'HORAS TRABAJADAS'!A$1:A$65538,A133,'HORAS TRABAJADAS'!B$1:B$65538,"&gt;="&amp;B133,'HORAS TRABAJADAS'!B$1:B$65538,"&lt;="&amp;C133)</f>
        <v>0</v>
      </c>
      <c r="E133" s="538">
        <f>SUMIFS('HORAS TRABAJADAS'!H:H,'HORAS TRABAJADAS'!A:A,A133,'HORAS TRABAJADAS'!B:B,"&gt;="&amp;B133,'HORAS TRABAJADAS'!B:B,"&lt;="&amp;C133)</f>
        <v>0</v>
      </c>
      <c r="F133" s="538">
        <f>SUMIFS('HORAS TRABAJADAS'!I:I,'HORAS TRABAJADAS'!A:A,A133,'HORAS TRABAJADAS'!B:B,"&gt;="&amp;B133,'HORAS TRABAJADAS'!B:B,"&lt;="&amp;C133)</f>
        <v>0</v>
      </c>
      <c r="G133" s="538">
        <f>SUMIFS('HORAS TRABAJADAS'!J:J,'HORAS TRABAJADAS'!A:A,A133,'HORAS TRABAJADAS'!B:B,"&gt;="&amp;B133,'HORAS TRABAJADAS'!B:B,"&lt;="&amp;C133)</f>
        <v>0</v>
      </c>
      <c r="H133" s="538">
        <f>SUMIFS('HORAS TRABAJADAS'!K:K,'HORAS TRABAJADAS'!A:A,A133,'HORAS TRABAJADAS'!B:B,"&gt;="&amp;B133,'HORAS TRABAJADAS'!B:B,"&lt;="&amp;C133)</f>
        <v>0</v>
      </c>
      <c r="I133" s="538">
        <f>SUMIFS('HORAS TRABAJADAS'!L:L,'HORAS TRABAJADAS'!A:A,A133,'HORAS TRABAJADAS'!B:B,"&gt;="&amp;B133,'HORAS TRABAJADAS'!B:B,"&lt;="&amp;C133)</f>
        <v>0</v>
      </c>
      <c r="J133" s="538">
        <f>SUMIFS('HORAS TRABAJADAS'!M:M,'HORAS TRABAJADAS'!A:A,A133,'HORAS TRABAJADAS'!B:B,"&gt;="&amp;B133,'HORAS TRABAJADAS'!B:B,"&lt;="&amp;C133)</f>
        <v>0</v>
      </c>
      <c r="K133" s="539">
        <f>SUMIFS('HORAS TRABAJADAS'!N:N,'HORAS TRABAJADAS'!A:A,A133,'HORAS TRABAJADAS'!B:B,"&gt;="&amp;B133,'HORAS TRABAJADAS'!B:B,"&lt;="&amp;C133)</f>
        <v>0</v>
      </c>
      <c r="L133" s="533" t="str">
        <f t="shared" si="4"/>
        <v>0 horas y 0 minutos</v>
      </c>
      <c r="M133" s="534">
        <f>SUMIFS('HORAS TRABAJADAS'!Q:Q,'HORAS TRABAJADAS'!A:A,A133,'HORAS TRABAJADAS'!B:B,"&gt;="&amp;B133,'HORAS TRABAJADAS'!B:B,"&lt;="&amp;C133)</f>
        <v>0</v>
      </c>
      <c r="N133" s="535">
        <f t="shared" si="5"/>
        <v>0</v>
      </c>
    </row>
    <row r="134" spans="1:14">
      <c r="A134" s="578">
        <v>1321648522</v>
      </c>
      <c r="B134" s="579">
        <v>43435</v>
      </c>
      <c r="C134" s="580">
        <v>43465</v>
      </c>
      <c r="D134" s="537">
        <f>SUMIFS('HORAS TRABAJADAS'!G$1:G$65538,'HORAS TRABAJADAS'!A$1:A$65538,A134,'HORAS TRABAJADAS'!B$1:B$65538,"&gt;="&amp;B134,'HORAS TRABAJADAS'!B$1:B$65538,"&lt;="&amp;C134)</f>
        <v>0</v>
      </c>
      <c r="E134" s="538">
        <f>SUMIFS('HORAS TRABAJADAS'!H:H,'HORAS TRABAJADAS'!A:A,A134,'HORAS TRABAJADAS'!B:B,"&gt;="&amp;B134,'HORAS TRABAJADAS'!B:B,"&lt;="&amp;C134)</f>
        <v>0</v>
      </c>
      <c r="F134" s="538">
        <f>SUMIFS('HORAS TRABAJADAS'!I:I,'HORAS TRABAJADAS'!A:A,A134,'HORAS TRABAJADAS'!B:B,"&gt;="&amp;B134,'HORAS TRABAJADAS'!B:B,"&lt;="&amp;C134)</f>
        <v>0</v>
      </c>
      <c r="G134" s="538">
        <f>SUMIFS('HORAS TRABAJADAS'!J:J,'HORAS TRABAJADAS'!A:A,A134,'HORAS TRABAJADAS'!B:B,"&gt;="&amp;B134,'HORAS TRABAJADAS'!B:B,"&lt;="&amp;C134)</f>
        <v>0</v>
      </c>
      <c r="H134" s="538">
        <f>SUMIFS('HORAS TRABAJADAS'!K:K,'HORAS TRABAJADAS'!A:A,A134,'HORAS TRABAJADAS'!B:B,"&gt;="&amp;B134,'HORAS TRABAJADAS'!B:B,"&lt;="&amp;C134)</f>
        <v>0</v>
      </c>
      <c r="I134" s="538">
        <f>SUMIFS('HORAS TRABAJADAS'!L:L,'HORAS TRABAJADAS'!A:A,A134,'HORAS TRABAJADAS'!B:B,"&gt;="&amp;B134,'HORAS TRABAJADAS'!B:B,"&lt;="&amp;C134)</f>
        <v>0</v>
      </c>
      <c r="J134" s="538">
        <f>SUMIFS('HORAS TRABAJADAS'!M:M,'HORAS TRABAJADAS'!A:A,A134,'HORAS TRABAJADAS'!B:B,"&gt;="&amp;B134,'HORAS TRABAJADAS'!B:B,"&lt;="&amp;C134)</f>
        <v>0</v>
      </c>
      <c r="K134" s="539">
        <f>SUMIFS('HORAS TRABAJADAS'!N:N,'HORAS TRABAJADAS'!A:A,A134,'HORAS TRABAJADAS'!B:B,"&gt;="&amp;B134,'HORAS TRABAJADAS'!B:B,"&lt;="&amp;C134)</f>
        <v>0</v>
      </c>
      <c r="L134" s="533" t="str">
        <f t="shared" si="4"/>
        <v>0 horas y 0 minutos</v>
      </c>
      <c r="M134" s="534">
        <f>SUMIFS('HORAS TRABAJADAS'!Q:Q,'HORAS TRABAJADAS'!A:A,A134,'HORAS TRABAJADAS'!B:B,"&gt;="&amp;B134,'HORAS TRABAJADAS'!B:B,"&lt;="&amp;C134)</f>
        <v>0</v>
      </c>
      <c r="N134" s="535">
        <f t="shared" si="5"/>
        <v>0</v>
      </c>
    </row>
    <row r="135" spans="1:14">
      <c r="A135" s="578">
        <v>1323384207</v>
      </c>
      <c r="B135" s="579">
        <v>43435</v>
      </c>
      <c r="C135" s="580">
        <v>43465</v>
      </c>
      <c r="D135" s="537">
        <f>SUMIFS('HORAS TRABAJADAS'!G$1:G$65538,'HORAS TRABAJADAS'!A$1:A$65538,A135,'HORAS TRABAJADAS'!B$1:B$65538,"&gt;="&amp;B135,'HORAS TRABAJADAS'!B$1:B$65538,"&lt;="&amp;C135)</f>
        <v>0</v>
      </c>
      <c r="E135" s="538">
        <f>SUMIFS('HORAS TRABAJADAS'!H:H,'HORAS TRABAJADAS'!A:A,A135,'HORAS TRABAJADAS'!B:B,"&gt;="&amp;B135,'HORAS TRABAJADAS'!B:B,"&lt;="&amp;C135)</f>
        <v>0</v>
      </c>
      <c r="F135" s="538">
        <f>SUMIFS('HORAS TRABAJADAS'!I:I,'HORAS TRABAJADAS'!A:A,A135,'HORAS TRABAJADAS'!B:B,"&gt;="&amp;B135,'HORAS TRABAJADAS'!B:B,"&lt;="&amp;C135)</f>
        <v>0</v>
      </c>
      <c r="G135" s="538">
        <f>SUMIFS('HORAS TRABAJADAS'!J:J,'HORAS TRABAJADAS'!A:A,A135,'HORAS TRABAJADAS'!B:B,"&gt;="&amp;B135,'HORAS TRABAJADAS'!B:B,"&lt;="&amp;C135)</f>
        <v>0</v>
      </c>
      <c r="H135" s="538">
        <f>SUMIFS('HORAS TRABAJADAS'!K:K,'HORAS TRABAJADAS'!A:A,A135,'HORAS TRABAJADAS'!B:B,"&gt;="&amp;B135,'HORAS TRABAJADAS'!B:B,"&lt;="&amp;C135)</f>
        <v>0</v>
      </c>
      <c r="I135" s="538">
        <f>SUMIFS('HORAS TRABAJADAS'!L:L,'HORAS TRABAJADAS'!A:A,A135,'HORAS TRABAJADAS'!B:B,"&gt;="&amp;B135,'HORAS TRABAJADAS'!B:B,"&lt;="&amp;C135)</f>
        <v>0</v>
      </c>
      <c r="J135" s="538">
        <f>SUMIFS('HORAS TRABAJADAS'!M:M,'HORAS TRABAJADAS'!A:A,A135,'HORAS TRABAJADAS'!B:B,"&gt;="&amp;B135,'HORAS TRABAJADAS'!B:B,"&lt;="&amp;C135)</f>
        <v>0</v>
      </c>
      <c r="K135" s="539">
        <f>SUMIFS('HORAS TRABAJADAS'!N:N,'HORAS TRABAJADAS'!A:A,A135,'HORAS TRABAJADAS'!B:B,"&gt;="&amp;B135,'HORAS TRABAJADAS'!B:B,"&lt;="&amp;C135)</f>
        <v>0</v>
      </c>
      <c r="L135" s="533" t="str">
        <f t="shared" si="4"/>
        <v>0 horas y 0 minutos</v>
      </c>
      <c r="M135" s="534">
        <f>SUMIFS('HORAS TRABAJADAS'!Q:Q,'HORAS TRABAJADAS'!A:A,A135,'HORAS TRABAJADAS'!B:B,"&gt;="&amp;B135,'HORAS TRABAJADAS'!B:B,"&lt;="&amp;C135)</f>
        <v>0</v>
      </c>
      <c r="N135" s="535">
        <f t="shared" si="5"/>
        <v>0</v>
      </c>
    </row>
    <row r="136" spans="1:14">
      <c r="A136" s="578">
        <v>1237462775</v>
      </c>
      <c r="B136" s="579">
        <v>43435</v>
      </c>
      <c r="C136" s="580">
        <v>43465</v>
      </c>
      <c r="D136" s="537">
        <f>SUMIFS('HORAS TRABAJADAS'!G$1:G$65538,'HORAS TRABAJADAS'!A$1:A$65538,A136,'HORAS TRABAJADAS'!B$1:B$65538,"&gt;="&amp;B136,'HORAS TRABAJADAS'!B$1:B$65538,"&lt;="&amp;C136)</f>
        <v>0</v>
      </c>
      <c r="E136" s="538">
        <f>SUMIFS('HORAS TRABAJADAS'!H:H,'HORAS TRABAJADAS'!A:A,A136,'HORAS TRABAJADAS'!B:B,"&gt;="&amp;B136,'HORAS TRABAJADAS'!B:B,"&lt;="&amp;C136)</f>
        <v>0</v>
      </c>
      <c r="F136" s="538">
        <f>SUMIFS('HORAS TRABAJADAS'!I:I,'HORAS TRABAJADAS'!A:A,A136,'HORAS TRABAJADAS'!B:B,"&gt;="&amp;B136,'HORAS TRABAJADAS'!B:B,"&lt;="&amp;C136)</f>
        <v>0</v>
      </c>
      <c r="G136" s="538">
        <f>SUMIFS('HORAS TRABAJADAS'!J:J,'HORAS TRABAJADAS'!A:A,A136,'HORAS TRABAJADAS'!B:B,"&gt;="&amp;B136,'HORAS TRABAJADAS'!B:B,"&lt;="&amp;C136)</f>
        <v>0</v>
      </c>
      <c r="H136" s="538">
        <f>SUMIFS('HORAS TRABAJADAS'!K:K,'HORAS TRABAJADAS'!A:A,A136,'HORAS TRABAJADAS'!B:B,"&gt;="&amp;B136,'HORAS TRABAJADAS'!B:B,"&lt;="&amp;C136)</f>
        <v>0</v>
      </c>
      <c r="I136" s="538">
        <f>SUMIFS('HORAS TRABAJADAS'!L:L,'HORAS TRABAJADAS'!A:A,A136,'HORAS TRABAJADAS'!B:B,"&gt;="&amp;B136,'HORAS TRABAJADAS'!B:B,"&lt;="&amp;C136)</f>
        <v>0</v>
      </c>
      <c r="J136" s="538">
        <f>SUMIFS('HORAS TRABAJADAS'!M:M,'HORAS TRABAJADAS'!A:A,A136,'HORAS TRABAJADAS'!B:B,"&gt;="&amp;B136,'HORAS TRABAJADAS'!B:B,"&lt;="&amp;C136)</f>
        <v>0</v>
      </c>
      <c r="K136" s="539">
        <f>SUMIFS('HORAS TRABAJADAS'!N:N,'HORAS TRABAJADAS'!A:A,A136,'HORAS TRABAJADAS'!B:B,"&gt;="&amp;B136,'HORAS TRABAJADAS'!B:B,"&lt;="&amp;C136)</f>
        <v>0</v>
      </c>
      <c r="L136" s="533" t="str">
        <f t="shared" si="4"/>
        <v>0 horas y 0 minutos</v>
      </c>
      <c r="M136" s="534">
        <f>SUMIFS('HORAS TRABAJADAS'!Q:Q,'HORAS TRABAJADAS'!A:A,A136,'HORAS TRABAJADAS'!B:B,"&gt;="&amp;B136,'HORAS TRABAJADAS'!B:B,"&lt;="&amp;C136)</f>
        <v>0</v>
      </c>
      <c r="N136" s="535">
        <f t="shared" si="5"/>
        <v>0</v>
      </c>
    </row>
    <row r="137" spans="1:14">
      <c r="A137" s="578">
        <v>1285748000</v>
      </c>
      <c r="B137" s="579">
        <v>43435</v>
      </c>
      <c r="C137" s="580">
        <v>43465</v>
      </c>
      <c r="D137" s="537">
        <f>SUMIFS('HORAS TRABAJADAS'!G$1:G$65538,'HORAS TRABAJADAS'!A$1:A$65538,A137,'HORAS TRABAJADAS'!B$1:B$65538,"&gt;="&amp;B137,'HORAS TRABAJADAS'!B$1:B$65538,"&lt;="&amp;C137)</f>
        <v>4</v>
      </c>
      <c r="E137" s="538">
        <f>SUMIFS('HORAS TRABAJADAS'!H:H,'HORAS TRABAJADAS'!A:A,A137,'HORAS TRABAJADAS'!B:B,"&gt;="&amp;B137,'HORAS TRABAJADAS'!B:B,"&lt;="&amp;C137)</f>
        <v>4</v>
      </c>
      <c r="F137" s="538">
        <f>SUMIFS('HORAS TRABAJADAS'!I:I,'HORAS TRABAJADAS'!A:A,A137,'HORAS TRABAJADAS'!B:B,"&gt;="&amp;B137,'HORAS TRABAJADAS'!B:B,"&lt;="&amp;C137)</f>
        <v>0</v>
      </c>
      <c r="G137" s="538">
        <f>SUMIFS('HORAS TRABAJADAS'!J:J,'HORAS TRABAJADAS'!A:A,A137,'HORAS TRABAJADAS'!B:B,"&gt;="&amp;B137,'HORAS TRABAJADAS'!B:B,"&lt;="&amp;C137)</f>
        <v>0</v>
      </c>
      <c r="H137" s="538">
        <f>SUMIFS('HORAS TRABAJADAS'!K:K,'HORAS TRABAJADAS'!A:A,A137,'HORAS TRABAJADAS'!B:B,"&gt;="&amp;B137,'HORAS TRABAJADAS'!B:B,"&lt;="&amp;C137)</f>
        <v>0</v>
      </c>
      <c r="I137" s="538">
        <f>SUMIFS('HORAS TRABAJADAS'!L:L,'HORAS TRABAJADAS'!A:A,A137,'HORAS TRABAJADAS'!B:B,"&gt;="&amp;B137,'HORAS TRABAJADAS'!B:B,"&lt;="&amp;C137)</f>
        <v>0</v>
      </c>
      <c r="J137" s="538">
        <f>SUMIFS('HORAS TRABAJADAS'!M:M,'HORAS TRABAJADAS'!A:A,A137,'HORAS TRABAJADAS'!B:B,"&gt;="&amp;B137,'HORAS TRABAJADAS'!B:B,"&lt;="&amp;C137)</f>
        <v>0</v>
      </c>
      <c r="K137" s="539">
        <f>SUMIFS('HORAS TRABAJADAS'!N:N,'HORAS TRABAJADAS'!A:A,A137,'HORAS TRABAJADAS'!B:B,"&gt;="&amp;B137,'HORAS TRABAJADAS'!B:B,"&lt;="&amp;C137)</f>
        <v>0</v>
      </c>
      <c r="L137" s="533" t="str">
        <f t="shared" si="4"/>
        <v>7 horas y 20 minutos</v>
      </c>
      <c r="M137" s="534">
        <f>SUMIFS('HORAS TRABAJADAS'!Q:Q,'HORAS TRABAJADAS'!A:A,A137,'HORAS TRABAJADAS'!B:B,"&gt;="&amp;B137,'HORAS TRABAJADAS'!B:B,"&lt;="&amp;C137)</f>
        <v>440</v>
      </c>
      <c r="N137" s="535">
        <f t="shared" si="5"/>
        <v>0</v>
      </c>
    </row>
    <row r="138" spans="1:14">
      <c r="A138" s="578">
        <v>1247550875</v>
      </c>
      <c r="B138" s="579">
        <v>43435</v>
      </c>
      <c r="C138" s="580">
        <v>43465</v>
      </c>
      <c r="D138" s="537">
        <f>SUMIFS('HORAS TRABAJADAS'!G$1:G$65538,'HORAS TRABAJADAS'!A$1:A$65538,A138,'HORAS TRABAJADAS'!B$1:B$65538,"&gt;="&amp;B138,'HORAS TRABAJADAS'!B$1:B$65538,"&lt;="&amp;C138)</f>
        <v>0</v>
      </c>
      <c r="E138" s="538">
        <f>SUMIFS('HORAS TRABAJADAS'!H:H,'HORAS TRABAJADAS'!A:A,A138,'HORAS TRABAJADAS'!B:B,"&gt;="&amp;B138,'HORAS TRABAJADAS'!B:B,"&lt;="&amp;C138)</f>
        <v>0</v>
      </c>
      <c r="F138" s="538">
        <f>SUMIFS('HORAS TRABAJADAS'!I:I,'HORAS TRABAJADAS'!A:A,A138,'HORAS TRABAJADAS'!B:B,"&gt;="&amp;B138,'HORAS TRABAJADAS'!B:B,"&lt;="&amp;C138)</f>
        <v>0</v>
      </c>
      <c r="G138" s="538">
        <f>SUMIFS('HORAS TRABAJADAS'!J:J,'HORAS TRABAJADAS'!A:A,A138,'HORAS TRABAJADAS'!B:B,"&gt;="&amp;B138,'HORAS TRABAJADAS'!B:B,"&lt;="&amp;C138)</f>
        <v>0</v>
      </c>
      <c r="H138" s="538">
        <f>SUMIFS('HORAS TRABAJADAS'!K:K,'HORAS TRABAJADAS'!A:A,A138,'HORAS TRABAJADAS'!B:B,"&gt;="&amp;B138,'HORAS TRABAJADAS'!B:B,"&lt;="&amp;C138)</f>
        <v>0</v>
      </c>
      <c r="I138" s="538">
        <f>SUMIFS('HORAS TRABAJADAS'!L:L,'HORAS TRABAJADAS'!A:A,A138,'HORAS TRABAJADAS'!B:B,"&gt;="&amp;B138,'HORAS TRABAJADAS'!B:B,"&lt;="&amp;C138)</f>
        <v>0</v>
      </c>
      <c r="J138" s="538">
        <f>SUMIFS('HORAS TRABAJADAS'!M:M,'HORAS TRABAJADAS'!A:A,A138,'HORAS TRABAJADAS'!B:B,"&gt;="&amp;B138,'HORAS TRABAJADAS'!B:B,"&lt;="&amp;C138)</f>
        <v>0</v>
      </c>
      <c r="K138" s="539">
        <f>SUMIFS('HORAS TRABAJADAS'!N:N,'HORAS TRABAJADAS'!A:A,A138,'HORAS TRABAJADAS'!B:B,"&gt;="&amp;B138,'HORAS TRABAJADAS'!B:B,"&lt;="&amp;C138)</f>
        <v>0</v>
      </c>
      <c r="L138" s="533" t="str">
        <f t="shared" si="4"/>
        <v>0 horas y 0 minutos</v>
      </c>
      <c r="M138" s="534">
        <f>SUMIFS('HORAS TRABAJADAS'!Q:Q,'HORAS TRABAJADAS'!A:A,A138,'HORAS TRABAJADAS'!B:B,"&gt;="&amp;B138,'HORAS TRABAJADAS'!B:B,"&lt;="&amp;C138)</f>
        <v>0</v>
      </c>
      <c r="N138" s="535">
        <f t="shared" si="5"/>
        <v>0</v>
      </c>
    </row>
    <row r="139" spans="1:14">
      <c r="A139" s="578">
        <v>1311966071</v>
      </c>
      <c r="B139" s="579">
        <v>43435</v>
      </c>
      <c r="C139" s="580">
        <v>43465</v>
      </c>
      <c r="D139" s="537">
        <f>SUMIFS('HORAS TRABAJADAS'!G$1:G$65538,'HORAS TRABAJADAS'!A$1:A$65538,A139,'HORAS TRABAJADAS'!B$1:B$65538,"&gt;="&amp;B139,'HORAS TRABAJADAS'!B$1:B$65538,"&lt;="&amp;C139)</f>
        <v>0</v>
      </c>
      <c r="E139" s="538">
        <f>SUMIFS('HORAS TRABAJADAS'!H:H,'HORAS TRABAJADAS'!A:A,A139,'HORAS TRABAJADAS'!B:B,"&gt;="&amp;B139,'HORAS TRABAJADAS'!B:B,"&lt;="&amp;C139)</f>
        <v>0</v>
      </c>
      <c r="F139" s="538">
        <f>SUMIFS('HORAS TRABAJADAS'!I:I,'HORAS TRABAJADAS'!A:A,A139,'HORAS TRABAJADAS'!B:B,"&gt;="&amp;B139,'HORAS TRABAJADAS'!B:B,"&lt;="&amp;C139)</f>
        <v>0</v>
      </c>
      <c r="G139" s="538">
        <f>SUMIFS('HORAS TRABAJADAS'!J:J,'HORAS TRABAJADAS'!A:A,A139,'HORAS TRABAJADAS'!B:B,"&gt;="&amp;B139,'HORAS TRABAJADAS'!B:B,"&lt;="&amp;C139)</f>
        <v>0</v>
      </c>
      <c r="H139" s="538">
        <f>SUMIFS('HORAS TRABAJADAS'!K:K,'HORAS TRABAJADAS'!A:A,A139,'HORAS TRABAJADAS'!B:B,"&gt;="&amp;B139,'HORAS TRABAJADAS'!B:B,"&lt;="&amp;C139)</f>
        <v>0</v>
      </c>
      <c r="I139" s="538">
        <f>SUMIFS('HORAS TRABAJADAS'!L:L,'HORAS TRABAJADAS'!A:A,A139,'HORAS TRABAJADAS'!B:B,"&gt;="&amp;B139,'HORAS TRABAJADAS'!B:B,"&lt;="&amp;C139)</f>
        <v>0</v>
      </c>
      <c r="J139" s="538">
        <f>SUMIFS('HORAS TRABAJADAS'!M:M,'HORAS TRABAJADAS'!A:A,A139,'HORAS TRABAJADAS'!B:B,"&gt;="&amp;B139,'HORAS TRABAJADAS'!B:B,"&lt;="&amp;C139)</f>
        <v>0</v>
      </c>
      <c r="K139" s="539">
        <f>SUMIFS('HORAS TRABAJADAS'!N:N,'HORAS TRABAJADAS'!A:A,A139,'HORAS TRABAJADAS'!B:B,"&gt;="&amp;B139,'HORAS TRABAJADAS'!B:B,"&lt;="&amp;C139)</f>
        <v>0</v>
      </c>
      <c r="L139" s="533" t="str">
        <f t="shared" si="4"/>
        <v>0 horas y 0 minutos</v>
      </c>
      <c r="M139" s="534">
        <f>SUMIFS('HORAS TRABAJADAS'!Q:Q,'HORAS TRABAJADAS'!A:A,A139,'HORAS TRABAJADAS'!B:B,"&gt;="&amp;B139,'HORAS TRABAJADAS'!B:B,"&lt;="&amp;C139)</f>
        <v>0</v>
      </c>
      <c r="N139" s="535">
        <f t="shared" si="5"/>
        <v>0</v>
      </c>
    </row>
    <row r="140" spans="1:14">
      <c r="A140" s="578">
        <v>1317424267</v>
      </c>
      <c r="B140" s="579">
        <v>43435</v>
      </c>
      <c r="C140" s="580">
        <v>43465</v>
      </c>
      <c r="D140" s="537">
        <f>SUMIFS('HORAS TRABAJADAS'!G$1:G$65538,'HORAS TRABAJADAS'!A$1:A$65538,A140,'HORAS TRABAJADAS'!B$1:B$65538,"&gt;="&amp;B140,'HORAS TRABAJADAS'!B$1:B$65538,"&lt;="&amp;C140)</f>
        <v>0</v>
      </c>
      <c r="E140" s="538">
        <f>SUMIFS('HORAS TRABAJADAS'!H:H,'HORAS TRABAJADAS'!A:A,A140,'HORAS TRABAJADAS'!B:B,"&gt;="&amp;B140,'HORAS TRABAJADAS'!B:B,"&lt;="&amp;C140)</f>
        <v>0</v>
      </c>
      <c r="F140" s="538">
        <f>SUMIFS('HORAS TRABAJADAS'!I:I,'HORAS TRABAJADAS'!A:A,A140,'HORAS TRABAJADAS'!B:B,"&gt;="&amp;B140,'HORAS TRABAJADAS'!B:B,"&lt;="&amp;C140)</f>
        <v>0</v>
      </c>
      <c r="G140" s="538">
        <f>SUMIFS('HORAS TRABAJADAS'!J:J,'HORAS TRABAJADAS'!A:A,A140,'HORAS TRABAJADAS'!B:B,"&gt;="&amp;B140,'HORAS TRABAJADAS'!B:B,"&lt;="&amp;C140)</f>
        <v>0</v>
      </c>
      <c r="H140" s="538">
        <f>SUMIFS('HORAS TRABAJADAS'!K:K,'HORAS TRABAJADAS'!A:A,A140,'HORAS TRABAJADAS'!B:B,"&gt;="&amp;B140,'HORAS TRABAJADAS'!B:B,"&lt;="&amp;C140)</f>
        <v>0</v>
      </c>
      <c r="I140" s="538">
        <f>SUMIFS('HORAS TRABAJADAS'!L:L,'HORAS TRABAJADAS'!A:A,A140,'HORAS TRABAJADAS'!B:B,"&gt;="&amp;B140,'HORAS TRABAJADAS'!B:B,"&lt;="&amp;C140)</f>
        <v>0</v>
      </c>
      <c r="J140" s="538">
        <f>SUMIFS('HORAS TRABAJADAS'!M:M,'HORAS TRABAJADAS'!A:A,A140,'HORAS TRABAJADAS'!B:B,"&gt;="&amp;B140,'HORAS TRABAJADAS'!B:B,"&lt;="&amp;C140)</f>
        <v>0</v>
      </c>
      <c r="K140" s="539">
        <f>SUMIFS('HORAS TRABAJADAS'!N:N,'HORAS TRABAJADAS'!A:A,A140,'HORAS TRABAJADAS'!B:B,"&gt;="&amp;B140,'HORAS TRABAJADAS'!B:B,"&lt;="&amp;C140)</f>
        <v>0</v>
      </c>
      <c r="L140" s="533" t="str">
        <f t="shared" si="4"/>
        <v>0 horas y 0 minutos</v>
      </c>
      <c r="M140" s="534">
        <f>SUMIFS('HORAS TRABAJADAS'!Q:Q,'HORAS TRABAJADAS'!A:A,A140,'HORAS TRABAJADAS'!B:B,"&gt;="&amp;B140,'HORAS TRABAJADAS'!B:B,"&lt;="&amp;C140)</f>
        <v>0</v>
      </c>
      <c r="N140" s="535">
        <f t="shared" si="5"/>
        <v>0</v>
      </c>
    </row>
    <row r="141" spans="1:14">
      <c r="A141" s="578">
        <v>1315211554</v>
      </c>
      <c r="B141" s="579">
        <v>43435</v>
      </c>
      <c r="C141" s="580">
        <v>43465</v>
      </c>
      <c r="D141" s="537">
        <f>SUMIFS('HORAS TRABAJADAS'!G$1:G$65538,'HORAS TRABAJADAS'!A$1:A$65538,A141,'HORAS TRABAJADAS'!B$1:B$65538,"&gt;="&amp;B141,'HORAS TRABAJADAS'!B$1:B$65538,"&lt;="&amp;C141)</f>
        <v>0</v>
      </c>
      <c r="E141" s="538">
        <f>SUMIFS('HORAS TRABAJADAS'!H:H,'HORAS TRABAJADAS'!A:A,A141,'HORAS TRABAJADAS'!B:B,"&gt;="&amp;B141,'HORAS TRABAJADAS'!B:B,"&lt;="&amp;C141)</f>
        <v>0</v>
      </c>
      <c r="F141" s="538">
        <f>SUMIFS('HORAS TRABAJADAS'!I:I,'HORAS TRABAJADAS'!A:A,A141,'HORAS TRABAJADAS'!B:B,"&gt;="&amp;B141,'HORAS TRABAJADAS'!B:B,"&lt;="&amp;C141)</f>
        <v>0</v>
      </c>
      <c r="G141" s="538">
        <f>SUMIFS('HORAS TRABAJADAS'!J:J,'HORAS TRABAJADAS'!A:A,A141,'HORAS TRABAJADAS'!B:B,"&gt;="&amp;B141,'HORAS TRABAJADAS'!B:B,"&lt;="&amp;C141)</f>
        <v>0</v>
      </c>
      <c r="H141" s="538">
        <f>SUMIFS('HORAS TRABAJADAS'!K:K,'HORAS TRABAJADAS'!A:A,A141,'HORAS TRABAJADAS'!B:B,"&gt;="&amp;B141,'HORAS TRABAJADAS'!B:B,"&lt;="&amp;C141)</f>
        <v>0</v>
      </c>
      <c r="I141" s="538">
        <f>SUMIFS('HORAS TRABAJADAS'!L:L,'HORAS TRABAJADAS'!A:A,A141,'HORAS TRABAJADAS'!B:B,"&gt;="&amp;B141,'HORAS TRABAJADAS'!B:B,"&lt;="&amp;C141)</f>
        <v>0</v>
      </c>
      <c r="J141" s="538">
        <f>SUMIFS('HORAS TRABAJADAS'!M:M,'HORAS TRABAJADAS'!A:A,A141,'HORAS TRABAJADAS'!B:B,"&gt;="&amp;B141,'HORAS TRABAJADAS'!B:B,"&lt;="&amp;C141)</f>
        <v>0</v>
      </c>
      <c r="K141" s="539">
        <f>SUMIFS('HORAS TRABAJADAS'!N:N,'HORAS TRABAJADAS'!A:A,A141,'HORAS TRABAJADAS'!B:B,"&gt;="&amp;B141,'HORAS TRABAJADAS'!B:B,"&lt;="&amp;C141)</f>
        <v>0</v>
      </c>
      <c r="L141" s="533" t="str">
        <f t="shared" ref="L141:L144" si="6">INT(CONVERT(M141,"mn","hr"))&amp;" horas y "&amp;MOD(M141,60)&amp;" minutos"</f>
        <v>0 horas y 0 minutos</v>
      </c>
      <c r="M141" s="534">
        <f>SUMIFS('HORAS TRABAJADAS'!Q:Q,'HORAS TRABAJADAS'!A:A,A141,'HORAS TRABAJADAS'!B:B,"&gt;="&amp;B141,'HORAS TRABAJADAS'!B:B,"&lt;="&amp;C141)</f>
        <v>0</v>
      </c>
      <c r="N141" s="535">
        <f t="shared" si="5"/>
        <v>0</v>
      </c>
    </row>
    <row r="142" spans="1:14">
      <c r="A142" s="578">
        <v>1241318672</v>
      </c>
      <c r="B142" s="579">
        <v>43435</v>
      </c>
      <c r="C142" s="580">
        <v>43465</v>
      </c>
      <c r="D142" s="537">
        <f>SUMIFS('HORAS TRABAJADAS'!G$1:G$65538,'HORAS TRABAJADAS'!A$1:A$65538,A142,'HORAS TRABAJADAS'!B$1:B$65538,"&gt;="&amp;B142,'HORAS TRABAJADAS'!B$1:B$65538,"&lt;="&amp;C142)</f>
        <v>0</v>
      </c>
      <c r="E142" s="538">
        <f>SUMIFS('HORAS TRABAJADAS'!H:H,'HORAS TRABAJADAS'!A:A,A142,'HORAS TRABAJADAS'!B:B,"&gt;="&amp;B142,'HORAS TRABAJADAS'!B:B,"&lt;="&amp;C142)</f>
        <v>0</v>
      </c>
      <c r="F142" s="538">
        <f>SUMIFS('HORAS TRABAJADAS'!I:I,'HORAS TRABAJADAS'!A:A,A142,'HORAS TRABAJADAS'!B:B,"&gt;="&amp;B142,'HORAS TRABAJADAS'!B:B,"&lt;="&amp;C142)</f>
        <v>0</v>
      </c>
      <c r="G142" s="538">
        <f>SUMIFS('HORAS TRABAJADAS'!J:J,'HORAS TRABAJADAS'!A:A,A142,'HORAS TRABAJADAS'!B:B,"&gt;="&amp;B142,'HORAS TRABAJADAS'!B:B,"&lt;="&amp;C142)</f>
        <v>0</v>
      </c>
      <c r="H142" s="538">
        <f>SUMIFS('HORAS TRABAJADAS'!K:K,'HORAS TRABAJADAS'!A:A,A142,'HORAS TRABAJADAS'!B:B,"&gt;="&amp;B142,'HORAS TRABAJADAS'!B:B,"&lt;="&amp;C142)</f>
        <v>0</v>
      </c>
      <c r="I142" s="538">
        <f>SUMIFS('HORAS TRABAJADAS'!L:L,'HORAS TRABAJADAS'!A:A,A142,'HORAS TRABAJADAS'!B:B,"&gt;="&amp;B142,'HORAS TRABAJADAS'!B:B,"&lt;="&amp;C142)</f>
        <v>0</v>
      </c>
      <c r="J142" s="538">
        <f>SUMIFS('HORAS TRABAJADAS'!M:M,'HORAS TRABAJADAS'!A:A,A142,'HORAS TRABAJADAS'!B:B,"&gt;="&amp;B142,'HORAS TRABAJADAS'!B:B,"&lt;="&amp;C142)</f>
        <v>0</v>
      </c>
      <c r="K142" s="539">
        <f>SUMIFS('HORAS TRABAJADAS'!N:N,'HORAS TRABAJADAS'!A:A,A142,'HORAS TRABAJADAS'!B:B,"&gt;="&amp;B142,'HORAS TRABAJADAS'!B:B,"&lt;="&amp;C142)</f>
        <v>0</v>
      </c>
      <c r="L142" s="533" t="str">
        <f t="shared" si="6"/>
        <v>0 horas y 0 minutos</v>
      </c>
      <c r="M142" s="534">
        <f>SUMIFS('HORAS TRABAJADAS'!Q:Q,'HORAS TRABAJADAS'!A:A,A142,'HORAS TRABAJADAS'!B:B,"&gt;="&amp;B142,'HORAS TRABAJADAS'!B:B,"&lt;="&amp;C142)</f>
        <v>0</v>
      </c>
      <c r="N142" s="535">
        <f t="shared" si="5"/>
        <v>0</v>
      </c>
    </row>
    <row r="143" spans="1:14">
      <c r="A143" s="578">
        <v>1324063080</v>
      </c>
      <c r="B143" s="579">
        <v>43435</v>
      </c>
      <c r="C143" s="580">
        <v>43465</v>
      </c>
      <c r="D143" s="537">
        <f>SUMIFS('HORAS TRABAJADAS'!G$1:G$65538,'HORAS TRABAJADAS'!A$1:A$65538,A143,'HORAS TRABAJADAS'!B$1:B$65538,"&gt;="&amp;B143,'HORAS TRABAJADAS'!B$1:B$65538,"&lt;="&amp;C143)</f>
        <v>0</v>
      </c>
      <c r="E143" s="538">
        <f>SUMIFS('HORAS TRABAJADAS'!H:H,'HORAS TRABAJADAS'!A:A,A143,'HORAS TRABAJADAS'!B:B,"&gt;="&amp;B143,'HORAS TRABAJADAS'!B:B,"&lt;="&amp;C143)</f>
        <v>0</v>
      </c>
      <c r="F143" s="538">
        <f>SUMIFS('HORAS TRABAJADAS'!I:I,'HORAS TRABAJADAS'!A:A,A143,'HORAS TRABAJADAS'!B:B,"&gt;="&amp;B143,'HORAS TRABAJADAS'!B:B,"&lt;="&amp;C143)</f>
        <v>0</v>
      </c>
      <c r="G143" s="538">
        <f>SUMIFS('HORAS TRABAJADAS'!J:J,'HORAS TRABAJADAS'!A:A,A143,'HORAS TRABAJADAS'!B:B,"&gt;="&amp;B143,'HORAS TRABAJADAS'!B:B,"&lt;="&amp;C143)</f>
        <v>0</v>
      </c>
      <c r="H143" s="538">
        <f>SUMIFS('HORAS TRABAJADAS'!K:K,'HORAS TRABAJADAS'!A:A,A143,'HORAS TRABAJADAS'!B:B,"&gt;="&amp;B143,'HORAS TRABAJADAS'!B:B,"&lt;="&amp;C143)</f>
        <v>0</v>
      </c>
      <c r="I143" s="538">
        <f>SUMIFS('HORAS TRABAJADAS'!L:L,'HORAS TRABAJADAS'!A:A,A143,'HORAS TRABAJADAS'!B:B,"&gt;="&amp;B143,'HORAS TRABAJADAS'!B:B,"&lt;="&amp;C143)</f>
        <v>0</v>
      </c>
      <c r="J143" s="538">
        <f>SUMIFS('HORAS TRABAJADAS'!M:M,'HORAS TRABAJADAS'!A:A,A143,'HORAS TRABAJADAS'!B:B,"&gt;="&amp;B143,'HORAS TRABAJADAS'!B:B,"&lt;="&amp;C143)</f>
        <v>0</v>
      </c>
      <c r="K143" s="539">
        <f>SUMIFS('HORAS TRABAJADAS'!N:N,'HORAS TRABAJADAS'!A:A,A143,'HORAS TRABAJADAS'!B:B,"&gt;="&amp;B143,'HORAS TRABAJADAS'!B:B,"&lt;="&amp;C143)</f>
        <v>0</v>
      </c>
      <c r="L143" s="533" t="str">
        <f t="shared" si="6"/>
        <v>0 horas y 0 minutos</v>
      </c>
      <c r="M143" s="534">
        <f>SUMIFS('HORAS TRABAJADAS'!Q:Q,'HORAS TRABAJADAS'!A:A,A143,'HORAS TRABAJADAS'!B:B,"&gt;="&amp;B143,'HORAS TRABAJADAS'!B:B,"&lt;="&amp;C143)</f>
        <v>0</v>
      </c>
      <c r="N143" s="535">
        <f t="shared" si="5"/>
        <v>0</v>
      </c>
    </row>
    <row r="144" spans="1:14">
      <c r="A144" s="578">
        <v>1259425899</v>
      </c>
      <c r="B144" s="579">
        <v>43435</v>
      </c>
      <c r="C144" s="580">
        <v>43465</v>
      </c>
      <c r="D144" s="581">
        <f>SUMIFS('HORAS TRABAJADAS'!G$1:G$65538,'HORAS TRABAJADAS'!A$1:A$65538,A144,'HORAS TRABAJADAS'!B$1:B$65538,"&gt;="&amp;B144,'HORAS TRABAJADAS'!B$1:B$65538,"&lt;="&amp;C144)</f>
        <v>0</v>
      </c>
      <c r="E144" s="582">
        <f>SUMIFS('HORAS TRABAJADAS'!H:H,'HORAS TRABAJADAS'!A:A,A144,'HORAS TRABAJADAS'!B:B,"&gt;="&amp;B144,'HORAS TRABAJADAS'!B:B,"&lt;="&amp;C144)</f>
        <v>0</v>
      </c>
      <c r="F144" s="582">
        <f>SUMIFS('HORAS TRABAJADAS'!I:I,'HORAS TRABAJADAS'!A:A,A144,'HORAS TRABAJADAS'!B:B,"&gt;="&amp;B144,'HORAS TRABAJADAS'!B:B,"&lt;="&amp;C144)</f>
        <v>0</v>
      </c>
      <c r="G144" s="582">
        <f>SUMIFS('HORAS TRABAJADAS'!J:J,'HORAS TRABAJADAS'!A:A,A144,'HORAS TRABAJADAS'!B:B,"&gt;="&amp;B144,'HORAS TRABAJADAS'!B:B,"&lt;="&amp;C144)</f>
        <v>0</v>
      </c>
      <c r="H144" s="582">
        <f>SUMIFS('HORAS TRABAJADAS'!K:K,'HORAS TRABAJADAS'!A:A,A144,'HORAS TRABAJADAS'!B:B,"&gt;="&amp;B144,'HORAS TRABAJADAS'!B:B,"&lt;="&amp;C144)</f>
        <v>0</v>
      </c>
      <c r="I144" s="582">
        <f>SUMIFS('HORAS TRABAJADAS'!L:L,'HORAS TRABAJADAS'!A:A,A144,'HORAS TRABAJADAS'!B:B,"&gt;="&amp;B144,'HORAS TRABAJADAS'!B:B,"&lt;="&amp;C144)</f>
        <v>0</v>
      </c>
      <c r="J144" s="582">
        <f>SUMIFS('HORAS TRABAJADAS'!M:M,'HORAS TRABAJADAS'!A:A,A144,'HORAS TRABAJADAS'!B:B,"&gt;="&amp;B144,'HORAS TRABAJADAS'!B:B,"&lt;="&amp;C144)</f>
        <v>0</v>
      </c>
      <c r="K144" s="583">
        <f>SUMIFS('HORAS TRABAJADAS'!N:N,'HORAS TRABAJADAS'!A:A,A144,'HORAS TRABAJADAS'!B:B,"&gt;="&amp;B144,'HORAS TRABAJADAS'!B:B,"&lt;="&amp;C144)</f>
        <v>0</v>
      </c>
      <c r="L144" s="533" t="str">
        <f t="shared" si="6"/>
        <v>0 horas y 0 minutos</v>
      </c>
      <c r="M144" s="534">
        <f>SUMIFS('HORAS TRABAJADAS'!Q:Q,'HORAS TRABAJADAS'!A:A,A144,'HORAS TRABAJADAS'!B:B,"&gt;="&amp;B144,'HORAS TRABAJADAS'!B:B,"&lt;="&amp;C144)</f>
        <v>0</v>
      </c>
      <c r="N144" s="535">
        <f t="shared" si="5"/>
        <v>0</v>
      </c>
    </row>
    <row r="145" spans="1:14">
      <c r="A145" s="584"/>
      <c r="B145" s="585"/>
      <c r="C145" s="585"/>
      <c r="D145" s="586"/>
      <c r="E145" s="586"/>
      <c r="F145" s="586"/>
      <c r="G145" s="586"/>
      <c r="H145" s="586"/>
      <c r="I145" s="586"/>
      <c r="J145" s="586"/>
      <c r="K145" s="586"/>
      <c r="L145" s="587"/>
      <c r="M145" s="588"/>
      <c r="N145" s="588"/>
    </row>
    <row r="146" spans="1:14">
      <c r="A146" s="584"/>
      <c r="B146" s="585"/>
      <c r="C146" s="585"/>
      <c r="D146" s="586"/>
      <c r="E146" s="586"/>
      <c r="F146" s="586"/>
      <c r="G146" s="586"/>
      <c r="H146" s="586"/>
      <c r="I146" s="586"/>
      <c r="J146" s="586"/>
      <c r="K146" s="586"/>
      <c r="L146" s="587"/>
      <c r="M146" s="588"/>
      <c r="N146" s="588"/>
    </row>
    <row r="147" spans="1:14">
      <c r="A147" s="584"/>
      <c r="B147" s="585"/>
      <c r="C147" s="585"/>
      <c r="D147" s="586"/>
      <c r="E147" s="586"/>
      <c r="F147" s="586"/>
      <c r="G147" s="586"/>
      <c r="H147" s="586"/>
      <c r="I147" s="586"/>
      <c r="J147" s="586"/>
      <c r="K147" s="586"/>
      <c r="L147" s="587"/>
      <c r="M147" s="588"/>
      <c r="N147" s="588"/>
    </row>
    <row r="148" spans="1:14">
      <c r="A148" s="584"/>
      <c r="B148" s="585"/>
      <c r="C148" s="585"/>
      <c r="D148" s="586"/>
      <c r="E148" s="586"/>
      <c r="F148" s="586"/>
      <c r="G148" s="586"/>
      <c r="H148" s="586"/>
      <c r="I148" s="586"/>
      <c r="J148" s="586"/>
      <c r="K148" s="586"/>
      <c r="L148" s="587"/>
      <c r="M148" s="588"/>
      <c r="N148" s="588"/>
    </row>
    <row r="149" spans="1:14">
      <c r="A149" s="584"/>
      <c r="B149" s="585"/>
      <c r="C149" s="585"/>
      <c r="D149" s="586"/>
      <c r="E149" s="586"/>
      <c r="F149" s="586"/>
      <c r="G149" s="586"/>
      <c r="H149" s="586"/>
      <c r="I149" s="586"/>
      <c r="J149" s="586"/>
      <c r="K149" s="586"/>
      <c r="L149" s="587"/>
      <c r="M149" s="588"/>
      <c r="N149" s="588"/>
    </row>
    <row r="150" spans="1:14">
      <c r="A150" s="584"/>
      <c r="B150" s="585"/>
      <c r="C150" s="585"/>
      <c r="D150" s="586"/>
      <c r="E150" s="586"/>
      <c r="F150" s="586"/>
      <c r="G150" s="586"/>
      <c r="H150" s="586"/>
      <c r="I150" s="586"/>
      <c r="J150" s="586"/>
      <c r="K150" s="586"/>
      <c r="L150" s="587"/>
      <c r="M150" s="588"/>
      <c r="N150" s="588"/>
    </row>
    <row r="151" spans="1:14">
      <c r="A151" s="584"/>
      <c r="B151" s="585"/>
      <c r="C151" s="585"/>
      <c r="D151" s="586"/>
      <c r="E151" s="586"/>
      <c r="F151" s="586"/>
      <c r="G151" s="586"/>
      <c r="H151" s="586"/>
      <c r="I151" s="586"/>
      <c r="J151" s="586"/>
      <c r="K151" s="586"/>
      <c r="L151" s="587"/>
      <c r="M151" s="588"/>
      <c r="N151" s="588"/>
    </row>
    <row r="152" spans="1:14">
      <c r="A152" s="584"/>
      <c r="B152" s="585"/>
      <c r="C152" s="585"/>
      <c r="D152" s="586"/>
      <c r="E152" s="586"/>
      <c r="F152" s="586"/>
      <c r="G152" s="586"/>
      <c r="H152" s="586"/>
      <c r="I152" s="586"/>
      <c r="J152" s="586"/>
      <c r="K152" s="586"/>
      <c r="L152" s="587"/>
      <c r="M152" s="588"/>
      <c r="N152" s="588"/>
    </row>
    <row r="153" spans="1:14">
      <c r="A153" s="584"/>
      <c r="B153" s="585"/>
      <c r="C153" s="585"/>
      <c r="D153" s="586"/>
      <c r="E153" s="586"/>
      <c r="F153" s="586"/>
      <c r="G153" s="586"/>
      <c r="H153" s="586"/>
      <c r="I153" s="586"/>
      <c r="J153" s="586"/>
      <c r="K153" s="586"/>
      <c r="L153" s="587"/>
      <c r="M153" s="588"/>
      <c r="N153" s="588"/>
    </row>
    <row r="154" spans="1:14">
      <c r="A154" s="584"/>
      <c r="B154" s="585"/>
      <c r="C154" s="585"/>
      <c r="D154" s="586"/>
      <c r="E154" s="586"/>
      <c r="F154" s="586"/>
      <c r="G154" s="586"/>
      <c r="H154" s="586"/>
      <c r="I154" s="586"/>
      <c r="J154" s="586"/>
      <c r="K154" s="586"/>
      <c r="L154" s="587"/>
      <c r="M154" s="588"/>
      <c r="N154" s="588"/>
    </row>
    <row r="155" spans="1:14">
      <c r="A155" s="584"/>
      <c r="B155" s="585"/>
      <c r="C155" s="585"/>
      <c r="D155" s="586"/>
      <c r="E155" s="586"/>
      <c r="F155" s="586"/>
      <c r="G155" s="586"/>
      <c r="H155" s="586"/>
      <c r="I155" s="586"/>
      <c r="J155" s="586"/>
      <c r="K155" s="586"/>
      <c r="L155" s="587"/>
      <c r="M155" s="588"/>
      <c r="N155" s="588"/>
    </row>
    <row r="156" spans="1:14">
      <c r="A156" s="584"/>
      <c r="B156" s="585"/>
      <c r="C156" s="585"/>
      <c r="D156" s="586"/>
      <c r="E156" s="586"/>
      <c r="F156" s="586"/>
      <c r="G156" s="586"/>
      <c r="H156" s="586"/>
      <c r="I156" s="586"/>
      <c r="J156" s="586"/>
      <c r="K156" s="586"/>
      <c r="L156" s="587"/>
      <c r="M156" s="588"/>
      <c r="N156" s="588"/>
    </row>
    <row r="157" spans="1:14">
      <c r="A157" s="584"/>
      <c r="B157" s="585"/>
      <c r="C157" s="585"/>
      <c r="D157" s="586"/>
      <c r="E157" s="586"/>
      <c r="F157" s="586"/>
      <c r="G157" s="586"/>
      <c r="H157" s="586"/>
      <c r="I157" s="586"/>
      <c r="J157" s="586"/>
      <c r="K157" s="586"/>
      <c r="L157" s="587"/>
      <c r="M157" s="588"/>
      <c r="N157" s="588"/>
    </row>
    <row r="158" spans="1:14">
      <c r="A158" s="584"/>
      <c r="B158" s="585"/>
      <c r="C158" s="585"/>
      <c r="D158" s="586"/>
      <c r="E158" s="586"/>
      <c r="F158" s="586"/>
      <c r="G158" s="586"/>
      <c r="H158" s="586"/>
      <c r="I158" s="586"/>
      <c r="J158" s="586"/>
      <c r="K158" s="586"/>
      <c r="L158" s="587"/>
      <c r="M158" s="588"/>
      <c r="N158" s="588"/>
    </row>
    <row r="159" spans="1:14">
      <c r="A159" s="584"/>
      <c r="B159" s="585"/>
      <c r="C159" s="585"/>
      <c r="D159" s="586"/>
      <c r="E159" s="586"/>
      <c r="F159" s="586"/>
      <c r="G159" s="586"/>
      <c r="H159" s="586"/>
      <c r="I159" s="586"/>
      <c r="J159" s="586"/>
      <c r="K159" s="586"/>
      <c r="L159" s="587"/>
      <c r="M159" s="588"/>
      <c r="N159" s="588"/>
    </row>
    <row r="160" spans="1:14">
      <c r="A160" s="584"/>
      <c r="B160" s="585"/>
      <c r="C160" s="585"/>
      <c r="D160" s="586"/>
      <c r="E160" s="586"/>
      <c r="F160" s="586"/>
      <c r="G160" s="586"/>
      <c r="H160" s="586"/>
      <c r="I160" s="586"/>
      <c r="J160" s="586"/>
      <c r="K160" s="586"/>
      <c r="L160" s="587"/>
      <c r="M160" s="588"/>
      <c r="N160" s="588"/>
    </row>
    <row r="161" spans="1:14">
      <c r="A161" s="584"/>
      <c r="B161" s="585"/>
      <c r="C161" s="585"/>
      <c r="D161" s="586"/>
      <c r="E161" s="586"/>
      <c r="F161" s="586"/>
      <c r="G161" s="586"/>
      <c r="H161" s="586"/>
      <c r="I161" s="586"/>
      <c r="J161" s="586"/>
      <c r="K161" s="586"/>
      <c r="L161" s="587"/>
      <c r="M161" s="588"/>
      <c r="N161" s="588"/>
    </row>
    <row r="162" spans="1:14">
      <c r="A162" s="584"/>
      <c r="B162" s="585"/>
      <c r="C162" s="585"/>
      <c r="D162" s="586"/>
      <c r="E162" s="586"/>
      <c r="F162" s="586"/>
      <c r="G162" s="586"/>
      <c r="H162" s="586"/>
      <c r="I162" s="586"/>
      <c r="J162" s="586"/>
      <c r="K162" s="586"/>
      <c r="L162" s="587"/>
      <c r="M162" s="588"/>
      <c r="N162" s="588"/>
    </row>
    <row r="163" spans="1:14">
      <c r="A163" s="584"/>
      <c r="B163" s="585"/>
      <c r="C163" s="585"/>
      <c r="D163" s="586"/>
      <c r="E163" s="586"/>
      <c r="F163" s="586"/>
      <c r="G163" s="586"/>
      <c r="H163" s="586"/>
      <c r="I163" s="586"/>
      <c r="J163" s="586"/>
      <c r="K163" s="586"/>
      <c r="L163" s="587"/>
      <c r="M163" s="588"/>
      <c r="N163" s="588"/>
    </row>
    <row r="164" spans="1:14">
      <c r="A164" s="584"/>
      <c r="B164" s="585"/>
      <c r="C164" s="585"/>
      <c r="D164" s="586"/>
      <c r="E164" s="586"/>
      <c r="F164" s="586"/>
      <c r="G164" s="586"/>
      <c r="H164" s="586"/>
      <c r="I164" s="586"/>
      <c r="J164" s="586"/>
      <c r="K164" s="586"/>
      <c r="L164" s="587"/>
      <c r="M164" s="588"/>
      <c r="N164" s="588"/>
    </row>
    <row r="165" spans="1:14">
      <c r="A165" s="584"/>
      <c r="B165" s="585"/>
      <c r="C165" s="585"/>
      <c r="D165" s="586"/>
      <c r="E165" s="586"/>
      <c r="F165" s="586"/>
      <c r="G165" s="586"/>
      <c r="H165" s="586"/>
      <c r="I165" s="586"/>
      <c r="J165" s="586"/>
      <c r="K165" s="586"/>
      <c r="L165" s="587"/>
      <c r="M165" s="588"/>
      <c r="N165" s="588"/>
    </row>
    <row r="166" spans="1:14">
      <c r="A166" s="584"/>
      <c r="B166" s="585"/>
      <c r="C166" s="585"/>
      <c r="D166" s="586"/>
      <c r="E166" s="586"/>
      <c r="F166" s="586"/>
      <c r="G166" s="586"/>
      <c r="H166" s="586"/>
      <c r="I166" s="586"/>
      <c r="J166" s="586"/>
      <c r="K166" s="586"/>
      <c r="L166" s="587"/>
      <c r="M166" s="588"/>
      <c r="N166" s="588"/>
    </row>
    <row r="167" spans="1:14">
      <c r="A167" s="584"/>
      <c r="B167" s="585"/>
      <c r="C167" s="585"/>
      <c r="D167" s="586"/>
      <c r="E167" s="586"/>
      <c r="F167" s="586"/>
      <c r="G167" s="586"/>
      <c r="H167" s="586"/>
      <c r="I167" s="586"/>
      <c r="J167" s="586"/>
      <c r="K167" s="586"/>
      <c r="L167" s="587"/>
      <c r="M167" s="588"/>
      <c r="N167" s="588"/>
    </row>
    <row r="168" spans="1:14">
      <c r="A168" s="584"/>
      <c r="B168" s="585"/>
      <c r="C168" s="585"/>
      <c r="D168" s="586"/>
      <c r="E168" s="586"/>
      <c r="F168" s="586"/>
      <c r="G168" s="586"/>
      <c r="H168" s="586"/>
      <c r="I168" s="586"/>
      <c r="J168" s="586"/>
      <c r="K168" s="586"/>
      <c r="L168" s="587"/>
      <c r="M168" s="588"/>
      <c r="N168" s="588"/>
    </row>
    <row r="169" spans="1:14">
      <c r="A169" s="584"/>
      <c r="B169" s="585"/>
      <c r="C169" s="585"/>
      <c r="D169" s="586"/>
      <c r="E169" s="586"/>
      <c r="F169" s="586"/>
      <c r="G169" s="586"/>
      <c r="H169" s="586"/>
      <c r="I169" s="586"/>
      <c r="J169" s="586"/>
      <c r="K169" s="586"/>
      <c r="L169" s="587"/>
      <c r="M169" s="588"/>
      <c r="N169" s="588"/>
    </row>
    <row r="170" spans="1:14">
      <c r="A170" s="584"/>
      <c r="B170" s="585"/>
      <c r="C170" s="585"/>
      <c r="D170" s="586"/>
      <c r="E170" s="586"/>
      <c r="F170" s="586"/>
      <c r="G170" s="586"/>
      <c r="H170" s="586"/>
      <c r="I170" s="586"/>
      <c r="J170" s="586"/>
      <c r="K170" s="586"/>
      <c r="L170" s="587"/>
      <c r="M170" s="588"/>
      <c r="N170" s="588"/>
    </row>
    <row r="171" spans="1:14">
      <c r="A171" s="584"/>
      <c r="B171" s="585"/>
      <c r="C171" s="585"/>
      <c r="D171" s="586"/>
      <c r="E171" s="586"/>
      <c r="F171" s="586"/>
      <c r="G171" s="586"/>
      <c r="H171" s="586"/>
      <c r="I171" s="586"/>
      <c r="J171" s="586"/>
      <c r="K171" s="586"/>
      <c r="L171" s="587"/>
      <c r="M171" s="588"/>
      <c r="N171" s="588"/>
    </row>
    <row r="172" spans="1:14">
      <c r="A172" s="584"/>
      <c r="B172" s="585"/>
      <c r="C172" s="585"/>
      <c r="D172" s="586"/>
      <c r="E172" s="586"/>
      <c r="F172" s="586"/>
      <c r="G172" s="586"/>
      <c r="H172" s="586"/>
      <c r="I172" s="586"/>
      <c r="J172" s="586"/>
      <c r="K172" s="586"/>
      <c r="L172" s="587"/>
      <c r="M172" s="588"/>
      <c r="N172" s="588"/>
    </row>
    <row r="173" spans="1:14">
      <c r="A173" s="584"/>
      <c r="B173" s="585"/>
      <c r="C173" s="585"/>
      <c r="D173" s="586"/>
      <c r="E173" s="586"/>
      <c r="F173" s="586"/>
      <c r="G173" s="586"/>
      <c r="H173" s="586"/>
      <c r="I173" s="586"/>
      <c r="J173" s="586"/>
      <c r="K173" s="586"/>
      <c r="L173" s="587"/>
      <c r="M173" s="588"/>
      <c r="N173" s="588"/>
    </row>
    <row r="174" spans="1:14">
      <c r="A174" s="584"/>
      <c r="B174" s="585"/>
      <c r="C174" s="585"/>
      <c r="D174" s="586"/>
      <c r="E174" s="586"/>
      <c r="F174" s="586"/>
      <c r="G174" s="586"/>
      <c r="H174" s="586"/>
      <c r="I174" s="586"/>
      <c r="J174" s="586"/>
      <c r="K174" s="586"/>
      <c r="L174" s="587"/>
      <c r="M174" s="588"/>
      <c r="N174" s="588"/>
    </row>
    <row r="175" spans="1:14">
      <c r="A175" s="584"/>
      <c r="B175" s="585"/>
      <c r="C175" s="585"/>
      <c r="D175" s="586"/>
      <c r="E175" s="586"/>
      <c r="F175" s="586"/>
      <c r="G175" s="586"/>
      <c r="H175" s="586"/>
      <c r="I175" s="586"/>
      <c r="J175" s="586"/>
      <c r="K175" s="586"/>
      <c r="L175" s="587"/>
      <c r="M175" s="588"/>
      <c r="N175" s="588"/>
    </row>
    <row r="176" spans="1:14">
      <c r="A176" s="584"/>
      <c r="B176" s="585"/>
      <c r="C176" s="585"/>
      <c r="D176" s="586"/>
      <c r="E176" s="586"/>
      <c r="F176" s="586"/>
      <c r="G176" s="586"/>
      <c r="H176" s="586"/>
      <c r="I176" s="586"/>
      <c r="J176" s="586"/>
      <c r="K176" s="586"/>
      <c r="L176" s="587"/>
      <c r="M176" s="588"/>
      <c r="N176" s="588"/>
    </row>
    <row r="177" spans="1:14">
      <c r="A177" s="584"/>
      <c r="B177" s="585"/>
      <c r="C177" s="585"/>
      <c r="D177" s="586"/>
      <c r="E177" s="586"/>
      <c r="F177" s="586"/>
      <c r="G177" s="586"/>
      <c r="H177" s="586"/>
      <c r="I177" s="586"/>
      <c r="J177" s="586"/>
      <c r="K177" s="586"/>
      <c r="L177" s="587"/>
      <c r="M177" s="588"/>
      <c r="N177" s="588"/>
    </row>
    <row r="178" spans="1:14">
      <c r="A178" s="584"/>
      <c r="B178" s="585"/>
      <c r="C178" s="585"/>
      <c r="D178" s="586"/>
      <c r="E178" s="586"/>
      <c r="F178" s="586"/>
      <c r="G178" s="586"/>
      <c r="H178" s="586"/>
      <c r="I178" s="586"/>
      <c r="J178" s="586"/>
      <c r="K178" s="586"/>
      <c r="L178" s="587"/>
      <c r="M178" s="588"/>
      <c r="N178" s="588"/>
    </row>
    <row r="179" spans="1:14">
      <c r="A179" s="584"/>
      <c r="B179" s="585"/>
      <c r="C179" s="585"/>
      <c r="D179" s="586"/>
      <c r="E179" s="586"/>
      <c r="F179" s="586"/>
      <c r="G179" s="586"/>
      <c r="H179" s="586"/>
      <c r="I179" s="586"/>
      <c r="J179" s="586"/>
      <c r="K179" s="586"/>
      <c r="L179" s="587"/>
      <c r="M179" s="588"/>
      <c r="N179" s="588"/>
    </row>
    <row r="180" spans="1:14">
      <c r="A180" s="584"/>
      <c r="B180" s="585"/>
      <c r="C180" s="585"/>
      <c r="D180" s="586"/>
      <c r="E180" s="586"/>
      <c r="F180" s="586"/>
      <c r="G180" s="586"/>
      <c r="H180" s="586"/>
      <c r="I180" s="586"/>
      <c r="J180" s="586"/>
      <c r="K180" s="586"/>
      <c r="L180" s="587"/>
      <c r="M180" s="588"/>
      <c r="N180" s="588"/>
    </row>
    <row r="181" spans="1:14">
      <c r="A181" s="584"/>
      <c r="B181" s="585"/>
      <c r="C181" s="585"/>
      <c r="D181" s="586"/>
      <c r="E181" s="586"/>
      <c r="F181" s="586"/>
      <c r="G181" s="586"/>
      <c r="H181" s="586"/>
      <c r="I181" s="586"/>
      <c r="J181" s="586"/>
      <c r="K181" s="586"/>
      <c r="L181" s="587"/>
      <c r="M181" s="588"/>
      <c r="N181" s="588"/>
    </row>
    <row r="182" spans="1:14">
      <c r="A182" s="584"/>
      <c r="B182" s="585"/>
      <c r="C182" s="585"/>
      <c r="D182" s="586"/>
      <c r="E182" s="586"/>
      <c r="F182" s="586"/>
      <c r="G182" s="586"/>
      <c r="H182" s="586"/>
      <c r="I182" s="586"/>
      <c r="J182" s="586"/>
      <c r="K182" s="586"/>
      <c r="L182" s="587"/>
      <c r="M182" s="588"/>
      <c r="N182" s="588"/>
    </row>
    <row r="183" spans="1:14">
      <c r="A183" s="584"/>
      <c r="B183" s="585"/>
      <c r="C183" s="585"/>
      <c r="D183" s="586"/>
      <c r="E183" s="586"/>
      <c r="F183" s="586"/>
      <c r="G183" s="586"/>
      <c r="H183" s="586"/>
      <c r="I183" s="586"/>
      <c r="J183" s="586"/>
      <c r="K183" s="586"/>
      <c r="L183" s="587"/>
      <c r="M183" s="588"/>
      <c r="N183" s="588"/>
    </row>
    <row r="184" spans="1:14">
      <c r="A184" s="584"/>
      <c r="B184" s="585"/>
      <c r="C184" s="585"/>
      <c r="D184" s="586"/>
      <c r="E184" s="586"/>
      <c r="F184" s="586"/>
      <c r="G184" s="586"/>
      <c r="H184" s="586"/>
      <c r="I184" s="586"/>
      <c r="J184" s="586"/>
      <c r="K184" s="586"/>
      <c r="L184" s="587"/>
      <c r="M184" s="588"/>
      <c r="N184" s="588"/>
    </row>
    <row r="185" spans="1:14">
      <c r="A185" s="584"/>
      <c r="B185" s="585"/>
      <c r="C185" s="585"/>
      <c r="D185" s="586"/>
      <c r="E185" s="586"/>
      <c r="F185" s="586"/>
      <c r="G185" s="586"/>
      <c r="H185" s="586"/>
      <c r="I185" s="586"/>
      <c r="J185" s="586"/>
      <c r="K185" s="586"/>
      <c r="L185" s="587"/>
      <c r="M185" s="588"/>
      <c r="N185" s="588"/>
    </row>
    <row r="186" spans="1:14">
      <c r="A186" s="584"/>
      <c r="B186" s="585"/>
      <c r="C186" s="585"/>
      <c r="D186" s="586"/>
      <c r="E186" s="586"/>
      <c r="F186" s="586"/>
      <c r="G186" s="586"/>
      <c r="H186" s="586"/>
      <c r="I186" s="586"/>
      <c r="J186" s="586"/>
      <c r="K186" s="586"/>
      <c r="L186" s="587"/>
      <c r="M186" s="588"/>
      <c r="N186" s="588"/>
    </row>
    <row r="187" spans="1:14">
      <c r="A187" s="584"/>
      <c r="B187" s="585"/>
      <c r="C187" s="585"/>
      <c r="D187" s="586"/>
      <c r="E187" s="586"/>
      <c r="F187" s="586"/>
      <c r="G187" s="586"/>
      <c r="H187" s="586"/>
      <c r="I187" s="586"/>
      <c r="J187" s="586"/>
      <c r="K187" s="586"/>
      <c r="L187" s="587"/>
      <c r="M187" s="588"/>
      <c r="N187" s="588"/>
    </row>
    <row r="188" spans="1:14">
      <c r="A188" s="584"/>
      <c r="B188" s="585"/>
      <c r="C188" s="585"/>
      <c r="D188" s="586"/>
      <c r="E188" s="586"/>
      <c r="F188" s="586"/>
      <c r="G188" s="586"/>
      <c r="H188" s="586"/>
      <c r="I188" s="586"/>
      <c r="J188" s="586"/>
      <c r="K188" s="586"/>
      <c r="L188" s="587"/>
      <c r="M188" s="588"/>
      <c r="N188" s="588"/>
    </row>
    <row r="189" spans="1:14">
      <c r="A189" s="584"/>
      <c r="B189" s="585"/>
      <c r="C189" s="585"/>
      <c r="D189" s="586"/>
      <c r="E189" s="586"/>
      <c r="F189" s="586"/>
      <c r="G189" s="586"/>
      <c r="H189" s="586"/>
      <c r="I189" s="586"/>
      <c r="J189" s="586"/>
      <c r="K189" s="586"/>
      <c r="L189" s="587"/>
      <c r="M189" s="588"/>
      <c r="N189" s="588"/>
    </row>
    <row r="190" spans="1:14">
      <c r="A190" s="584"/>
      <c r="B190" s="585"/>
      <c r="C190" s="585"/>
      <c r="D190" s="586"/>
      <c r="E190" s="586"/>
      <c r="F190" s="586"/>
      <c r="G190" s="586"/>
      <c r="H190" s="586"/>
      <c r="I190" s="586"/>
      <c r="J190" s="586"/>
      <c r="K190" s="586"/>
      <c r="L190" s="587"/>
      <c r="M190" s="588"/>
      <c r="N190" s="588"/>
    </row>
    <row r="191" spans="1:14">
      <c r="A191" s="584"/>
      <c r="B191" s="585"/>
      <c r="C191" s="585"/>
      <c r="D191" s="586"/>
      <c r="E191" s="586"/>
      <c r="F191" s="586"/>
      <c r="G191" s="586"/>
      <c r="H191" s="586"/>
      <c r="I191" s="586"/>
      <c r="J191" s="586"/>
      <c r="K191" s="586"/>
      <c r="L191" s="587"/>
      <c r="M191" s="588"/>
      <c r="N191" s="588"/>
    </row>
    <row r="192" spans="1:14">
      <c r="A192" s="584"/>
      <c r="B192" s="585"/>
      <c r="C192" s="585"/>
      <c r="D192" s="586"/>
      <c r="E192" s="586"/>
      <c r="F192" s="586"/>
      <c r="G192" s="586"/>
      <c r="H192" s="586"/>
      <c r="I192" s="586"/>
      <c r="J192" s="586"/>
      <c r="K192" s="586"/>
      <c r="L192" s="587"/>
      <c r="M192" s="588"/>
      <c r="N192" s="588"/>
    </row>
    <row r="193" spans="1:14">
      <c r="A193" s="584"/>
      <c r="B193" s="585"/>
      <c r="C193" s="585"/>
      <c r="D193" s="586"/>
      <c r="E193" s="586"/>
      <c r="F193" s="586"/>
      <c r="G193" s="586"/>
      <c r="H193" s="586"/>
      <c r="I193" s="586"/>
      <c r="J193" s="586"/>
      <c r="K193" s="586"/>
      <c r="L193" s="587"/>
      <c r="M193" s="588"/>
      <c r="N193" s="588"/>
    </row>
    <row r="194" spans="1:14">
      <c r="A194" s="584"/>
      <c r="B194" s="585"/>
      <c r="C194" s="585"/>
      <c r="D194" s="586"/>
      <c r="E194" s="586"/>
      <c r="F194" s="586"/>
      <c r="G194" s="586"/>
      <c r="H194" s="586"/>
      <c r="I194" s="586"/>
      <c r="J194" s="586"/>
      <c r="K194" s="586"/>
      <c r="L194" s="587"/>
      <c r="M194" s="588"/>
      <c r="N194" s="588"/>
    </row>
    <row r="195" spans="1:14">
      <c r="A195" s="584"/>
      <c r="B195" s="585"/>
      <c r="C195" s="585"/>
      <c r="D195" s="586"/>
      <c r="E195" s="586"/>
      <c r="F195" s="586"/>
      <c r="G195" s="586"/>
      <c r="H195" s="586"/>
      <c r="I195" s="586"/>
      <c r="J195" s="586"/>
      <c r="K195" s="586"/>
      <c r="L195" s="587"/>
      <c r="M195" s="588"/>
      <c r="N195" s="588"/>
    </row>
    <row r="196" spans="1:14">
      <c r="A196" s="584"/>
      <c r="B196" s="585"/>
      <c r="C196" s="585"/>
      <c r="D196" s="586"/>
      <c r="E196" s="586"/>
      <c r="F196" s="586"/>
      <c r="G196" s="586"/>
      <c r="H196" s="586"/>
      <c r="I196" s="586"/>
      <c r="J196" s="586"/>
      <c r="K196" s="586"/>
      <c r="L196" s="587"/>
      <c r="M196" s="588"/>
      <c r="N196" s="588"/>
    </row>
    <row r="197" spans="1:14">
      <c r="A197" s="584"/>
      <c r="B197" s="585"/>
      <c r="C197" s="585"/>
      <c r="D197" s="586"/>
      <c r="E197" s="586"/>
      <c r="F197" s="586"/>
      <c r="G197" s="586"/>
      <c r="H197" s="586"/>
      <c r="I197" s="586"/>
      <c r="J197" s="586"/>
      <c r="K197" s="586"/>
      <c r="L197" s="587"/>
      <c r="M197" s="588"/>
      <c r="N197" s="588"/>
    </row>
    <row r="198" spans="1:14">
      <c r="A198" s="584"/>
      <c r="B198" s="585"/>
      <c r="C198" s="585"/>
      <c r="D198" s="586"/>
      <c r="E198" s="586"/>
      <c r="F198" s="586"/>
      <c r="G198" s="586"/>
      <c r="H198" s="586"/>
      <c r="I198" s="586"/>
      <c r="J198" s="586"/>
      <c r="K198" s="586"/>
      <c r="L198" s="587"/>
      <c r="M198" s="588"/>
      <c r="N198" s="588"/>
    </row>
    <row r="199" spans="1:14">
      <c r="A199" s="584"/>
      <c r="B199" s="585"/>
      <c r="C199" s="585"/>
      <c r="D199" s="586"/>
      <c r="E199" s="586"/>
      <c r="F199" s="586"/>
      <c r="G199" s="586"/>
      <c r="H199" s="586"/>
      <c r="I199" s="586"/>
      <c r="J199" s="586"/>
      <c r="K199" s="586"/>
      <c r="L199" s="587"/>
      <c r="M199" s="588"/>
      <c r="N199" s="588"/>
    </row>
    <row r="200" spans="1:14">
      <c r="A200" s="584"/>
      <c r="B200" s="585"/>
      <c r="C200" s="585"/>
      <c r="D200" s="586"/>
      <c r="E200" s="586"/>
      <c r="F200" s="586"/>
      <c r="G200" s="586"/>
      <c r="H200" s="586"/>
      <c r="I200" s="586"/>
      <c r="J200" s="586"/>
      <c r="K200" s="586"/>
      <c r="L200" s="587"/>
      <c r="M200" s="588"/>
      <c r="N200" s="588"/>
    </row>
    <row r="201" spans="1:14">
      <c r="A201" s="584"/>
      <c r="B201" s="585"/>
      <c r="C201" s="585"/>
      <c r="D201" s="586"/>
      <c r="E201" s="586"/>
      <c r="F201" s="586"/>
      <c r="G201" s="586"/>
      <c r="H201" s="586"/>
      <c r="I201" s="586"/>
      <c r="J201" s="586"/>
      <c r="K201" s="586"/>
      <c r="L201" s="587"/>
      <c r="M201" s="588"/>
      <c r="N201" s="588"/>
    </row>
    <row r="202" spans="1:14">
      <c r="A202" s="584"/>
      <c r="B202" s="585"/>
      <c r="C202" s="585"/>
      <c r="D202" s="586"/>
      <c r="E202" s="586"/>
      <c r="F202" s="586"/>
      <c r="G202" s="586"/>
      <c r="H202" s="586"/>
      <c r="I202" s="586"/>
      <c r="J202" s="586"/>
      <c r="K202" s="586"/>
      <c r="L202" s="587"/>
      <c r="M202" s="588"/>
      <c r="N202" s="588"/>
    </row>
    <row r="203" spans="1:14">
      <c r="A203" s="584"/>
      <c r="B203" s="585"/>
      <c r="C203" s="585"/>
      <c r="D203" s="586"/>
      <c r="E203" s="586"/>
      <c r="F203" s="586"/>
      <c r="G203" s="586"/>
      <c r="H203" s="586"/>
      <c r="I203" s="586"/>
      <c r="J203" s="586"/>
      <c r="K203" s="586"/>
      <c r="L203" s="587"/>
      <c r="M203" s="588"/>
      <c r="N203" s="588"/>
    </row>
    <row r="204" spans="1:14">
      <c r="A204" s="584"/>
      <c r="B204" s="585"/>
      <c r="C204" s="585"/>
      <c r="D204" s="586"/>
      <c r="E204" s="586"/>
      <c r="F204" s="586"/>
      <c r="G204" s="586"/>
      <c r="H204" s="586"/>
      <c r="I204" s="586"/>
      <c r="J204" s="586"/>
      <c r="K204" s="586"/>
      <c r="L204" s="587"/>
      <c r="M204" s="588"/>
      <c r="N204" s="588"/>
    </row>
    <row r="205" spans="1:14">
      <c r="A205" s="584"/>
      <c r="B205" s="585"/>
      <c r="C205" s="585"/>
      <c r="D205" s="586"/>
      <c r="E205" s="586"/>
      <c r="F205" s="586"/>
      <c r="G205" s="586"/>
      <c r="H205" s="586"/>
      <c r="I205" s="586"/>
      <c r="J205" s="586"/>
      <c r="K205" s="586"/>
      <c r="L205" s="587"/>
      <c r="M205" s="588"/>
      <c r="N205" s="588"/>
    </row>
    <row r="206" spans="1:14">
      <c r="A206" s="584"/>
      <c r="B206" s="585"/>
      <c r="C206" s="585"/>
      <c r="D206" s="586"/>
      <c r="E206" s="586"/>
      <c r="F206" s="586"/>
      <c r="G206" s="586"/>
      <c r="H206" s="586"/>
      <c r="I206" s="586"/>
      <c r="J206" s="586"/>
      <c r="K206" s="586"/>
      <c r="L206" s="587"/>
      <c r="M206" s="588"/>
      <c r="N206" s="588"/>
    </row>
    <row r="207" spans="1:14">
      <c r="A207" s="584"/>
      <c r="B207" s="585"/>
      <c r="C207" s="585"/>
      <c r="D207" s="586"/>
      <c r="E207" s="586"/>
      <c r="F207" s="586"/>
      <c r="G207" s="586"/>
      <c r="H207" s="586"/>
      <c r="I207" s="586"/>
      <c r="J207" s="586"/>
      <c r="K207" s="586"/>
      <c r="L207" s="587"/>
      <c r="M207" s="588"/>
      <c r="N207" s="588"/>
    </row>
    <row r="208" spans="1:14">
      <c r="A208" s="584"/>
      <c r="B208" s="585"/>
      <c r="C208" s="585"/>
      <c r="D208" s="586"/>
      <c r="E208" s="586"/>
      <c r="F208" s="586"/>
      <c r="G208" s="586"/>
      <c r="H208" s="586"/>
      <c r="I208" s="586"/>
      <c r="J208" s="586"/>
      <c r="K208" s="586"/>
      <c r="L208" s="587"/>
      <c r="M208" s="588"/>
      <c r="N208" s="588"/>
    </row>
    <row r="209" spans="1:14">
      <c r="A209" s="584"/>
      <c r="B209" s="585"/>
      <c r="C209" s="585"/>
      <c r="D209" s="586"/>
      <c r="E209" s="586"/>
      <c r="F209" s="586"/>
      <c r="G209" s="586"/>
      <c r="H209" s="586"/>
      <c r="I209" s="586"/>
      <c r="J209" s="586"/>
      <c r="K209" s="586"/>
      <c r="L209" s="587"/>
      <c r="M209" s="588"/>
      <c r="N209" s="588"/>
    </row>
    <row r="210" spans="1:14">
      <c r="A210" s="584"/>
      <c r="B210" s="585"/>
      <c r="C210" s="585"/>
      <c r="D210" s="586"/>
      <c r="E210" s="586"/>
      <c r="F210" s="586"/>
      <c r="G210" s="586"/>
      <c r="H210" s="586"/>
      <c r="I210" s="586"/>
      <c r="J210" s="586"/>
      <c r="K210" s="586"/>
      <c r="L210" s="587"/>
      <c r="M210" s="588"/>
      <c r="N210" s="588"/>
    </row>
    <row r="211" spans="1:14">
      <c r="A211" s="584"/>
      <c r="B211" s="585"/>
      <c r="C211" s="585"/>
      <c r="D211" s="586"/>
      <c r="E211" s="586"/>
      <c r="F211" s="586"/>
      <c r="G211" s="586"/>
      <c r="H211" s="586"/>
      <c r="I211" s="586"/>
      <c r="J211" s="586"/>
      <c r="K211" s="586"/>
      <c r="L211" s="587"/>
      <c r="M211" s="588"/>
      <c r="N211" s="588"/>
    </row>
    <row r="212" spans="1:14">
      <c r="A212" s="584"/>
      <c r="B212" s="585"/>
      <c r="C212" s="585"/>
      <c r="D212" s="586"/>
      <c r="E212" s="586"/>
      <c r="F212" s="586"/>
      <c r="G212" s="586"/>
      <c r="H212" s="586"/>
      <c r="I212" s="586"/>
      <c r="J212" s="586"/>
      <c r="K212" s="586"/>
      <c r="L212" s="587"/>
      <c r="M212" s="588"/>
      <c r="N212" s="588"/>
    </row>
    <row r="213" spans="1:14">
      <c r="A213" s="584"/>
      <c r="B213" s="585"/>
      <c r="C213" s="585"/>
      <c r="D213" s="586"/>
      <c r="E213" s="586"/>
      <c r="F213" s="586"/>
      <c r="G213" s="586"/>
      <c r="H213" s="586"/>
      <c r="I213" s="586"/>
      <c r="J213" s="586"/>
      <c r="K213" s="586"/>
      <c r="L213" s="587"/>
      <c r="M213" s="588"/>
      <c r="N213" s="588"/>
    </row>
    <row r="214" spans="1:14">
      <c r="A214" s="584"/>
      <c r="B214" s="585"/>
      <c r="C214" s="585"/>
      <c r="D214" s="586"/>
      <c r="E214" s="586"/>
      <c r="F214" s="586"/>
      <c r="G214" s="586"/>
      <c r="H214" s="586"/>
      <c r="I214" s="586"/>
      <c r="J214" s="586"/>
      <c r="K214" s="586"/>
      <c r="L214" s="587"/>
      <c r="M214" s="588"/>
      <c r="N214" s="588"/>
    </row>
    <row r="215" spans="1:14">
      <c r="A215" s="584"/>
      <c r="B215" s="585"/>
      <c r="C215" s="585"/>
      <c r="D215" s="586"/>
      <c r="E215" s="586"/>
      <c r="F215" s="586"/>
      <c r="G215" s="586"/>
      <c r="H215" s="586"/>
      <c r="I215" s="586"/>
      <c r="J215" s="586"/>
      <c r="K215" s="586"/>
      <c r="L215" s="587"/>
      <c r="M215" s="588"/>
      <c r="N215" s="588"/>
    </row>
    <row r="216" spans="1:14">
      <c r="A216" s="584"/>
      <c r="B216" s="585"/>
      <c r="C216" s="585"/>
      <c r="D216" s="586"/>
      <c r="E216" s="586"/>
      <c r="F216" s="586"/>
      <c r="G216" s="586"/>
      <c r="H216" s="586"/>
      <c r="I216" s="586"/>
      <c r="J216" s="586"/>
      <c r="K216" s="586"/>
      <c r="L216" s="587"/>
      <c r="M216" s="588"/>
      <c r="N216" s="588"/>
    </row>
    <row r="217" spans="1:14">
      <c r="A217" s="584"/>
      <c r="B217" s="585"/>
      <c r="C217" s="585"/>
      <c r="D217" s="586"/>
      <c r="E217" s="586"/>
      <c r="F217" s="586"/>
      <c r="G217" s="586"/>
      <c r="H217" s="586"/>
      <c r="I217" s="586"/>
      <c r="J217" s="586"/>
      <c r="K217" s="586"/>
      <c r="L217" s="587"/>
      <c r="M217" s="588"/>
      <c r="N217" s="588"/>
    </row>
    <row r="218" spans="1:14">
      <c r="A218" s="584"/>
      <c r="B218" s="585"/>
      <c r="C218" s="585"/>
      <c r="D218" s="586"/>
      <c r="E218" s="586"/>
      <c r="F218" s="586"/>
      <c r="G218" s="586"/>
      <c r="H218" s="586"/>
      <c r="I218" s="586"/>
      <c r="J218" s="586"/>
      <c r="K218" s="586"/>
      <c r="L218" s="587"/>
      <c r="M218" s="588"/>
      <c r="N218" s="588"/>
    </row>
    <row r="219" spans="1:14">
      <c r="A219" s="584"/>
      <c r="B219" s="585"/>
      <c r="C219" s="585"/>
      <c r="D219" s="586"/>
      <c r="E219" s="586"/>
      <c r="F219" s="586"/>
      <c r="G219" s="586"/>
      <c r="H219" s="586"/>
      <c r="I219" s="586"/>
      <c r="J219" s="586"/>
      <c r="K219" s="586"/>
      <c r="L219" s="587"/>
      <c r="M219" s="588"/>
      <c r="N219" s="588"/>
    </row>
    <row r="220" spans="1:14">
      <c r="A220" s="584"/>
      <c r="B220" s="585"/>
      <c r="C220" s="585"/>
      <c r="D220" s="586"/>
      <c r="E220" s="586"/>
      <c r="F220" s="586"/>
      <c r="G220" s="586"/>
      <c r="H220" s="586"/>
      <c r="I220" s="586"/>
      <c r="J220" s="586"/>
      <c r="K220" s="586"/>
      <c r="L220" s="587"/>
      <c r="M220" s="588"/>
      <c r="N220" s="588"/>
    </row>
    <row r="221" spans="1:14">
      <c r="A221" s="584"/>
      <c r="B221" s="585"/>
      <c r="C221" s="585"/>
      <c r="D221" s="586"/>
      <c r="E221" s="586"/>
      <c r="F221" s="586"/>
      <c r="G221" s="586"/>
      <c r="H221" s="586"/>
      <c r="I221" s="586"/>
      <c r="J221" s="586"/>
      <c r="K221" s="586"/>
      <c r="L221" s="587"/>
      <c r="M221" s="588"/>
      <c r="N221" s="588"/>
    </row>
    <row r="222" spans="1:14">
      <c r="A222" s="584"/>
      <c r="B222" s="585"/>
      <c r="C222" s="585"/>
      <c r="D222" s="586"/>
      <c r="E222" s="586"/>
      <c r="F222" s="586"/>
      <c r="G222" s="586"/>
      <c r="H222" s="586"/>
      <c r="I222" s="586"/>
      <c r="J222" s="586"/>
      <c r="K222" s="586"/>
      <c r="L222" s="587"/>
      <c r="M222" s="588"/>
      <c r="N222" s="588"/>
    </row>
    <row r="223" spans="1:14">
      <c r="A223" s="584"/>
      <c r="B223" s="585"/>
      <c r="C223" s="585"/>
      <c r="D223" s="586"/>
      <c r="E223" s="586"/>
      <c r="F223" s="586"/>
      <c r="G223" s="586"/>
      <c r="H223" s="586"/>
      <c r="I223" s="586"/>
      <c r="J223" s="586"/>
      <c r="K223" s="586"/>
      <c r="L223" s="587"/>
      <c r="M223" s="588"/>
      <c r="N223" s="588"/>
    </row>
    <row r="224" spans="1:14">
      <c r="A224" s="584"/>
      <c r="B224" s="585"/>
      <c r="C224" s="585"/>
      <c r="D224" s="586"/>
      <c r="E224" s="586"/>
      <c r="F224" s="586"/>
      <c r="G224" s="586"/>
      <c r="H224" s="586"/>
      <c r="I224" s="586"/>
      <c r="J224" s="586"/>
      <c r="K224" s="586"/>
      <c r="L224" s="587"/>
      <c r="M224" s="588"/>
      <c r="N224" s="588"/>
    </row>
    <row r="225" spans="1:14">
      <c r="A225" s="584"/>
      <c r="B225" s="585"/>
      <c r="C225" s="585"/>
      <c r="D225" s="586"/>
      <c r="E225" s="586"/>
      <c r="F225" s="586"/>
      <c r="G225" s="586"/>
      <c r="H225" s="586"/>
      <c r="I225" s="586"/>
      <c r="J225" s="586"/>
      <c r="K225" s="586"/>
      <c r="L225" s="587"/>
      <c r="M225" s="588"/>
      <c r="N225" s="588"/>
    </row>
    <row r="226" spans="1:14">
      <c r="A226" s="584"/>
      <c r="B226" s="585"/>
      <c r="C226" s="585"/>
      <c r="D226" s="586"/>
      <c r="E226" s="586"/>
      <c r="F226" s="586"/>
      <c r="G226" s="586"/>
      <c r="H226" s="586"/>
      <c r="I226" s="586"/>
      <c r="J226" s="586"/>
      <c r="K226" s="586"/>
      <c r="L226" s="587"/>
      <c r="M226" s="588"/>
      <c r="N226" s="588"/>
    </row>
    <row r="227" spans="1:14">
      <c r="A227" s="584"/>
      <c r="B227" s="585"/>
      <c r="C227" s="585"/>
      <c r="D227" s="586"/>
      <c r="E227" s="586"/>
      <c r="F227" s="586"/>
      <c r="G227" s="586"/>
      <c r="H227" s="586"/>
      <c r="I227" s="586"/>
      <c r="J227" s="586"/>
      <c r="K227" s="586"/>
      <c r="L227" s="587"/>
      <c r="M227" s="588"/>
      <c r="N227" s="588"/>
    </row>
    <row r="228" spans="1:14">
      <c r="A228" s="584"/>
      <c r="B228" s="585"/>
      <c r="C228" s="585"/>
      <c r="D228" s="586"/>
      <c r="E228" s="586"/>
      <c r="F228" s="586"/>
      <c r="G228" s="586"/>
      <c r="H228" s="586"/>
      <c r="I228" s="586"/>
      <c r="J228" s="586"/>
      <c r="K228" s="586"/>
      <c r="L228" s="587"/>
      <c r="M228" s="588"/>
      <c r="N228" s="588"/>
    </row>
    <row r="229" spans="1:14">
      <c r="A229" s="584"/>
      <c r="B229" s="585"/>
      <c r="C229" s="585"/>
      <c r="D229" s="586"/>
      <c r="E229" s="586"/>
      <c r="F229" s="586"/>
      <c r="G229" s="586"/>
      <c r="H229" s="586"/>
      <c r="I229" s="586"/>
      <c r="J229" s="586"/>
      <c r="K229" s="586"/>
      <c r="L229" s="587"/>
      <c r="M229" s="588"/>
      <c r="N229" s="588"/>
    </row>
    <row r="230" spans="1:14">
      <c r="A230" s="584"/>
      <c r="B230" s="585"/>
      <c r="C230" s="585"/>
      <c r="D230" s="586"/>
      <c r="E230" s="586"/>
      <c r="F230" s="586"/>
      <c r="G230" s="586"/>
      <c r="H230" s="586"/>
      <c r="I230" s="586"/>
      <c r="J230" s="586"/>
      <c r="K230" s="586"/>
      <c r="L230" s="587"/>
      <c r="M230" s="588"/>
      <c r="N230" s="588"/>
    </row>
    <row r="231" spans="1:14">
      <c r="A231" s="584"/>
      <c r="B231" s="585"/>
      <c r="C231" s="585"/>
      <c r="D231" s="586"/>
      <c r="E231" s="586"/>
      <c r="F231" s="586"/>
      <c r="G231" s="586"/>
      <c r="H231" s="586"/>
      <c r="I231" s="586"/>
      <c r="J231" s="586"/>
      <c r="K231" s="586"/>
      <c r="L231" s="587"/>
      <c r="M231" s="588"/>
      <c r="N231" s="588"/>
    </row>
    <row r="232" spans="1:14">
      <c r="A232" s="584"/>
      <c r="B232" s="585"/>
      <c r="C232" s="585"/>
      <c r="D232" s="586"/>
      <c r="E232" s="586"/>
      <c r="F232" s="586"/>
      <c r="G232" s="586"/>
      <c r="H232" s="586"/>
      <c r="I232" s="586"/>
      <c r="J232" s="586"/>
      <c r="K232" s="586"/>
      <c r="L232" s="587"/>
      <c r="M232" s="588"/>
      <c r="N232" s="588"/>
    </row>
    <row r="233" spans="1:14">
      <c r="A233" s="584"/>
      <c r="B233" s="585"/>
      <c r="C233" s="585"/>
      <c r="D233" s="586"/>
      <c r="E233" s="586"/>
      <c r="F233" s="586"/>
      <c r="G233" s="586"/>
      <c r="H233" s="586"/>
      <c r="I233" s="586"/>
      <c r="J233" s="586"/>
      <c r="K233" s="586"/>
      <c r="L233" s="587"/>
      <c r="M233" s="588"/>
      <c r="N233" s="588"/>
    </row>
    <row r="234" spans="1:14">
      <c r="A234" s="584"/>
      <c r="B234" s="585"/>
      <c r="C234" s="585"/>
      <c r="D234" s="586"/>
      <c r="E234" s="586"/>
      <c r="F234" s="586"/>
      <c r="G234" s="586"/>
      <c r="H234" s="586"/>
      <c r="I234" s="586"/>
      <c r="J234" s="586"/>
      <c r="K234" s="586"/>
      <c r="L234" s="587"/>
      <c r="M234" s="588"/>
      <c r="N234" s="588"/>
    </row>
    <row r="235" spans="1:14">
      <c r="A235" s="584"/>
      <c r="B235" s="585"/>
      <c r="C235" s="585"/>
      <c r="D235" s="586"/>
      <c r="E235" s="586"/>
      <c r="F235" s="586"/>
      <c r="G235" s="586"/>
      <c r="H235" s="586"/>
      <c r="I235" s="586"/>
      <c r="J235" s="586"/>
      <c r="K235" s="586"/>
      <c r="L235" s="587"/>
      <c r="M235" s="588"/>
      <c r="N235" s="588"/>
    </row>
    <row r="236" spans="1:14">
      <c r="A236" s="584"/>
      <c r="B236" s="585"/>
      <c r="C236" s="585"/>
      <c r="D236" s="586"/>
      <c r="E236" s="586"/>
      <c r="F236" s="586"/>
      <c r="G236" s="586"/>
      <c r="H236" s="586"/>
      <c r="I236" s="586"/>
      <c r="J236" s="586"/>
      <c r="K236" s="586"/>
      <c r="L236" s="587"/>
      <c r="M236" s="588"/>
      <c r="N236" s="588"/>
    </row>
    <row r="237" spans="1:14">
      <c r="A237" s="584"/>
      <c r="B237" s="585"/>
      <c r="C237" s="585"/>
      <c r="D237" s="586"/>
      <c r="E237" s="586"/>
      <c r="F237" s="586"/>
      <c r="G237" s="586"/>
      <c r="H237" s="586"/>
      <c r="I237" s="586"/>
      <c r="J237" s="586"/>
      <c r="K237" s="586"/>
      <c r="L237" s="587"/>
      <c r="M237" s="588"/>
      <c r="N237" s="588"/>
    </row>
    <row r="238" spans="1:14">
      <c r="A238" s="584"/>
      <c r="B238" s="585"/>
      <c r="C238" s="585"/>
      <c r="D238" s="586"/>
      <c r="E238" s="586"/>
      <c r="F238" s="586"/>
      <c r="G238" s="586"/>
      <c r="H238" s="586"/>
      <c r="I238" s="586"/>
      <c r="J238" s="586"/>
      <c r="K238" s="586"/>
      <c r="L238" s="587"/>
      <c r="M238" s="588"/>
      <c r="N238" s="588"/>
    </row>
    <row r="239" spans="1:14">
      <c r="A239" s="584"/>
      <c r="B239" s="585"/>
      <c r="C239" s="585"/>
      <c r="D239" s="586"/>
      <c r="E239" s="586"/>
      <c r="F239" s="586"/>
      <c r="G239" s="586"/>
      <c r="H239" s="586"/>
      <c r="I239" s="586"/>
      <c r="J239" s="586"/>
      <c r="K239" s="586"/>
      <c r="L239" s="587"/>
      <c r="M239" s="588"/>
      <c r="N239" s="588"/>
    </row>
    <row r="240" spans="1:14">
      <c r="A240" s="584"/>
      <c r="B240" s="585"/>
      <c r="C240" s="585"/>
      <c r="D240" s="586"/>
      <c r="E240" s="586"/>
      <c r="F240" s="586"/>
      <c r="G240" s="586"/>
      <c r="H240" s="586"/>
      <c r="I240" s="586"/>
      <c r="J240" s="586"/>
      <c r="K240" s="586"/>
      <c r="L240" s="587"/>
      <c r="M240" s="588"/>
      <c r="N240" s="588"/>
    </row>
    <row r="241" spans="1:14">
      <c r="A241" s="584"/>
      <c r="B241" s="585"/>
      <c r="C241" s="585"/>
      <c r="D241" s="586"/>
      <c r="E241" s="586"/>
      <c r="F241" s="586"/>
      <c r="G241" s="586"/>
      <c r="H241" s="586"/>
      <c r="I241" s="586"/>
      <c r="J241" s="586"/>
      <c r="K241" s="586"/>
      <c r="L241" s="587"/>
      <c r="M241" s="588"/>
      <c r="N241" s="588"/>
    </row>
    <row r="242" spans="1:14">
      <c r="A242" s="584"/>
      <c r="B242" s="585"/>
      <c r="C242" s="585"/>
      <c r="D242" s="586"/>
      <c r="E242" s="586"/>
      <c r="F242" s="586"/>
      <c r="G242" s="586"/>
      <c r="H242" s="586"/>
      <c r="I242" s="586"/>
      <c r="J242" s="586"/>
      <c r="K242" s="586"/>
      <c r="L242" s="587"/>
      <c r="M242" s="588"/>
      <c r="N242" s="588"/>
    </row>
    <row r="243" spans="1:14">
      <c r="A243" s="584"/>
      <c r="B243" s="585"/>
      <c r="C243" s="585"/>
      <c r="D243" s="586"/>
      <c r="E243" s="586"/>
      <c r="F243" s="586"/>
      <c r="G243" s="586"/>
      <c r="H243" s="586"/>
      <c r="I243" s="586"/>
      <c r="J243" s="586"/>
      <c r="K243" s="586"/>
      <c r="L243" s="587"/>
      <c r="M243" s="588"/>
      <c r="N243" s="588"/>
    </row>
    <row r="244" spans="1:14">
      <c r="A244" s="584"/>
      <c r="B244" s="585"/>
      <c r="C244" s="585"/>
      <c r="D244" s="586"/>
      <c r="E244" s="586"/>
      <c r="F244" s="586"/>
      <c r="G244" s="586"/>
      <c r="H244" s="586"/>
      <c r="I244" s="586"/>
      <c r="J244" s="586"/>
      <c r="K244" s="586"/>
      <c r="L244" s="587"/>
      <c r="M244" s="588"/>
      <c r="N244" s="588"/>
    </row>
    <row r="245" spans="1:14">
      <c r="A245" s="584"/>
      <c r="B245" s="585"/>
      <c r="C245" s="585"/>
      <c r="D245" s="586"/>
      <c r="E245" s="586"/>
      <c r="F245" s="586"/>
      <c r="G245" s="586"/>
      <c r="H245" s="586"/>
      <c r="I245" s="586"/>
      <c r="J245" s="586"/>
      <c r="K245" s="586"/>
      <c r="L245" s="587"/>
      <c r="M245" s="588"/>
      <c r="N245" s="588"/>
    </row>
    <row r="246" spans="1:14">
      <c r="A246" s="584"/>
      <c r="B246" s="585"/>
      <c r="C246" s="585"/>
      <c r="D246" s="586"/>
      <c r="E246" s="586"/>
      <c r="F246" s="586"/>
      <c r="G246" s="586"/>
      <c r="H246" s="586"/>
      <c r="I246" s="586"/>
      <c r="J246" s="586"/>
      <c r="K246" s="586"/>
      <c r="L246" s="587"/>
      <c r="M246" s="588"/>
      <c r="N246" s="588"/>
    </row>
    <row r="247" spans="1:14">
      <c r="A247" s="584"/>
      <c r="B247" s="585"/>
      <c r="C247" s="585"/>
      <c r="D247" s="586"/>
      <c r="E247" s="586"/>
      <c r="F247" s="586"/>
      <c r="G247" s="586"/>
      <c r="H247" s="586"/>
      <c r="I247" s="586"/>
      <c r="J247" s="586"/>
      <c r="K247" s="586"/>
      <c r="L247" s="587"/>
      <c r="M247" s="588"/>
      <c r="N247" s="588"/>
    </row>
    <row r="248" spans="1:14">
      <c r="A248" s="584"/>
      <c r="B248" s="585"/>
      <c r="C248" s="585"/>
      <c r="D248" s="586"/>
      <c r="E248" s="586"/>
      <c r="F248" s="586"/>
      <c r="G248" s="586"/>
      <c r="H248" s="586"/>
      <c r="I248" s="586"/>
      <c r="J248" s="586"/>
      <c r="K248" s="586"/>
      <c r="L248" s="587"/>
      <c r="M248" s="588"/>
      <c r="N248" s="588"/>
    </row>
    <row r="249" spans="1:14">
      <c r="A249" s="584"/>
      <c r="B249" s="585"/>
      <c r="C249" s="585"/>
      <c r="D249" s="586"/>
      <c r="E249" s="586"/>
      <c r="F249" s="586"/>
      <c r="G249" s="586"/>
      <c r="H249" s="586"/>
      <c r="I249" s="586"/>
      <c r="J249" s="586"/>
      <c r="K249" s="586"/>
      <c r="L249" s="587"/>
      <c r="M249" s="588"/>
      <c r="N249" s="588"/>
    </row>
    <row r="250" spans="1:14">
      <c r="A250" s="584"/>
      <c r="B250" s="585"/>
      <c r="C250" s="585"/>
      <c r="D250" s="586"/>
      <c r="E250" s="586"/>
      <c r="F250" s="586"/>
      <c r="G250" s="586"/>
      <c r="H250" s="586"/>
      <c r="I250" s="586"/>
      <c r="J250" s="586"/>
      <c r="K250" s="586"/>
      <c r="L250" s="587"/>
      <c r="M250" s="588"/>
      <c r="N250" s="588"/>
    </row>
    <row r="251" spans="1:14">
      <c r="A251" s="584"/>
      <c r="B251" s="585"/>
      <c r="C251" s="585"/>
      <c r="D251" s="586"/>
      <c r="E251" s="586"/>
      <c r="F251" s="586"/>
      <c r="G251" s="586"/>
      <c r="H251" s="586"/>
      <c r="I251" s="586"/>
      <c r="J251" s="586"/>
      <c r="K251" s="586"/>
      <c r="L251" s="587"/>
      <c r="M251" s="588"/>
      <c r="N251" s="588"/>
    </row>
    <row r="252" spans="1:14">
      <c r="A252" s="584"/>
      <c r="B252" s="585"/>
      <c r="C252" s="585"/>
      <c r="D252" s="586"/>
      <c r="E252" s="586"/>
      <c r="F252" s="586"/>
      <c r="G252" s="586"/>
      <c r="H252" s="586"/>
      <c r="I252" s="586"/>
      <c r="J252" s="586"/>
      <c r="K252" s="586"/>
      <c r="L252" s="587"/>
      <c r="M252" s="588"/>
      <c r="N252" s="588"/>
    </row>
    <row r="253" spans="1:14">
      <c r="A253" s="584"/>
      <c r="B253" s="585"/>
      <c r="C253" s="585"/>
      <c r="D253" s="586"/>
      <c r="E253" s="586"/>
      <c r="F253" s="586"/>
      <c r="G253" s="586"/>
      <c r="H253" s="586"/>
      <c r="I253" s="586"/>
      <c r="J253" s="586"/>
      <c r="K253" s="586"/>
      <c r="L253" s="587"/>
      <c r="M253" s="588"/>
      <c r="N253" s="588"/>
    </row>
    <row r="254" spans="1:14">
      <c r="A254" s="584"/>
      <c r="B254" s="585"/>
      <c r="C254" s="585"/>
      <c r="D254" s="586"/>
      <c r="E254" s="586"/>
      <c r="F254" s="586"/>
      <c r="G254" s="586"/>
      <c r="H254" s="586"/>
      <c r="I254" s="586"/>
      <c r="J254" s="586"/>
      <c r="K254" s="586"/>
      <c r="L254" s="587"/>
      <c r="M254" s="588"/>
      <c r="N254" s="588"/>
    </row>
    <row r="255" spans="1:14">
      <c r="A255" s="584"/>
      <c r="B255" s="585"/>
      <c r="C255" s="585"/>
      <c r="D255" s="586"/>
      <c r="E255" s="586"/>
      <c r="F255" s="586"/>
      <c r="G255" s="586"/>
      <c r="H255" s="586"/>
      <c r="I255" s="586"/>
      <c r="J255" s="586"/>
      <c r="K255" s="586"/>
      <c r="L255" s="587"/>
      <c r="M255" s="588"/>
      <c r="N255" s="588"/>
    </row>
    <row r="256" spans="1:14">
      <c r="A256" s="584"/>
      <c r="B256" s="585"/>
      <c r="C256" s="585"/>
      <c r="D256" s="586"/>
      <c r="E256" s="586"/>
      <c r="F256" s="586"/>
      <c r="G256" s="586"/>
      <c r="H256" s="586"/>
      <c r="I256" s="586"/>
      <c r="J256" s="586"/>
      <c r="K256" s="586"/>
      <c r="L256" s="587"/>
      <c r="M256" s="588"/>
      <c r="N256" s="588"/>
    </row>
    <row r="257" spans="1:14">
      <c r="A257" s="584"/>
      <c r="B257" s="585"/>
      <c r="C257" s="585"/>
      <c r="D257" s="586"/>
      <c r="E257" s="586"/>
      <c r="F257" s="586"/>
      <c r="G257" s="586"/>
      <c r="H257" s="586"/>
      <c r="I257" s="586"/>
      <c r="J257" s="586"/>
      <c r="K257" s="586"/>
      <c r="L257" s="587"/>
      <c r="M257" s="588"/>
      <c r="N257" s="588"/>
    </row>
    <row r="258" spans="1:14">
      <c r="A258" s="584"/>
      <c r="B258" s="585"/>
      <c r="C258" s="585"/>
      <c r="D258" s="586"/>
      <c r="E258" s="586"/>
      <c r="F258" s="586"/>
      <c r="G258" s="586"/>
      <c r="H258" s="586"/>
      <c r="I258" s="586"/>
      <c r="J258" s="586"/>
      <c r="K258" s="586"/>
      <c r="L258" s="587"/>
      <c r="M258" s="588"/>
      <c r="N258" s="588"/>
    </row>
    <row r="259" spans="1:14">
      <c r="A259" s="584"/>
      <c r="B259" s="585"/>
      <c r="C259" s="585"/>
      <c r="D259" s="586"/>
      <c r="E259" s="586"/>
      <c r="F259" s="586"/>
      <c r="G259" s="586"/>
      <c r="H259" s="586"/>
      <c r="I259" s="586"/>
      <c r="J259" s="586"/>
      <c r="K259" s="586"/>
      <c r="L259" s="587"/>
      <c r="M259" s="588"/>
      <c r="N259" s="588"/>
    </row>
    <row r="260" spans="1:14">
      <c r="A260" s="584"/>
      <c r="B260" s="585"/>
      <c r="C260" s="585"/>
      <c r="D260" s="586"/>
      <c r="E260" s="586"/>
      <c r="F260" s="586"/>
      <c r="G260" s="586"/>
      <c r="H260" s="586"/>
      <c r="I260" s="586"/>
      <c r="J260" s="586"/>
      <c r="K260" s="586"/>
      <c r="L260" s="587"/>
      <c r="M260" s="588"/>
      <c r="N260" s="588"/>
    </row>
    <row r="261" spans="1:14">
      <c r="A261" s="584"/>
      <c r="B261" s="585"/>
      <c r="C261" s="585"/>
      <c r="D261" s="586"/>
      <c r="E261" s="586"/>
      <c r="F261" s="586"/>
      <c r="G261" s="586"/>
      <c r="H261" s="586"/>
      <c r="I261" s="586"/>
      <c r="J261" s="586"/>
      <c r="K261" s="586"/>
      <c r="L261" s="587"/>
      <c r="M261" s="588"/>
      <c r="N261" s="588"/>
    </row>
    <row r="262" spans="1:14">
      <c r="A262" s="584"/>
      <c r="B262" s="585"/>
      <c r="C262" s="585"/>
      <c r="D262" s="586"/>
      <c r="E262" s="586"/>
      <c r="F262" s="586"/>
      <c r="G262" s="586"/>
      <c r="H262" s="586"/>
      <c r="I262" s="586"/>
      <c r="J262" s="586"/>
      <c r="K262" s="586"/>
      <c r="L262" s="587"/>
      <c r="M262" s="588"/>
      <c r="N262" s="588"/>
    </row>
    <row r="263" spans="1:14">
      <c r="A263" s="584"/>
      <c r="B263" s="585"/>
      <c r="C263" s="585"/>
      <c r="D263" s="586"/>
      <c r="E263" s="586"/>
      <c r="F263" s="586"/>
      <c r="G263" s="586"/>
      <c r="H263" s="586"/>
      <c r="I263" s="586"/>
      <c r="J263" s="586"/>
      <c r="K263" s="586"/>
      <c r="L263" s="587"/>
      <c r="M263" s="588"/>
      <c r="N263" s="588"/>
    </row>
    <row r="264" spans="1:14">
      <c r="A264" s="584"/>
      <c r="B264" s="585"/>
      <c r="C264" s="585"/>
      <c r="D264" s="586"/>
      <c r="E264" s="586"/>
      <c r="F264" s="586"/>
      <c r="G264" s="586"/>
      <c r="H264" s="586"/>
      <c r="I264" s="586"/>
      <c r="J264" s="586"/>
      <c r="K264" s="586"/>
      <c r="L264" s="587"/>
      <c r="M264" s="588"/>
      <c r="N264" s="588"/>
    </row>
    <row r="265" spans="1:14">
      <c r="A265" s="584"/>
      <c r="B265" s="585"/>
      <c r="C265" s="585"/>
      <c r="D265" s="586"/>
      <c r="E265" s="586"/>
      <c r="F265" s="586"/>
      <c r="G265" s="586"/>
      <c r="H265" s="586"/>
      <c r="I265" s="586"/>
      <c r="J265" s="586"/>
      <c r="K265" s="586"/>
      <c r="L265" s="587"/>
      <c r="M265" s="588"/>
      <c r="N265" s="588"/>
    </row>
    <row r="266" spans="1:14">
      <c r="A266" s="584"/>
      <c r="B266" s="585"/>
      <c r="C266" s="585"/>
      <c r="D266" s="586"/>
      <c r="E266" s="586"/>
      <c r="F266" s="586"/>
      <c r="G266" s="586"/>
      <c r="H266" s="586"/>
      <c r="I266" s="586"/>
      <c r="J266" s="586"/>
      <c r="K266" s="586"/>
      <c r="L266" s="587"/>
      <c r="M266" s="588"/>
      <c r="N266" s="588"/>
    </row>
    <row r="267" spans="1:14">
      <c r="A267" s="584"/>
      <c r="B267" s="585"/>
      <c r="C267" s="585"/>
      <c r="D267" s="586"/>
      <c r="E267" s="586"/>
      <c r="F267" s="586"/>
      <c r="G267" s="586"/>
      <c r="H267" s="586"/>
      <c r="I267" s="586"/>
      <c r="J267" s="586"/>
      <c r="K267" s="586"/>
      <c r="L267" s="587"/>
      <c r="M267" s="588"/>
      <c r="N267" s="588"/>
    </row>
    <row r="268" spans="1:14">
      <c r="A268" s="584"/>
      <c r="B268" s="585"/>
      <c r="C268" s="585"/>
      <c r="D268" s="586"/>
      <c r="E268" s="586"/>
      <c r="F268" s="586"/>
      <c r="G268" s="586"/>
      <c r="H268" s="586"/>
      <c r="I268" s="586"/>
      <c r="J268" s="586"/>
      <c r="K268" s="586"/>
      <c r="L268" s="587"/>
      <c r="M268" s="588"/>
      <c r="N268" s="588"/>
    </row>
    <row r="269" spans="1:14">
      <c r="A269" s="584"/>
      <c r="B269" s="585"/>
      <c r="C269" s="585"/>
      <c r="D269" s="586"/>
      <c r="E269" s="586"/>
      <c r="F269" s="586"/>
      <c r="G269" s="586"/>
      <c r="H269" s="586"/>
      <c r="I269" s="586"/>
      <c r="J269" s="586"/>
      <c r="K269" s="586"/>
      <c r="L269" s="587"/>
      <c r="M269" s="588"/>
      <c r="N269" s="588"/>
    </row>
    <row r="270" spans="1:14">
      <c r="A270" s="584"/>
      <c r="B270" s="585"/>
      <c r="C270" s="585"/>
      <c r="D270" s="586"/>
      <c r="E270" s="586"/>
      <c r="F270" s="586"/>
      <c r="G270" s="586"/>
      <c r="H270" s="586"/>
      <c r="I270" s="586"/>
      <c r="J270" s="586"/>
      <c r="K270" s="586"/>
      <c r="L270" s="587"/>
      <c r="M270" s="588"/>
      <c r="N270" s="588"/>
    </row>
    <row r="271" spans="1:14">
      <c r="A271" s="584"/>
      <c r="B271" s="585"/>
      <c r="C271" s="585"/>
      <c r="D271" s="586"/>
      <c r="E271" s="586"/>
      <c r="F271" s="586"/>
      <c r="G271" s="586"/>
      <c r="H271" s="586"/>
      <c r="I271" s="586"/>
      <c r="J271" s="586"/>
      <c r="K271" s="586"/>
      <c r="L271" s="587"/>
      <c r="M271" s="588"/>
      <c r="N271" s="588"/>
    </row>
    <row r="272" spans="1:14">
      <c r="A272" s="584"/>
      <c r="B272" s="585"/>
      <c r="C272" s="585"/>
      <c r="D272" s="586"/>
      <c r="E272" s="586"/>
      <c r="F272" s="586"/>
      <c r="G272" s="586"/>
      <c r="H272" s="586"/>
      <c r="I272" s="586"/>
      <c r="J272" s="586"/>
      <c r="K272" s="586"/>
      <c r="L272" s="587"/>
      <c r="M272" s="588"/>
      <c r="N272" s="588"/>
    </row>
    <row r="273" spans="1:14">
      <c r="A273" s="584"/>
      <c r="B273" s="585"/>
      <c r="C273" s="585"/>
      <c r="D273" s="586"/>
      <c r="E273" s="586"/>
      <c r="F273" s="586"/>
      <c r="G273" s="586"/>
      <c r="H273" s="586"/>
      <c r="I273" s="586"/>
      <c r="J273" s="586"/>
      <c r="K273" s="586"/>
      <c r="L273" s="587"/>
      <c r="M273" s="588"/>
      <c r="N273" s="588"/>
    </row>
    <row r="274" spans="1:14">
      <c r="A274" s="584"/>
      <c r="B274" s="585"/>
      <c r="C274" s="585"/>
      <c r="D274" s="586"/>
      <c r="E274" s="586"/>
      <c r="F274" s="586"/>
      <c r="G274" s="586"/>
      <c r="H274" s="586"/>
      <c r="I274" s="586"/>
      <c r="J274" s="586"/>
      <c r="K274" s="586"/>
      <c r="L274" s="587"/>
      <c r="M274" s="588"/>
      <c r="N274" s="588"/>
    </row>
    <row r="275" spans="1:14">
      <c r="A275" s="584"/>
      <c r="B275" s="585"/>
      <c r="C275" s="585"/>
      <c r="D275" s="586"/>
      <c r="E275" s="586"/>
      <c r="F275" s="586"/>
      <c r="G275" s="586"/>
      <c r="H275" s="586"/>
      <c r="I275" s="586"/>
      <c r="J275" s="586"/>
      <c r="K275" s="586"/>
      <c r="L275" s="587"/>
      <c r="M275" s="588"/>
      <c r="N275" s="588"/>
    </row>
    <row r="276" spans="1:14">
      <c r="A276" s="584"/>
      <c r="B276" s="585"/>
      <c r="C276" s="585"/>
      <c r="D276" s="586"/>
      <c r="E276" s="586"/>
      <c r="F276" s="586"/>
      <c r="G276" s="586"/>
      <c r="H276" s="586"/>
      <c r="I276" s="586"/>
      <c r="J276" s="586"/>
      <c r="K276" s="586"/>
      <c r="L276" s="587"/>
      <c r="M276" s="588"/>
      <c r="N276" s="588"/>
    </row>
    <row r="277" spans="1:14">
      <c r="A277" s="584"/>
      <c r="B277" s="585"/>
      <c r="C277" s="585"/>
      <c r="D277" s="586"/>
      <c r="E277" s="586"/>
      <c r="F277" s="586"/>
      <c r="G277" s="586"/>
      <c r="H277" s="586"/>
      <c r="I277" s="586"/>
      <c r="J277" s="586"/>
      <c r="K277" s="586"/>
      <c r="L277" s="587"/>
      <c r="M277" s="588"/>
      <c r="N277" s="588"/>
    </row>
    <row r="278" spans="1:14">
      <c r="A278" s="584"/>
      <c r="B278" s="585"/>
      <c r="C278" s="585"/>
      <c r="D278" s="586"/>
      <c r="E278" s="586"/>
      <c r="F278" s="586"/>
      <c r="G278" s="586"/>
      <c r="H278" s="586"/>
      <c r="I278" s="586"/>
      <c r="J278" s="586"/>
      <c r="K278" s="586"/>
      <c r="L278" s="587"/>
      <c r="M278" s="588"/>
      <c r="N278" s="588"/>
    </row>
    <row r="279" spans="1:14">
      <c r="A279" s="584"/>
      <c r="B279" s="585"/>
      <c r="C279" s="585"/>
      <c r="D279" s="586"/>
      <c r="E279" s="586"/>
      <c r="F279" s="586"/>
      <c r="G279" s="586"/>
      <c r="H279" s="586"/>
      <c r="I279" s="586"/>
      <c r="J279" s="586"/>
      <c r="K279" s="586"/>
      <c r="L279" s="587"/>
      <c r="M279" s="588"/>
      <c r="N279" s="588"/>
    </row>
    <row r="280" spans="1:14">
      <c r="A280" s="584"/>
      <c r="B280" s="585"/>
      <c r="C280" s="585"/>
      <c r="D280" s="586"/>
      <c r="E280" s="586"/>
      <c r="F280" s="586"/>
      <c r="G280" s="586"/>
      <c r="H280" s="586"/>
      <c r="I280" s="586"/>
      <c r="J280" s="586"/>
      <c r="K280" s="586"/>
      <c r="L280" s="587"/>
      <c r="M280" s="588"/>
      <c r="N280" s="588"/>
    </row>
    <row r="281" spans="1:14">
      <c r="A281" s="584"/>
      <c r="B281" s="585"/>
      <c r="C281" s="585"/>
      <c r="D281" s="586"/>
      <c r="E281" s="586"/>
      <c r="F281" s="586"/>
      <c r="G281" s="586"/>
      <c r="H281" s="586"/>
      <c r="I281" s="586"/>
      <c r="J281" s="586"/>
      <c r="K281" s="586"/>
      <c r="L281" s="587"/>
      <c r="M281" s="588"/>
      <c r="N281" s="588"/>
    </row>
    <row r="282" spans="1:14">
      <c r="A282" s="584"/>
      <c r="B282" s="585"/>
      <c r="C282" s="585"/>
      <c r="D282" s="586"/>
      <c r="E282" s="586"/>
      <c r="F282" s="586"/>
      <c r="G282" s="586"/>
      <c r="H282" s="586"/>
      <c r="I282" s="586"/>
      <c r="J282" s="586"/>
      <c r="K282" s="586"/>
      <c r="L282" s="587"/>
      <c r="M282" s="588"/>
      <c r="N282" s="588"/>
    </row>
    <row r="283" spans="1:14">
      <c r="A283" s="584"/>
      <c r="B283" s="585"/>
      <c r="C283" s="585"/>
      <c r="D283" s="586"/>
      <c r="E283" s="586"/>
      <c r="F283" s="586"/>
      <c r="G283" s="586"/>
      <c r="H283" s="586"/>
      <c r="I283" s="586"/>
      <c r="J283" s="586"/>
      <c r="K283" s="586"/>
      <c r="L283" s="587"/>
      <c r="M283" s="588"/>
      <c r="N283" s="588"/>
    </row>
    <row r="284" spans="1:14">
      <c r="A284" s="584"/>
      <c r="B284" s="585"/>
      <c r="C284" s="585"/>
      <c r="D284" s="586"/>
      <c r="E284" s="586"/>
      <c r="F284" s="586"/>
      <c r="G284" s="586"/>
      <c r="H284" s="586"/>
      <c r="I284" s="586"/>
      <c r="J284" s="586"/>
      <c r="K284" s="586"/>
      <c r="L284" s="587"/>
      <c r="M284" s="588"/>
      <c r="N284" s="588"/>
    </row>
    <row r="285" spans="1:14">
      <c r="A285" s="584"/>
      <c r="B285" s="585"/>
      <c r="C285" s="585"/>
      <c r="D285" s="586"/>
      <c r="E285" s="586"/>
      <c r="F285" s="586"/>
      <c r="G285" s="586"/>
      <c r="H285" s="586"/>
      <c r="I285" s="586"/>
      <c r="J285" s="586"/>
      <c r="K285" s="586"/>
      <c r="L285" s="587"/>
      <c r="M285" s="588"/>
      <c r="N285" s="588"/>
    </row>
    <row r="286" spans="1:14">
      <c r="A286" s="584"/>
      <c r="B286" s="585"/>
      <c r="C286" s="585"/>
      <c r="D286" s="586"/>
      <c r="E286" s="586"/>
      <c r="F286" s="586"/>
      <c r="G286" s="586"/>
      <c r="H286" s="586"/>
      <c r="I286" s="586"/>
      <c r="J286" s="586"/>
      <c r="K286" s="586"/>
      <c r="L286" s="587"/>
      <c r="M286" s="588"/>
      <c r="N286" s="588"/>
    </row>
    <row r="287" spans="1:14">
      <c r="A287" s="584"/>
      <c r="B287" s="585"/>
      <c r="C287" s="585"/>
      <c r="D287" s="586"/>
      <c r="E287" s="586"/>
      <c r="F287" s="586"/>
      <c r="G287" s="586"/>
      <c r="H287" s="586"/>
      <c r="I287" s="586"/>
      <c r="J287" s="586"/>
      <c r="K287" s="586"/>
      <c r="L287" s="587"/>
      <c r="M287" s="588"/>
      <c r="N287" s="588"/>
    </row>
    <row r="288" spans="1:14">
      <c r="A288" s="584"/>
      <c r="B288" s="585"/>
      <c r="C288" s="585"/>
      <c r="D288" s="586"/>
      <c r="E288" s="586"/>
      <c r="F288" s="586"/>
      <c r="G288" s="586"/>
      <c r="H288" s="586"/>
      <c r="I288" s="586"/>
      <c r="J288" s="586"/>
      <c r="K288" s="586"/>
      <c r="L288" s="587"/>
      <c r="M288" s="588"/>
      <c r="N288" s="588"/>
    </row>
    <row r="289" spans="1:14">
      <c r="A289" s="584"/>
      <c r="B289" s="585"/>
      <c r="C289" s="585"/>
      <c r="D289" s="586"/>
      <c r="E289" s="586"/>
      <c r="F289" s="586"/>
      <c r="G289" s="586"/>
      <c r="H289" s="586"/>
      <c r="I289" s="586"/>
      <c r="J289" s="586"/>
      <c r="K289" s="586"/>
      <c r="L289" s="587"/>
      <c r="M289" s="588"/>
      <c r="N289" s="588"/>
    </row>
    <row r="290" spans="1:14">
      <c r="A290" s="584"/>
      <c r="B290" s="585"/>
      <c r="C290" s="585"/>
      <c r="D290" s="586"/>
      <c r="E290" s="586"/>
      <c r="F290" s="586"/>
      <c r="G290" s="586"/>
      <c r="H290" s="586"/>
      <c r="I290" s="586"/>
      <c r="J290" s="586"/>
      <c r="K290" s="586"/>
      <c r="L290" s="587"/>
      <c r="M290" s="588"/>
      <c r="N290" s="588"/>
    </row>
    <row r="291" spans="1:14">
      <c r="A291" s="584"/>
      <c r="B291" s="585"/>
      <c r="C291" s="585"/>
      <c r="D291" s="586"/>
      <c r="E291" s="586"/>
      <c r="F291" s="586"/>
      <c r="G291" s="586"/>
      <c r="H291" s="586"/>
      <c r="I291" s="586"/>
      <c r="J291" s="586"/>
      <c r="K291" s="586"/>
      <c r="L291" s="587"/>
      <c r="M291" s="588"/>
      <c r="N291" s="588"/>
    </row>
    <row r="292" spans="1:14">
      <c r="A292" s="584"/>
      <c r="B292" s="585"/>
      <c r="C292" s="585"/>
      <c r="D292" s="586"/>
      <c r="E292" s="586"/>
      <c r="F292" s="586"/>
      <c r="G292" s="586"/>
      <c r="H292" s="586"/>
      <c r="I292" s="586"/>
      <c r="J292" s="586"/>
      <c r="K292" s="586"/>
      <c r="L292" s="587"/>
      <c r="M292" s="588"/>
      <c r="N292" s="588"/>
    </row>
    <row r="293" spans="1:14">
      <c r="A293" s="584"/>
      <c r="B293" s="585"/>
      <c r="C293" s="585"/>
      <c r="D293" s="586"/>
      <c r="E293" s="586"/>
      <c r="F293" s="586"/>
      <c r="G293" s="586"/>
      <c r="H293" s="586"/>
      <c r="I293" s="586"/>
      <c r="J293" s="586"/>
      <c r="K293" s="586"/>
      <c r="L293" s="587"/>
      <c r="M293" s="588"/>
      <c r="N293" s="588"/>
    </row>
    <row r="294" spans="1:14">
      <c r="A294" s="584"/>
      <c r="B294" s="585"/>
      <c r="C294" s="585"/>
      <c r="D294" s="586"/>
      <c r="E294" s="586"/>
      <c r="F294" s="586"/>
      <c r="G294" s="586"/>
      <c r="H294" s="586"/>
      <c r="I294" s="586"/>
      <c r="J294" s="586"/>
      <c r="K294" s="586"/>
      <c r="L294" s="587"/>
      <c r="M294" s="588"/>
      <c r="N294" s="588"/>
    </row>
    <row r="295" spans="1:14">
      <c r="A295" s="584"/>
      <c r="B295" s="585"/>
      <c r="C295" s="585"/>
      <c r="D295" s="586"/>
      <c r="E295" s="586"/>
      <c r="F295" s="586"/>
      <c r="G295" s="586"/>
      <c r="H295" s="586"/>
      <c r="I295" s="586"/>
      <c r="J295" s="586"/>
      <c r="K295" s="586"/>
      <c r="L295" s="587"/>
      <c r="M295" s="588"/>
      <c r="N295" s="588"/>
    </row>
    <row r="296" spans="1:14">
      <c r="A296" s="584"/>
      <c r="B296" s="585"/>
      <c r="C296" s="585"/>
      <c r="D296" s="586"/>
      <c r="E296" s="586"/>
      <c r="F296" s="586"/>
      <c r="G296" s="586"/>
      <c r="H296" s="586"/>
      <c r="I296" s="586"/>
      <c r="J296" s="586"/>
      <c r="K296" s="586"/>
      <c r="L296" s="587"/>
      <c r="M296" s="588"/>
      <c r="N296" s="588"/>
    </row>
    <row r="297" spans="1:14">
      <c r="A297" s="584"/>
      <c r="B297" s="585"/>
      <c r="C297" s="585"/>
      <c r="D297" s="586"/>
      <c r="E297" s="586"/>
      <c r="F297" s="586"/>
      <c r="G297" s="586"/>
      <c r="H297" s="586"/>
      <c r="I297" s="586"/>
      <c r="J297" s="586"/>
      <c r="K297" s="586"/>
      <c r="L297" s="587"/>
      <c r="M297" s="588"/>
      <c r="N297" s="588"/>
    </row>
    <row r="298" spans="1:14">
      <c r="A298" s="584"/>
      <c r="B298" s="585"/>
      <c r="C298" s="585"/>
      <c r="D298" s="586"/>
      <c r="E298" s="586"/>
      <c r="F298" s="586"/>
      <c r="G298" s="586"/>
      <c r="H298" s="586"/>
      <c r="I298" s="586"/>
      <c r="J298" s="586"/>
      <c r="K298" s="586"/>
      <c r="L298" s="587"/>
      <c r="M298" s="588"/>
      <c r="N298" s="588"/>
    </row>
    <row r="299" spans="1:14">
      <c r="A299" s="584"/>
      <c r="B299" s="585"/>
      <c r="C299" s="585"/>
      <c r="D299" s="586"/>
      <c r="E299" s="586"/>
      <c r="F299" s="586"/>
      <c r="G299" s="586"/>
      <c r="H299" s="586"/>
      <c r="I299" s="586"/>
      <c r="J299" s="586"/>
      <c r="K299" s="586"/>
      <c r="L299" s="587"/>
      <c r="M299" s="588"/>
      <c r="N299" s="588"/>
    </row>
    <row r="300" spans="1:14">
      <c r="A300" s="584"/>
      <c r="B300" s="585"/>
      <c r="C300" s="585"/>
      <c r="D300" s="586"/>
      <c r="E300" s="586"/>
      <c r="F300" s="586"/>
      <c r="G300" s="586"/>
      <c r="H300" s="586"/>
      <c r="I300" s="586"/>
      <c r="J300" s="586"/>
      <c r="K300" s="586"/>
      <c r="L300" s="587"/>
      <c r="M300" s="588"/>
      <c r="N300" s="588"/>
    </row>
    <row r="301" spans="1:14">
      <c r="A301" s="584"/>
      <c r="B301" s="585"/>
      <c r="C301" s="585"/>
      <c r="D301" s="586"/>
      <c r="E301" s="586"/>
      <c r="F301" s="586"/>
      <c r="G301" s="586"/>
      <c r="H301" s="586"/>
      <c r="I301" s="586"/>
      <c r="J301" s="586"/>
      <c r="K301" s="586"/>
      <c r="L301" s="587"/>
      <c r="M301" s="588"/>
      <c r="N301" s="588"/>
    </row>
    <row r="302" spans="1:14">
      <c r="A302" s="584"/>
      <c r="B302" s="585"/>
      <c r="C302" s="585"/>
      <c r="D302" s="586"/>
      <c r="E302" s="586"/>
      <c r="F302" s="586"/>
      <c r="G302" s="586"/>
      <c r="H302" s="586"/>
      <c r="I302" s="586"/>
      <c r="J302" s="586"/>
      <c r="K302" s="586"/>
      <c r="L302" s="587"/>
      <c r="M302" s="588"/>
      <c r="N302" s="588"/>
    </row>
    <row r="303" spans="1:14">
      <c r="A303" s="584"/>
      <c r="B303" s="585"/>
      <c r="C303" s="585"/>
      <c r="D303" s="586"/>
      <c r="E303" s="586"/>
      <c r="F303" s="586"/>
      <c r="G303" s="586"/>
      <c r="H303" s="586"/>
      <c r="I303" s="586"/>
      <c r="J303" s="586"/>
      <c r="K303" s="586"/>
      <c r="L303" s="587"/>
      <c r="M303" s="588"/>
      <c r="N303" s="588"/>
    </row>
    <row r="304" spans="1:14">
      <c r="A304" s="584"/>
      <c r="B304" s="585"/>
      <c r="C304" s="585"/>
      <c r="D304" s="586"/>
      <c r="E304" s="586"/>
      <c r="F304" s="586"/>
      <c r="G304" s="586"/>
      <c r="H304" s="586"/>
      <c r="I304" s="586"/>
      <c r="J304" s="586"/>
      <c r="K304" s="586"/>
      <c r="L304" s="587"/>
      <c r="M304" s="588"/>
      <c r="N304" s="588"/>
    </row>
    <row r="305" spans="1:14">
      <c r="A305" s="584"/>
      <c r="B305" s="585"/>
      <c r="C305" s="585"/>
      <c r="D305" s="586"/>
      <c r="E305" s="586"/>
      <c r="F305" s="586"/>
      <c r="G305" s="586"/>
      <c r="H305" s="586"/>
      <c r="I305" s="586"/>
      <c r="J305" s="586"/>
      <c r="K305" s="586"/>
      <c r="L305" s="587"/>
      <c r="M305" s="588"/>
      <c r="N305" s="588"/>
    </row>
    <row r="306" spans="1:14">
      <c r="A306" s="584"/>
      <c r="B306" s="585"/>
      <c r="C306" s="585"/>
      <c r="D306" s="586"/>
      <c r="E306" s="586"/>
      <c r="F306" s="586"/>
      <c r="G306" s="586"/>
      <c r="H306" s="586"/>
      <c r="I306" s="586"/>
      <c r="J306" s="586"/>
      <c r="K306" s="586"/>
      <c r="L306" s="587"/>
      <c r="M306" s="588"/>
      <c r="N306" s="588"/>
    </row>
    <row r="307" spans="1:14">
      <c r="A307" s="584"/>
      <c r="B307" s="585"/>
      <c r="C307" s="585"/>
      <c r="D307" s="586"/>
      <c r="E307" s="586"/>
      <c r="F307" s="586"/>
      <c r="G307" s="586"/>
      <c r="H307" s="586"/>
      <c r="I307" s="586"/>
      <c r="J307" s="586"/>
      <c r="K307" s="586"/>
      <c r="L307" s="587"/>
      <c r="M307" s="588"/>
      <c r="N307" s="588"/>
    </row>
    <row r="308" spans="1:14">
      <c r="A308" s="584"/>
      <c r="B308" s="585"/>
      <c r="C308" s="585"/>
      <c r="D308" s="586"/>
      <c r="E308" s="586"/>
      <c r="F308" s="586"/>
      <c r="G308" s="586"/>
      <c r="H308" s="586"/>
      <c r="I308" s="586"/>
      <c r="J308" s="586"/>
      <c r="K308" s="586"/>
      <c r="L308" s="587"/>
      <c r="M308" s="588"/>
      <c r="N308" s="588"/>
    </row>
    <row r="309" spans="1:14">
      <c r="A309" s="584"/>
      <c r="B309" s="585"/>
      <c r="C309" s="585"/>
      <c r="D309" s="586"/>
      <c r="E309" s="586"/>
      <c r="F309" s="586"/>
      <c r="G309" s="586"/>
      <c r="H309" s="586"/>
      <c r="I309" s="586"/>
      <c r="J309" s="586"/>
      <c r="K309" s="586"/>
      <c r="L309" s="587"/>
      <c r="M309" s="588"/>
      <c r="N309" s="588"/>
    </row>
    <row r="310" spans="1:14">
      <c r="A310" s="584"/>
      <c r="B310" s="585"/>
      <c r="C310" s="585"/>
      <c r="D310" s="586"/>
      <c r="E310" s="586"/>
      <c r="F310" s="586"/>
      <c r="G310" s="586"/>
      <c r="H310" s="586"/>
      <c r="I310" s="586"/>
      <c r="J310" s="586"/>
      <c r="K310" s="586"/>
      <c r="L310" s="587"/>
      <c r="M310" s="588"/>
      <c r="N310" s="588"/>
    </row>
    <row r="311" spans="1:14">
      <c r="A311" s="584"/>
      <c r="B311" s="585"/>
      <c r="C311" s="585"/>
      <c r="D311" s="586"/>
      <c r="E311" s="586"/>
      <c r="F311" s="586"/>
      <c r="G311" s="586"/>
      <c r="H311" s="586"/>
      <c r="I311" s="586"/>
      <c r="J311" s="586"/>
      <c r="K311" s="586"/>
      <c r="L311" s="587"/>
      <c r="M311" s="588"/>
      <c r="N311" s="588"/>
    </row>
    <row r="312" spans="1:14">
      <c r="A312" s="584"/>
      <c r="B312" s="585"/>
      <c r="C312" s="585"/>
      <c r="D312" s="586"/>
      <c r="E312" s="586"/>
      <c r="F312" s="586"/>
      <c r="G312" s="586"/>
      <c r="H312" s="586"/>
      <c r="I312" s="586"/>
      <c r="J312" s="586"/>
      <c r="K312" s="586"/>
      <c r="L312" s="587"/>
      <c r="M312" s="588"/>
      <c r="N312" s="588"/>
    </row>
    <row r="313" spans="1:14">
      <c r="A313" s="584"/>
      <c r="B313" s="585"/>
      <c r="C313" s="585"/>
      <c r="D313" s="586"/>
      <c r="E313" s="586"/>
      <c r="F313" s="586"/>
      <c r="G313" s="586"/>
      <c r="H313" s="586"/>
      <c r="I313" s="586"/>
      <c r="J313" s="586"/>
      <c r="K313" s="586"/>
      <c r="L313" s="587"/>
      <c r="M313" s="588"/>
      <c r="N313" s="588"/>
    </row>
    <row r="314" spans="1:14">
      <c r="A314" s="584"/>
      <c r="B314" s="585"/>
      <c r="C314" s="585"/>
      <c r="D314" s="586"/>
      <c r="E314" s="586"/>
      <c r="F314" s="586"/>
      <c r="G314" s="586"/>
      <c r="H314" s="586"/>
      <c r="I314" s="586"/>
      <c r="J314" s="586"/>
      <c r="K314" s="586"/>
      <c r="L314" s="587"/>
      <c r="M314" s="588"/>
      <c r="N314" s="588"/>
    </row>
    <row r="315" spans="1:14">
      <c r="A315" s="584"/>
      <c r="B315" s="585"/>
      <c r="C315" s="585"/>
      <c r="D315" s="586"/>
      <c r="E315" s="586"/>
      <c r="F315" s="586"/>
      <c r="G315" s="586"/>
      <c r="H315" s="586"/>
      <c r="I315" s="586"/>
      <c r="J315" s="586"/>
      <c r="K315" s="586"/>
      <c r="L315" s="587"/>
      <c r="M315" s="588"/>
      <c r="N315" s="588"/>
    </row>
    <row r="316" spans="1:14">
      <c r="A316" s="584"/>
      <c r="B316" s="585"/>
      <c r="C316" s="585"/>
      <c r="D316" s="586"/>
      <c r="E316" s="586"/>
      <c r="F316" s="586"/>
      <c r="G316" s="586"/>
      <c r="H316" s="586"/>
      <c r="I316" s="586"/>
      <c r="J316" s="586"/>
      <c r="K316" s="586"/>
      <c r="L316" s="587"/>
      <c r="M316" s="588"/>
      <c r="N316" s="588"/>
    </row>
    <row r="317" spans="1:14">
      <c r="A317" s="584"/>
      <c r="B317" s="585"/>
      <c r="C317" s="585"/>
      <c r="D317" s="586"/>
      <c r="E317" s="586"/>
      <c r="F317" s="586"/>
      <c r="G317" s="586"/>
      <c r="H317" s="586"/>
      <c r="I317" s="586"/>
      <c r="J317" s="586"/>
      <c r="K317" s="586"/>
      <c r="L317" s="587"/>
      <c r="M317" s="588"/>
      <c r="N317" s="588"/>
    </row>
    <row r="318" spans="1:14">
      <c r="A318" s="584"/>
      <c r="B318" s="585"/>
      <c r="C318" s="585"/>
      <c r="D318" s="586"/>
      <c r="E318" s="586"/>
      <c r="F318" s="586"/>
      <c r="G318" s="586"/>
      <c r="H318" s="586"/>
      <c r="I318" s="586"/>
      <c r="J318" s="586"/>
      <c r="K318" s="586"/>
      <c r="L318" s="587"/>
      <c r="M318" s="588"/>
      <c r="N318" s="588"/>
    </row>
    <row r="319" spans="1:14">
      <c r="A319" s="584"/>
      <c r="B319" s="585"/>
      <c r="C319" s="585"/>
      <c r="D319" s="586"/>
      <c r="E319" s="586"/>
      <c r="F319" s="586"/>
      <c r="G319" s="586"/>
      <c r="H319" s="586"/>
      <c r="I319" s="586"/>
      <c r="J319" s="586"/>
      <c r="K319" s="586"/>
      <c r="L319" s="587"/>
      <c r="M319" s="588"/>
      <c r="N319" s="588"/>
    </row>
    <row r="320" spans="1:14">
      <c r="A320" s="584"/>
      <c r="B320" s="585"/>
      <c r="C320" s="585"/>
      <c r="D320" s="586"/>
      <c r="E320" s="586"/>
      <c r="F320" s="586"/>
      <c r="G320" s="586"/>
      <c r="H320" s="586"/>
      <c r="I320" s="586"/>
      <c r="J320" s="586"/>
      <c r="K320" s="586"/>
      <c r="L320" s="587"/>
      <c r="M320" s="588"/>
      <c r="N320" s="588"/>
    </row>
    <row r="321" spans="1:14">
      <c r="A321" s="584"/>
      <c r="B321" s="585"/>
      <c r="C321" s="585"/>
      <c r="D321" s="586"/>
      <c r="E321" s="586"/>
      <c r="F321" s="586"/>
      <c r="G321" s="586"/>
      <c r="H321" s="586"/>
      <c r="I321" s="586"/>
      <c r="J321" s="586"/>
      <c r="K321" s="586"/>
      <c r="L321" s="587"/>
      <c r="M321" s="588"/>
      <c r="N321" s="588"/>
    </row>
    <row r="322" spans="1:14">
      <c r="A322" s="584"/>
      <c r="B322" s="585"/>
      <c r="C322" s="585"/>
      <c r="D322" s="586"/>
      <c r="E322" s="586"/>
      <c r="F322" s="586"/>
      <c r="G322" s="586"/>
      <c r="H322" s="586"/>
      <c r="I322" s="586"/>
      <c r="J322" s="586"/>
      <c r="K322" s="586"/>
      <c r="L322" s="587"/>
      <c r="M322" s="588"/>
      <c r="N322" s="588"/>
    </row>
    <row r="323" spans="1:14">
      <c r="A323" s="584"/>
      <c r="B323" s="585"/>
      <c r="C323" s="585"/>
      <c r="D323" s="586"/>
      <c r="E323" s="586"/>
      <c r="F323" s="586"/>
      <c r="G323" s="586"/>
      <c r="H323" s="586"/>
      <c r="I323" s="586"/>
      <c r="J323" s="586"/>
      <c r="K323" s="586"/>
      <c r="L323" s="587"/>
      <c r="M323" s="588"/>
      <c r="N323" s="588"/>
    </row>
    <row r="324" spans="1:14">
      <c r="A324" s="584"/>
      <c r="B324" s="585"/>
      <c r="C324" s="585"/>
      <c r="D324" s="586"/>
      <c r="E324" s="586"/>
      <c r="F324" s="586"/>
      <c r="G324" s="586"/>
      <c r="H324" s="586"/>
      <c r="I324" s="586"/>
      <c r="J324" s="586"/>
      <c r="K324" s="586"/>
      <c r="L324" s="587"/>
      <c r="M324" s="588"/>
      <c r="N324" s="588"/>
    </row>
    <row r="325" spans="1:14">
      <c r="A325" s="584"/>
      <c r="B325" s="585"/>
      <c r="C325" s="585"/>
      <c r="D325" s="586"/>
      <c r="E325" s="586"/>
      <c r="F325" s="586"/>
      <c r="G325" s="586"/>
      <c r="H325" s="586"/>
      <c r="I325" s="586"/>
      <c r="J325" s="586"/>
      <c r="K325" s="586"/>
      <c r="L325" s="587"/>
      <c r="M325" s="588"/>
      <c r="N325" s="588"/>
    </row>
    <row r="326" spans="1:14">
      <c r="A326" s="584"/>
      <c r="B326" s="585"/>
      <c r="C326" s="585"/>
      <c r="D326" s="586"/>
      <c r="E326" s="586"/>
      <c r="F326" s="586"/>
      <c r="G326" s="586"/>
      <c r="H326" s="586"/>
      <c r="I326" s="586"/>
      <c r="J326" s="586"/>
      <c r="K326" s="586"/>
      <c r="L326" s="587"/>
      <c r="M326" s="588"/>
      <c r="N326" s="588"/>
    </row>
    <row r="327" spans="1:14">
      <c r="A327" s="584"/>
      <c r="B327" s="585"/>
      <c r="C327" s="585"/>
      <c r="D327" s="586"/>
      <c r="E327" s="586"/>
      <c r="F327" s="586"/>
      <c r="G327" s="586"/>
      <c r="H327" s="586"/>
      <c r="I327" s="586"/>
      <c r="J327" s="586"/>
      <c r="K327" s="586"/>
      <c r="L327" s="587"/>
      <c r="M327" s="588"/>
      <c r="N327" s="588"/>
    </row>
    <row r="328" spans="1:14">
      <c r="A328" s="584"/>
      <c r="B328" s="585"/>
      <c r="C328" s="585"/>
      <c r="D328" s="586"/>
      <c r="E328" s="586"/>
      <c r="F328" s="586"/>
      <c r="G328" s="586"/>
      <c r="H328" s="586"/>
      <c r="I328" s="586"/>
      <c r="J328" s="586"/>
      <c r="K328" s="586"/>
      <c r="L328" s="587"/>
      <c r="M328" s="588"/>
      <c r="N328" s="588"/>
    </row>
    <row r="329" spans="1:14">
      <c r="A329" s="584"/>
      <c r="B329" s="585"/>
      <c r="C329" s="585"/>
      <c r="D329" s="586"/>
      <c r="E329" s="586"/>
      <c r="F329" s="586"/>
      <c r="G329" s="586"/>
      <c r="H329" s="586"/>
      <c r="I329" s="586"/>
      <c r="J329" s="586"/>
      <c r="K329" s="586"/>
      <c r="L329" s="587"/>
      <c r="M329" s="588"/>
      <c r="N329" s="588"/>
    </row>
    <row r="330" spans="1:14">
      <c r="A330" s="584"/>
      <c r="B330" s="585"/>
      <c r="C330" s="585"/>
      <c r="D330" s="586"/>
      <c r="E330" s="586"/>
      <c r="F330" s="586"/>
      <c r="G330" s="586"/>
      <c r="H330" s="586"/>
      <c r="I330" s="586"/>
      <c r="J330" s="586"/>
      <c r="K330" s="586"/>
      <c r="L330" s="587"/>
      <c r="M330" s="588"/>
      <c r="N330" s="588"/>
    </row>
    <row r="331" spans="1:14">
      <c r="A331" s="584"/>
      <c r="B331" s="585"/>
      <c r="C331" s="585"/>
      <c r="D331" s="586"/>
      <c r="E331" s="586"/>
      <c r="F331" s="586"/>
      <c r="G331" s="586"/>
      <c r="H331" s="586"/>
      <c r="I331" s="586"/>
      <c r="J331" s="586"/>
      <c r="K331" s="586"/>
      <c r="L331" s="587"/>
      <c r="M331" s="588"/>
      <c r="N331" s="588"/>
    </row>
    <row r="332" spans="1:14">
      <c r="A332" s="584"/>
      <c r="B332" s="585"/>
      <c r="C332" s="585"/>
      <c r="D332" s="586"/>
      <c r="E332" s="586"/>
      <c r="F332" s="586"/>
      <c r="G332" s="586"/>
      <c r="H332" s="586"/>
      <c r="I332" s="586"/>
      <c r="J332" s="586"/>
      <c r="K332" s="586"/>
      <c r="L332" s="587"/>
      <c r="M332" s="588"/>
      <c r="N332" s="588"/>
    </row>
    <row r="333" spans="1:14">
      <c r="A333" s="584"/>
      <c r="B333" s="585"/>
      <c r="C333" s="585"/>
      <c r="D333" s="586"/>
      <c r="E333" s="586"/>
      <c r="F333" s="586"/>
      <c r="G333" s="586"/>
      <c r="H333" s="586"/>
      <c r="I333" s="586"/>
      <c r="J333" s="586"/>
      <c r="K333" s="586"/>
      <c r="L333" s="587"/>
      <c r="M333" s="588"/>
      <c r="N333" s="588"/>
    </row>
    <row r="334" spans="1:14">
      <c r="A334" s="584"/>
      <c r="B334" s="585"/>
      <c r="C334" s="585"/>
      <c r="D334" s="586"/>
      <c r="E334" s="586"/>
      <c r="F334" s="586"/>
      <c r="G334" s="586"/>
      <c r="H334" s="586"/>
      <c r="I334" s="586"/>
      <c r="J334" s="586"/>
      <c r="K334" s="586"/>
      <c r="L334" s="587"/>
      <c r="M334" s="588"/>
      <c r="N334" s="588"/>
    </row>
    <row r="335" spans="1:14">
      <c r="A335" s="584"/>
      <c r="B335" s="585"/>
      <c r="C335" s="585"/>
      <c r="D335" s="586"/>
      <c r="E335" s="586"/>
      <c r="F335" s="586"/>
      <c r="G335" s="586"/>
      <c r="H335" s="586"/>
      <c r="I335" s="586"/>
      <c r="J335" s="586"/>
      <c r="K335" s="586"/>
      <c r="L335" s="587"/>
      <c r="M335" s="588"/>
      <c r="N335" s="588"/>
    </row>
    <row r="336" spans="1:14">
      <c r="A336" s="584"/>
      <c r="B336" s="585"/>
      <c r="C336" s="585"/>
      <c r="D336" s="586"/>
      <c r="E336" s="586"/>
      <c r="F336" s="586"/>
      <c r="G336" s="586"/>
      <c r="H336" s="586"/>
      <c r="I336" s="586"/>
      <c r="J336" s="586"/>
      <c r="K336" s="586"/>
      <c r="L336" s="587"/>
      <c r="M336" s="588"/>
      <c r="N336" s="588"/>
    </row>
    <row r="337" spans="1:14">
      <c r="A337" s="584"/>
      <c r="B337" s="585"/>
      <c r="C337" s="585"/>
      <c r="D337" s="586"/>
      <c r="E337" s="586"/>
      <c r="F337" s="586"/>
      <c r="G337" s="586"/>
      <c r="H337" s="586"/>
      <c r="I337" s="586"/>
      <c r="J337" s="586"/>
      <c r="K337" s="586"/>
      <c r="L337" s="587"/>
      <c r="M337" s="588"/>
      <c r="N337" s="588"/>
    </row>
    <row r="338" spans="1:14">
      <c r="A338" s="584"/>
      <c r="B338" s="585"/>
      <c r="C338" s="585"/>
      <c r="D338" s="586"/>
      <c r="E338" s="586"/>
      <c r="F338" s="586"/>
      <c r="G338" s="586"/>
      <c r="H338" s="586"/>
      <c r="I338" s="586"/>
      <c r="J338" s="586"/>
      <c r="K338" s="586"/>
      <c r="L338" s="587"/>
      <c r="M338" s="588"/>
      <c r="N338" s="588"/>
    </row>
    <row r="339" spans="1:14">
      <c r="A339" s="584"/>
      <c r="B339" s="585"/>
      <c r="C339" s="585"/>
      <c r="D339" s="586"/>
      <c r="E339" s="586"/>
      <c r="F339" s="586"/>
      <c r="G339" s="586"/>
      <c r="H339" s="586"/>
      <c r="I339" s="586"/>
      <c r="J339" s="586"/>
      <c r="K339" s="586"/>
      <c r="L339" s="587"/>
      <c r="M339" s="588"/>
      <c r="N339" s="588"/>
    </row>
    <row r="340" spans="1:14">
      <c r="A340" s="584"/>
      <c r="B340" s="585"/>
      <c r="C340" s="585"/>
      <c r="D340" s="586"/>
      <c r="E340" s="586"/>
      <c r="F340" s="586"/>
      <c r="G340" s="586"/>
      <c r="H340" s="586"/>
      <c r="I340" s="586"/>
      <c r="J340" s="586"/>
      <c r="K340" s="586"/>
      <c r="L340" s="587"/>
      <c r="M340" s="588"/>
      <c r="N340" s="588"/>
    </row>
    <row r="341" spans="1:14">
      <c r="A341" s="584"/>
      <c r="B341" s="585"/>
      <c r="C341" s="585"/>
      <c r="D341" s="586"/>
      <c r="E341" s="586"/>
      <c r="F341" s="586"/>
      <c r="G341" s="586"/>
      <c r="H341" s="586"/>
      <c r="I341" s="586"/>
      <c r="J341" s="586"/>
      <c r="K341" s="586"/>
      <c r="L341" s="587"/>
      <c r="M341" s="588"/>
      <c r="N341" s="588"/>
    </row>
    <row r="342" spans="1:14">
      <c r="A342" s="584"/>
      <c r="B342" s="585"/>
      <c r="C342" s="585"/>
      <c r="D342" s="586"/>
      <c r="E342" s="586"/>
      <c r="F342" s="586"/>
      <c r="G342" s="586"/>
      <c r="H342" s="586"/>
      <c r="I342" s="586"/>
      <c r="J342" s="586"/>
      <c r="K342" s="586"/>
      <c r="L342" s="587"/>
      <c r="M342" s="588"/>
      <c r="N342" s="588"/>
    </row>
    <row r="343" spans="1:14">
      <c r="A343" s="584"/>
      <c r="B343" s="585"/>
      <c r="C343" s="585"/>
      <c r="D343" s="586"/>
      <c r="E343" s="586"/>
      <c r="F343" s="586"/>
      <c r="G343" s="586"/>
      <c r="H343" s="586"/>
      <c r="I343" s="586"/>
      <c r="J343" s="586"/>
      <c r="K343" s="586"/>
      <c r="L343" s="587"/>
      <c r="M343" s="588"/>
      <c r="N343" s="588"/>
    </row>
    <row r="344" spans="1:14">
      <c r="A344" s="584"/>
      <c r="B344" s="585"/>
      <c r="C344" s="585"/>
      <c r="D344" s="586"/>
      <c r="E344" s="586"/>
      <c r="F344" s="586"/>
      <c r="G344" s="586"/>
      <c r="H344" s="586"/>
      <c r="I344" s="586"/>
      <c r="J344" s="586"/>
      <c r="K344" s="586"/>
      <c r="L344" s="587"/>
      <c r="M344" s="588"/>
      <c r="N344" s="588"/>
    </row>
    <row r="345" spans="1:14">
      <c r="A345" s="584"/>
      <c r="B345" s="585"/>
      <c r="C345" s="585"/>
      <c r="D345" s="586"/>
      <c r="E345" s="586"/>
      <c r="F345" s="586"/>
      <c r="G345" s="586"/>
      <c r="H345" s="586"/>
      <c r="I345" s="586"/>
      <c r="J345" s="586"/>
      <c r="K345" s="586"/>
      <c r="L345" s="587"/>
      <c r="M345" s="588"/>
      <c r="N345" s="588"/>
    </row>
    <row r="346" spans="1:14">
      <c r="A346" s="584"/>
      <c r="B346" s="585"/>
      <c r="C346" s="585"/>
      <c r="D346" s="586"/>
      <c r="E346" s="586"/>
      <c r="F346" s="586"/>
      <c r="G346" s="586"/>
      <c r="H346" s="586"/>
      <c r="I346" s="586"/>
      <c r="J346" s="586"/>
      <c r="K346" s="586"/>
      <c r="L346" s="587"/>
      <c r="M346" s="588"/>
      <c r="N346" s="588"/>
    </row>
    <row r="347" spans="1:14">
      <c r="A347" s="584"/>
      <c r="B347" s="585"/>
      <c r="C347" s="585"/>
      <c r="D347" s="586"/>
      <c r="E347" s="586"/>
      <c r="F347" s="586"/>
      <c r="G347" s="586"/>
      <c r="H347" s="586"/>
      <c r="I347" s="586"/>
      <c r="J347" s="586"/>
      <c r="K347" s="586"/>
      <c r="L347" s="587"/>
      <c r="M347" s="588"/>
      <c r="N347" s="588"/>
    </row>
    <row r="348" spans="1:14">
      <c r="A348" s="584"/>
      <c r="B348" s="585"/>
      <c r="C348" s="585"/>
      <c r="D348" s="586"/>
      <c r="E348" s="586"/>
      <c r="F348" s="586"/>
      <c r="G348" s="586"/>
      <c r="H348" s="586"/>
      <c r="I348" s="586"/>
      <c r="J348" s="586"/>
      <c r="K348" s="586"/>
      <c r="L348" s="587"/>
      <c r="M348" s="588"/>
      <c r="N348" s="588"/>
    </row>
    <row r="349" spans="1:14">
      <c r="A349" s="584"/>
      <c r="B349" s="585"/>
      <c r="C349" s="585"/>
      <c r="D349" s="586"/>
      <c r="E349" s="586"/>
      <c r="F349" s="586"/>
      <c r="G349" s="586"/>
      <c r="H349" s="586"/>
      <c r="I349" s="586"/>
      <c r="J349" s="586"/>
      <c r="K349" s="586"/>
      <c r="L349" s="587"/>
      <c r="M349" s="588"/>
      <c r="N349" s="588"/>
    </row>
    <row r="350" spans="1:14">
      <c r="A350" s="584"/>
      <c r="B350" s="585"/>
      <c r="C350" s="585"/>
      <c r="D350" s="586"/>
      <c r="E350" s="586"/>
      <c r="F350" s="586"/>
      <c r="G350" s="586"/>
      <c r="H350" s="586"/>
      <c r="I350" s="586"/>
      <c r="J350" s="586"/>
      <c r="K350" s="586"/>
      <c r="L350" s="587"/>
      <c r="M350" s="588"/>
      <c r="N350" s="588"/>
    </row>
    <row r="351" spans="1:14">
      <c r="A351" s="584"/>
      <c r="B351" s="585"/>
      <c r="C351" s="585"/>
      <c r="D351" s="586"/>
      <c r="E351" s="586"/>
      <c r="F351" s="586"/>
      <c r="G351" s="586"/>
      <c r="H351" s="586"/>
      <c r="I351" s="586"/>
      <c r="J351" s="586"/>
      <c r="K351" s="586"/>
      <c r="L351" s="587"/>
      <c r="M351" s="588"/>
      <c r="N351" s="588"/>
    </row>
    <row r="352" spans="1:14">
      <c r="A352" s="584"/>
      <c r="B352" s="585"/>
      <c r="C352" s="585"/>
      <c r="D352" s="586"/>
      <c r="E352" s="586"/>
      <c r="F352" s="586"/>
      <c r="G352" s="586"/>
      <c r="H352" s="586"/>
      <c r="I352" s="586"/>
      <c r="J352" s="586"/>
      <c r="K352" s="586"/>
      <c r="L352" s="587"/>
      <c r="M352" s="588"/>
      <c r="N352" s="588"/>
    </row>
    <row r="353" spans="1:14">
      <c r="A353" s="584"/>
      <c r="B353" s="585"/>
      <c r="C353" s="585"/>
      <c r="D353" s="586"/>
      <c r="E353" s="586"/>
      <c r="F353" s="586"/>
      <c r="G353" s="586"/>
      <c r="H353" s="586"/>
      <c r="I353" s="586"/>
      <c r="J353" s="586"/>
      <c r="K353" s="586"/>
      <c r="L353" s="587"/>
      <c r="M353" s="588"/>
      <c r="N353" s="588"/>
    </row>
    <row r="354" spans="1:14">
      <c r="A354" s="584"/>
      <c r="B354" s="585"/>
      <c r="C354" s="585"/>
      <c r="D354" s="586"/>
      <c r="E354" s="586"/>
      <c r="F354" s="586"/>
      <c r="G354" s="586"/>
      <c r="H354" s="586"/>
      <c r="I354" s="586"/>
      <c r="J354" s="586"/>
      <c r="K354" s="586"/>
      <c r="L354" s="587"/>
      <c r="M354" s="588"/>
      <c r="N354" s="588"/>
    </row>
    <row r="355" spans="1:14">
      <c r="A355" s="584"/>
      <c r="B355" s="585"/>
      <c r="C355" s="585"/>
      <c r="D355" s="586"/>
      <c r="E355" s="586"/>
      <c r="F355" s="586"/>
      <c r="G355" s="586"/>
      <c r="H355" s="586"/>
      <c r="I355" s="586"/>
      <c r="J355" s="586"/>
      <c r="K355" s="586"/>
      <c r="L355" s="587"/>
      <c r="M355" s="588"/>
      <c r="N355" s="588"/>
    </row>
    <row r="356" spans="1:14">
      <c r="A356" s="584"/>
      <c r="B356" s="585"/>
      <c r="C356" s="585"/>
      <c r="D356" s="586"/>
      <c r="E356" s="586"/>
      <c r="F356" s="586"/>
      <c r="G356" s="586"/>
      <c r="H356" s="586"/>
      <c r="I356" s="586"/>
      <c r="J356" s="586"/>
      <c r="K356" s="586"/>
      <c r="L356" s="587"/>
      <c r="M356" s="588"/>
      <c r="N356" s="588"/>
    </row>
    <row r="357" spans="1:14">
      <c r="A357" s="584"/>
      <c r="B357" s="585"/>
      <c r="C357" s="585"/>
      <c r="D357" s="586"/>
      <c r="E357" s="586"/>
      <c r="F357" s="586"/>
      <c r="G357" s="586"/>
      <c r="H357" s="586"/>
      <c r="I357" s="586"/>
      <c r="J357" s="586"/>
      <c r="K357" s="586"/>
      <c r="L357" s="587"/>
      <c r="M357" s="588"/>
      <c r="N357" s="588"/>
    </row>
    <row r="358" spans="1:14">
      <c r="A358" s="584"/>
      <c r="B358" s="585"/>
      <c r="C358" s="585"/>
      <c r="D358" s="586"/>
      <c r="E358" s="586"/>
      <c r="F358" s="586"/>
      <c r="G358" s="586"/>
      <c r="H358" s="586"/>
      <c r="I358" s="586"/>
      <c r="J358" s="586"/>
      <c r="K358" s="586"/>
      <c r="L358" s="587"/>
      <c r="M358" s="588"/>
      <c r="N358" s="588"/>
    </row>
    <row r="359" spans="1:14">
      <c r="A359" s="584"/>
      <c r="B359" s="585"/>
      <c r="C359" s="585"/>
      <c r="D359" s="586"/>
      <c r="E359" s="586"/>
      <c r="F359" s="586"/>
      <c r="G359" s="586"/>
      <c r="H359" s="586"/>
      <c r="I359" s="586"/>
      <c r="J359" s="586"/>
      <c r="K359" s="586"/>
      <c r="L359" s="587"/>
      <c r="M359" s="588"/>
      <c r="N359" s="588"/>
    </row>
    <row r="360" spans="1:14">
      <c r="A360" s="584"/>
      <c r="B360" s="585"/>
      <c r="C360" s="585"/>
      <c r="D360" s="586"/>
      <c r="E360" s="586"/>
      <c r="F360" s="586"/>
      <c r="G360" s="586"/>
      <c r="H360" s="586"/>
      <c r="I360" s="586"/>
      <c r="J360" s="586"/>
      <c r="K360" s="586"/>
      <c r="L360" s="587"/>
      <c r="M360" s="588"/>
      <c r="N360" s="588"/>
    </row>
    <row r="361" spans="1:14">
      <c r="A361" s="584"/>
      <c r="B361" s="585"/>
      <c r="C361" s="585"/>
      <c r="D361" s="586"/>
      <c r="E361" s="586"/>
      <c r="F361" s="586"/>
      <c r="G361" s="586"/>
      <c r="H361" s="586"/>
      <c r="I361" s="586"/>
      <c r="J361" s="586"/>
      <c r="K361" s="586"/>
      <c r="L361" s="587"/>
      <c r="M361" s="588"/>
      <c r="N361" s="588"/>
    </row>
    <row r="362" spans="1:14">
      <c r="A362" s="584"/>
      <c r="B362" s="585"/>
      <c r="C362" s="585"/>
      <c r="D362" s="586"/>
      <c r="E362" s="586"/>
      <c r="F362" s="586"/>
      <c r="G362" s="586"/>
      <c r="H362" s="586"/>
      <c r="I362" s="586"/>
      <c r="J362" s="586"/>
      <c r="K362" s="586"/>
      <c r="L362" s="587"/>
      <c r="M362" s="588"/>
      <c r="N362" s="588"/>
    </row>
    <row r="363" spans="1:14">
      <c r="A363" s="584"/>
      <c r="B363" s="585"/>
      <c r="C363" s="585"/>
      <c r="D363" s="586"/>
      <c r="E363" s="586"/>
      <c r="F363" s="586"/>
      <c r="G363" s="586"/>
      <c r="H363" s="586"/>
      <c r="I363" s="586"/>
      <c r="J363" s="586"/>
      <c r="K363" s="586"/>
      <c r="L363" s="587"/>
      <c r="M363" s="588"/>
      <c r="N363" s="588"/>
    </row>
    <row r="364" spans="1:14">
      <c r="A364" s="584"/>
      <c r="B364" s="585"/>
      <c r="C364" s="585"/>
      <c r="D364" s="586"/>
      <c r="E364" s="586"/>
      <c r="F364" s="586"/>
      <c r="G364" s="586"/>
      <c r="H364" s="586"/>
      <c r="I364" s="586"/>
      <c r="J364" s="586"/>
      <c r="K364" s="586"/>
      <c r="L364" s="587"/>
      <c r="M364" s="588"/>
      <c r="N364" s="588"/>
    </row>
    <row r="365" spans="1:14">
      <c r="A365" s="584"/>
      <c r="B365" s="585"/>
      <c r="C365" s="585"/>
      <c r="D365" s="586"/>
      <c r="E365" s="586"/>
      <c r="F365" s="586"/>
      <c r="G365" s="586"/>
      <c r="H365" s="586"/>
      <c r="I365" s="586"/>
      <c r="J365" s="586"/>
      <c r="K365" s="586"/>
      <c r="L365" s="587"/>
      <c r="M365" s="588"/>
      <c r="N365" s="588"/>
    </row>
    <row r="366" spans="1:14">
      <c r="A366" s="584"/>
      <c r="B366" s="585"/>
      <c r="C366" s="585"/>
      <c r="D366" s="586"/>
      <c r="E366" s="586"/>
      <c r="F366" s="586"/>
      <c r="G366" s="586"/>
      <c r="H366" s="586"/>
      <c r="I366" s="586"/>
      <c r="J366" s="586"/>
      <c r="K366" s="586"/>
      <c r="L366" s="587"/>
      <c r="M366" s="588"/>
      <c r="N366" s="588"/>
    </row>
    <row r="367" spans="1:14">
      <c r="A367" s="584"/>
      <c r="B367" s="585"/>
      <c r="C367" s="585"/>
      <c r="D367" s="586"/>
      <c r="E367" s="586"/>
      <c r="F367" s="586"/>
      <c r="G367" s="586"/>
      <c r="H367" s="586"/>
      <c r="I367" s="586"/>
      <c r="J367" s="586"/>
      <c r="K367" s="586"/>
      <c r="L367" s="587"/>
      <c r="M367" s="588"/>
      <c r="N367" s="588"/>
    </row>
    <row r="368" spans="1:14">
      <c r="A368" s="584"/>
      <c r="B368" s="585"/>
      <c r="C368" s="585"/>
      <c r="D368" s="586"/>
      <c r="E368" s="586"/>
      <c r="F368" s="586"/>
      <c r="G368" s="586"/>
      <c r="H368" s="586"/>
      <c r="I368" s="586"/>
      <c r="J368" s="586"/>
      <c r="K368" s="586"/>
      <c r="L368" s="587"/>
      <c r="M368" s="588"/>
      <c r="N368" s="588"/>
    </row>
    <row r="369" spans="1:14">
      <c r="A369" s="584"/>
      <c r="B369" s="585"/>
      <c r="C369" s="585"/>
      <c r="D369" s="586"/>
      <c r="E369" s="586"/>
      <c r="F369" s="586"/>
      <c r="G369" s="586"/>
      <c r="H369" s="586"/>
      <c r="I369" s="586"/>
      <c r="J369" s="586"/>
      <c r="K369" s="586"/>
      <c r="L369" s="587"/>
      <c r="M369" s="588"/>
      <c r="N369" s="588"/>
    </row>
    <row r="370" spans="1:14">
      <c r="A370" s="584"/>
      <c r="B370" s="585"/>
      <c r="C370" s="585"/>
      <c r="D370" s="586"/>
      <c r="E370" s="586"/>
      <c r="F370" s="586"/>
      <c r="G370" s="586"/>
      <c r="H370" s="586"/>
      <c r="I370" s="586"/>
      <c r="J370" s="586"/>
      <c r="K370" s="586"/>
      <c r="L370" s="587"/>
      <c r="M370" s="588"/>
      <c r="N370" s="588"/>
    </row>
    <row r="371" spans="1:14">
      <c r="A371" s="584"/>
      <c r="B371" s="585"/>
      <c r="C371" s="585"/>
      <c r="D371" s="586"/>
      <c r="E371" s="586"/>
      <c r="F371" s="586"/>
      <c r="G371" s="586"/>
      <c r="H371" s="586"/>
      <c r="I371" s="586"/>
      <c r="J371" s="586"/>
      <c r="K371" s="586"/>
      <c r="L371" s="587"/>
      <c r="M371" s="588"/>
      <c r="N371" s="588"/>
    </row>
    <row r="372" spans="1:14">
      <c r="A372" s="584"/>
      <c r="B372" s="585"/>
      <c r="C372" s="585"/>
      <c r="D372" s="586"/>
      <c r="E372" s="586"/>
      <c r="F372" s="586"/>
      <c r="G372" s="586"/>
      <c r="H372" s="586"/>
      <c r="I372" s="586"/>
      <c r="J372" s="586"/>
      <c r="K372" s="586"/>
      <c r="L372" s="587"/>
      <c r="M372" s="588"/>
      <c r="N372" s="588"/>
    </row>
    <row r="373" spans="1:14">
      <c r="A373" s="584"/>
      <c r="B373" s="585"/>
      <c r="C373" s="585"/>
      <c r="D373" s="586"/>
      <c r="E373" s="586"/>
      <c r="F373" s="586"/>
      <c r="G373" s="586"/>
      <c r="H373" s="586"/>
      <c r="I373" s="586"/>
      <c r="J373" s="586"/>
      <c r="K373" s="586"/>
      <c r="L373" s="587"/>
      <c r="M373" s="588"/>
      <c r="N373" s="588"/>
    </row>
    <row r="374" spans="1:14">
      <c r="A374" s="584"/>
      <c r="B374" s="585"/>
      <c r="C374" s="585"/>
      <c r="D374" s="586"/>
      <c r="E374" s="586"/>
      <c r="F374" s="586"/>
      <c r="G374" s="586"/>
      <c r="H374" s="586"/>
      <c r="I374" s="586"/>
      <c r="J374" s="586"/>
      <c r="K374" s="586"/>
      <c r="L374" s="587"/>
      <c r="M374" s="588"/>
      <c r="N374" s="588"/>
    </row>
    <row r="375" spans="1:14">
      <c r="A375" s="584"/>
      <c r="B375" s="585"/>
      <c r="C375" s="585"/>
      <c r="D375" s="586"/>
      <c r="E375" s="586"/>
      <c r="F375" s="586"/>
      <c r="G375" s="586"/>
      <c r="H375" s="586"/>
      <c r="I375" s="586"/>
      <c r="J375" s="586"/>
      <c r="K375" s="586"/>
      <c r="L375" s="587"/>
      <c r="M375" s="588"/>
      <c r="N375" s="588"/>
    </row>
    <row r="376" spans="1:14">
      <c r="A376" s="584"/>
      <c r="B376" s="585"/>
      <c r="C376" s="585"/>
      <c r="D376" s="586"/>
      <c r="E376" s="586"/>
      <c r="F376" s="586"/>
      <c r="G376" s="586"/>
      <c r="H376" s="586"/>
      <c r="I376" s="586"/>
      <c r="J376" s="586"/>
      <c r="K376" s="586"/>
      <c r="L376" s="587"/>
      <c r="M376" s="588"/>
      <c r="N376" s="588"/>
    </row>
    <row r="377" spans="1:14">
      <c r="A377" s="584"/>
      <c r="B377" s="585"/>
      <c r="C377" s="585"/>
      <c r="D377" s="586"/>
      <c r="E377" s="586"/>
      <c r="F377" s="586"/>
      <c r="G377" s="586"/>
      <c r="H377" s="586"/>
      <c r="I377" s="586"/>
      <c r="J377" s="586"/>
      <c r="K377" s="586"/>
      <c r="L377" s="587"/>
      <c r="M377" s="588"/>
      <c r="N377" s="588"/>
    </row>
    <row r="378" spans="1:14">
      <c r="A378" s="584"/>
      <c r="B378" s="585"/>
      <c r="C378" s="585"/>
      <c r="D378" s="586"/>
      <c r="E378" s="586"/>
      <c r="F378" s="586"/>
      <c r="G378" s="586"/>
      <c r="H378" s="586"/>
      <c r="I378" s="586"/>
      <c r="J378" s="586"/>
      <c r="K378" s="586"/>
      <c r="L378" s="587"/>
      <c r="M378" s="588"/>
      <c r="N378" s="588"/>
    </row>
    <row r="379" spans="1:14">
      <c r="A379" s="584"/>
      <c r="B379" s="585"/>
      <c r="C379" s="585"/>
      <c r="D379" s="586"/>
      <c r="E379" s="586"/>
      <c r="F379" s="586"/>
      <c r="G379" s="586"/>
      <c r="H379" s="586"/>
      <c r="I379" s="586"/>
      <c r="J379" s="586"/>
      <c r="K379" s="586"/>
      <c r="L379" s="587"/>
      <c r="M379" s="588"/>
      <c r="N379" s="588"/>
    </row>
    <row r="380" spans="1:14">
      <c r="A380" s="584"/>
      <c r="B380" s="585"/>
      <c r="C380" s="585"/>
      <c r="D380" s="586"/>
      <c r="E380" s="586"/>
      <c r="F380" s="586"/>
      <c r="G380" s="586"/>
      <c r="H380" s="586"/>
      <c r="I380" s="586"/>
      <c r="J380" s="586"/>
      <c r="K380" s="586"/>
      <c r="L380" s="587"/>
      <c r="M380" s="588"/>
      <c r="N380" s="588"/>
    </row>
    <row r="381" spans="1:14">
      <c r="A381" s="584"/>
      <c r="B381" s="585"/>
      <c r="C381" s="585"/>
      <c r="D381" s="586"/>
      <c r="E381" s="586"/>
      <c r="F381" s="586"/>
      <c r="G381" s="586"/>
      <c r="H381" s="586"/>
      <c r="I381" s="586"/>
      <c r="J381" s="586"/>
      <c r="K381" s="586"/>
      <c r="L381" s="587"/>
      <c r="M381" s="588"/>
      <c r="N381" s="588"/>
    </row>
    <row r="382" spans="1:14">
      <c r="A382" s="584"/>
      <c r="B382" s="585"/>
      <c r="C382" s="585"/>
      <c r="D382" s="586"/>
      <c r="E382" s="586"/>
      <c r="F382" s="586"/>
      <c r="G382" s="586"/>
      <c r="H382" s="586"/>
      <c r="I382" s="586"/>
      <c r="J382" s="586"/>
      <c r="K382" s="586"/>
      <c r="L382" s="587"/>
      <c r="M382" s="588"/>
      <c r="N382" s="588"/>
    </row>
    <row r="383" spans="1:14">
      <c r="A383" s="584"/>
      <c r="B383" s="585"/>
      <c r="C383" s="585"/>
      <c r="D383" s="586"/>
      <c r="E383" s="586"/>
      <c r="F383" s="586"/>
      <c r="G383" s="586"/>
      <c r="H383" s="586"/>
      <c r="I383" s="586"/>
      <c r="J383" s="586"/>
      <c r="K383" s="586"/>
      <c r="L383" s="587"/>
      <c r="M383" s="588"/>
      <c r="N383" s="588"/>
    </row>
    <row r="384" spans="1:14">
      <c r="A384" s="584"/>
      <c r="B384" s="585"/>
      <c r="C384" s="585"/>
      <c r="D384" s="586"/>
      <c r="E384" s="586"/>
      <c r="F384" s="586"/>
      <c r="G384" s="586"/>
      <c r="H384" s="586"/>
      <c r="I384" s="586"/>
      <c r="J384" s="586"/>
      <c r="K384" s="586"/>
      <c r="L384" s="587"/>
      <c r="M384" s="588"/>
      <c r="N384" s="588"/>
    </row>
    <row r="385" spans="1:14">
      <c r="A385" s="584"/>
      <c r="B385" s="585"/>
      <c r="C385" s="585"/>
      <c r="D385" s="586"/>
      <c r="E385" s="586"/>
      <c r="F385" s="586"/>
      <c r="G385" s="586"/>
      <c r="H385" s="586"/>
      <c r="I385" s="586"/>
      <c r="J385" s="586"/>
      <c r="K385" s="586"/>
      <c r="L385" s="587"/>
      <c r="M385" s="588"/>
      <c r="N385" s="588"/>
    </row>
    <row r="386" spans="1:14">
      <c r="A386" s="584"/>
      <c r="B386" s="585"/>
      <c r="C386" s="585"/>
      <c r="D386" s="586"/>
      <c r="E386" s="586"/>
      <c r="F386" s="586"/>
      <c r="G386" s="586"/>
      <c r="H386" s="586"/>
      <c r="I386" s="586"/>
      <c r="J386" s="586"/>
      <c r="K386" s="586"/>
      <c r="L386" s="587"/>
      <c r="M386" s="588"/>
      <c r="N386" s="588"/>
    </row>
    <row r="387" spans="1:14">
      <c r="A387" s="584"/>
      <c r="B387" s="585"/>
      <c r="C387" s="585"/>
      <c r="D387" s="586"/>
      <c r="E387" s="586"/>
      <c r="F387" s="586"/>
      <c r="G387" s="586"/>
      <c r="H387" s="586"/>
      <c r="I387" s="586"/>
      <c r="J387" s="586"/>
      <c r="K387" s="586"/>
      <c r="L387" s="587"/>
      <c r="M387" s="588"/>
      <c r="N387" s="588"/>
    </row>
    <row r="388" spans="1:14">
      <c r="A388" s="584"/>
      <c r="B388" s="585"/>
      <c r="C388" s="585"/>
      <c r="D388" s="586"/>
      <c r="E388" s="586"/>
      <c r="F388" s="586"/>
      <c r="G388" s="586"/>
      <c r="H388" s="586"/>
      <c r="I388" s="586"/>
      <c r="J388" s="586"/>
      <c r="K388" s="586"/>
      <c r="L388" s="587"/>
      <c r="M388" s="588"/>
      <c r="N388" s="588"/>
    </row>
    <row r="389" spans="1:14">
      <c r="A389" s="584"/>
      <c r="B389" s="585"/>
      <c r="C389" s="585"/>
      <c r="D389" s="586"/>
      <c r="E389" s="586"/>
      <c r="F389" s="586"/>
      <c r="G389" s="586"/>
      <c r="H389" s="586"/>
      <c r="I389" s="586"/>
      <c r="J389" s="586"/>
      <c r="K389" s="586"/>
      <c r="L389" s="587"/>
      <c r="M389" s="588"/>
      <c r="N389" s="588"/>
    </row>
    <row r="390" spans="1:14">
      <c r="A390" s="584"/>
      <c r="B390" s="585"/>
      <c r="C390" s="585"/>
      <c r="D390" s="586"/>
      <c r="E390" s="586"/>
      <c r="F390" s="586"/>
      <c r="G390" s="586"/>
      <c r="H390" s="586"/>
      <c r="I390" s="586"/>
      <c r="J390" s="586"/>
      <c r="K390" s="586"/>
      <c r="L390" s="587"/>
      <c r="M390" s="588"/>
      <c r="N390" s="588"/>
    </row>
    <row r="391" spans="1:14">
      <c r="A391" s="584"/>
      <c r="B391" s="585"/>
      <c r="C391" s="585"/>
      <c r="D391" s="586"/>
      <c r="E391" s="586"/>
      <c r="F391" s="586"/>
      <c r="G391" s="586"/>
      <c r="H391" s="586"/>
      <c r="I391" s="586"/>
      <c r="J391" s="586"/>
      <c r="K391" s="586"/>
      <c r="L391" s="587"/>
      <c r="M391" s="588"/>
      <c r="N391" s="588"/>
    </row>
    <row r="392" spans="1:14">
      <c r="A392" s="584"/>
      <c r="B392" s="585"/>
      <c r="C392" s="585"/>
      <c r="D392" s="586"/>
      <c r="E392" s="586"/>
      <c r="F392" s="586"/>
      <c r="G392" s="586"/>
      <c r="H392" s="586"/>
      <c r="I392" s="586"/>
      <c r="J392" s="586"/>
      <c r="K392" s="586"/>
      <c r="L392" s="587"/>
      <c r="M392" s="588"/>
      <c r="N392" s="588"/>
    </row>
    <row r="393" spans="1:14">
      <c r="A393" s="584"/>
      <c r="B393" s="585"/>
      <c r="C393" s="585"/>
      <c r="D393" s="586"/>
      <c r="E393" s="586"/>
      <c r="F393" s="586"/>
      <c r="G393" s="586"/>
      <c r="H393" s="586"/>
      <c r="I393" s="586"/>
      <c r="J393" s="586"/>
      <c r="K393" s="586"/>
      <c r="L393" s="587"/>
      <c r="M393" s="588"/>
      <c r="N393" s="588"/>
    </row>
    <row r="394" spans="1:14">
      <c r="A394" s="584"/>
      <c r="B394" s="585"/>
      <c r="C394" s="585"/>
      <c r="D394" s="586"/>
      <c r="E394" s="586"/>
      <c r="F394" s="586"/>
      <c r="G394" s="586"/>
      <c r="H394" s="586"/>
      <c r="I394" s="586"/>
      <c r="J394" s="586"/>
      <c r="K394" s="586"/>
      <c r="L394" s="587"/>
      <c r="M394" s="588"/>
      <c r="N394" s="588"/>
    </row>
    <row r="395" spans="1:14">
      <c r="A395" s="584"/>
      <c r="B395" s="585"/>
      <c r="C395" s="585"/>
      <c r="D395" s="586"/>
      <c r="E395" s="586"/>
      <c r="F395" s="586"/>
      <c r="G395" s="586"/>
      <c r="H395" s="586"/>
      <c r="I395" s="586"/>
      <c r="J395" s="586"/>
      <c r="K395" s="586"/>
      <c r="L395" s="587"/>
      <c r="M395" s="588"/>
      <c r="N395" s="588"/>
    </row>
    <row r="396" spans="1:14">
      <c r="A396" s="584"/>
      <c r="B396" s="585"/>
      <c r="C396" s="585"/>
      <c r="D396" s="586"/>
      <c r="E396" s="586"/>
      <c r="F396" s="586"/>
      <c r="G396" s="586"/>
      <c r="H396" s="586"/>
      <c r="I396" s="586"/>
      <c r="J396" s="586"/>
      <c r="K396" s="586"/>
      <c r="L396" s="587"/>
      <c r="M396" s="588"/>
      <c r="N396" s="588"/>
    </row>
    <row r="397" spans="1:14">
      <c r="A397" s="584"/>
      <c r="B397" s="585"/>
      <c r="C397" s="585"/>
      <c r="D397" s="586"/>
      <c r="E397" s="586"/>
      <c r="F397" s="586"/>
      <c r="G397" s="586"/>
      <c r="H397" s="586"/>
      <c r="I397" s="586"/>
      <c r="J397" s="586"/>
      <c r="K397" s="586"/>
      <c r="L397" s="587"/>
      <c r="M397" s="588"/>
      <c r="N397" s="588"/>
    </row>
    <row r="398" spans="1:14">
      <c r="A398" s="584"/>
      <c r="B398" s="585"/>
      <c r="C398" s="585"/>
      <c r="D398" s="586"/>
      <c r="E398" s="586"/>
      <c r="F398" s="586"/>
      <c r="G398" s="586"/>
      <c r="H398" s="586"/>
      <c r="I398" s="586"/>
      <c r="J398" s="586"/>
      <c r="K398" s="586"/>
      <c r="L398" s="587"/>
      <c r="M398" s="588"/>
      <c r="N398" s="588"/>
    </row>
    <row r="399" spans="1:14">
      <c r="A399" s="584"/>
      <c r="B399" s="585"/>
      <c r="C399" s="585"/>
      <c r="D399" s="586"/>
      <c r="E399" s="586"/>
      <c r="F399" s="586"/>
      <c r="G399" s="586"/>
      <c r="H399" s="586"/>
      <c r="I399" s="586"/>
      <c r="J399" s="586"/>
      <c r="K399" s="586"/>
      <c r="L399" s="587"/>
      <c r="M399" s="588"/>
      <c r="N399" s="588"/>
    </row>
    <row r="400" spans="1:14">
      <c r="A400" s="584"/>
      <c r="B400" s="585"/>
      <c r="C400" s="585"/>
      <c r="D400" s="586"/>
      <c r="E400" s="586"/>
      <c r="F400" s="586"/>
      <c r="G400" s="586"/>
      <c r="H400" s="586"/>
      <c r="I400" s="586"/>
      <c r="J400" s="586"/>
      <c r="K400" s="586"/>
      <c r="L400" s="587"/>
      <c r="M400" s="588"/>
      <c r="N400" s="588"/>
    </row>
    <row r="401" spans="1:14">
      <c r="A401" s="584"/>
      <c r="B401" s="585"/>
      <c r="C401" s="585"/>
      <c r="D401" s="586"/>
      <c r="E401" s="586"/>
      <c r="F401" s="586"/>
      <c r="G401" s="586"/>
      <c r="H401" s="586"/>
      <c r="I401" s="586"/>
      <c r="J401" s="586"/>
      <c r="K401" s="586"/>
      <c r="L401" s="587"/>
      <c r="M401" s="588"/>
      <c r="N401" s="588"/>
    </row>
    <row r="402" spans="1:14">
      <c r="A402" s="584"/>
      <c r="B402" s="585"/>
      <c r="C402" s="585"/>
      <c r="D402" s="586"/>
      <c r="E402" s="586"/>
      <c r="F402" s="586"/>
      <c r="G402" s="586"/>
      <c r="H402" s="586"/>
      <c r="I402" s="586"/>
      <c r="J402" s="586"/>
      <c r="K402" s="586"/>
      <c r="L402" s="587"/>
      <c r="M402" s="588"/>
      <c r="N402" s="588"/>
    </row>
    <row r="403" spans="1:14">
      <c r="A403" s="584"/>
      <c r="B403" s="585"/>
      <c r="C403" s="585"/>
      <c r="D403" s="586"/>
      <c r="E403" s="586"/>
      <c r="F403" s="586"/>
      <c r="G403" s="586"/>
      <c r="H403" s="586"/>
      <c r="I403" s="586"/>
      <c r="J403" s="586"/>
      <c r="K403" s="586"/>
      <c r="L403" s="587"/>
      <c r="M403" s="588"/>
      <c r="N403" s="588"/>
    </row>
    <row r="404" spans="1:14">
      <c r="A404" s="584"/>
      <c r="B404" s="585"/>
      <c r="C404" s="585"/>
      <c r="D404" s="586"/>
      <c r="E404" s="586"/>
      <c r="F404" s="586"/>
      <c r="G404" s="586"/>
      <c r="H404" s="586"/>
      <c r="I404" s="586"/>
      <c r="J404" s="586"/>
      <c r="K404" s="586"/>
      <c r="L404" s="587"/>
      <c r="M404" s="588"/>
      <c r="N404" s="588"/>
    </row>
    <row r="405" spans="1:14">
      <c r="A405" s="584"/>
      <c r="B405" s="585"/>
      <c r="C405" s="585"/>
      <c r="D405" s="586"/>
      <c r="E405" s="586"/>
      <c r="F405" s="586"/>
      <c r="G405" s="586"/>
      <c r="H405" s="586"/>
      <c r="I405" s="586"/>
      <c r="J405" s="586"/>
      <c r="K405" s="586"/>
      <c r="L405" s="587"/>
      <c r="M405" s="588"/>
      <c r="N405" s="588"/>
    </row>
    <row r="406" spans="1:14">
      <c r="A406" s="584"/>
      <c r="B406" s="585"/>
      <c r="C406" s="585"/>
      <c r="D406" s="586"/>
      <c r="E406" s="586"/>
      <c r="F406" s="586"/>
      <c r="G406" s="586"/>
      <c r="H406" s="586"/>
      <c r="I406" s="586"/>
      <c r="J406" s="586"/>
      <c r="K406" s="586"/>
      <c r="L406" s="587"/>
      <c r="M406" s="588"/>
      <c r="N406" s="588"/>
    </row>
    <row r="407" spans="1:14">
      <c r="A407" s="584"/>
      <c r="B407" s="585"/>
      <c r="C407" s="585"/>
      <c r="D407" s="586"/>
      <c r="E407" s="586"/>
      <c r="F407" s="586"/>
      <c r="G407" s="586"/>
      <c r="H407" s="586"/>
      <c r="I407" s="586"/>
      <c r="J407" s="586"/>
      <c r="K407" s="586"/>
      <c r="L407" s="587"/>
      <c r="M407" s="588"/>
      <c r="N407" s="588"/>
    </row>
    <row r="408" spans="1:14">
      <c r="A408" s="584"/>
      <c r="B408" s="585"/>
      <c r="C408" s="585"/>
      <c r="D408" s="586"/>
      <c r="E408" s="586"/>
      <c r="F408" s="586"/>
      <c r="G408" s="586"/>
      <c r="H408" s="586"/>
      <c r="I408" s="586"/>
      <c r="J408" s="586"/>
      <c r="K408" s="586"/>
      <c r="L408" s="587"/>
      <c r="M408" s="588"/>
      <c r="N408" s="588"/>
    </row>
    <row r="409" spans="1:14">
      <c r="A409" s="584"/>
      <c r="B409" s="585"/>
      <c r="C409" s="585"/>
      <c r="D409" s="586"/>
      <c r="E409" s="586"/>
      <c r="F409" s="586"/>
      <c r="G409" s="586"/>
      <c r="H409" s="586"/>
      <c r="I409" s="586"/>
      <c r="J409" s="586"/>
      <c r="K409" s="586"/>
      <c r="L409" s="587"/>
      <c r="M409" s="588"/>
      <c r="N409" s="588"/>
    </row>
    <row r="410" spans="1:14">
      <c r="A410" s="584"/>
      <c r="B410" s="585"/>
      <c r="C410" s="585"/>
      <c r="D410" s="586"/>
      <c r="E410" s="586"/>
      <c r="F410" s="586"/>
      <c r="G410" s="586"/>
      <c r="H410" s="586"/>
      <c r="I410" s="586"/>
      <c r="J410" s="586"/>
      <c r="K410" s="586"/>
      <c r="L410" s="587"/>
      <c r="M410" s="588"/>
      <c r="N410" s="588"/>
    </row>
    <row r="411" spans="1:14">
      <c r="A411" s="584"/>
      <c r="B411" s="585"/>
      <c r="C411" s="585"/>
      <c r="D411" s="586"/>
      <c r="E411" s="586"/>
      <c r="F411" s="586"/>
      <c r="G411" s="586"/>
      <c r="H411" s="586"/>
      <c r="I411" s="586"/>
      <c r="J411" s="586"/>
      <c r="K411" s="586"/>
      <c r="L411" s="587"/>
      <c r="M411" s="588"/>
      <c r="N411" s="588"/>
    </row>
    <row r="412" spans="1:14">
      <c r="A412" s="584"/>
      <c r="B412" s="585"/>
      <c r="C412" s="585"/>
      <c r="D412" s="586"/>
      <c r="E412" s="586"/>
      <c r="F412" s="586"/>
      <c r="G412" s="586"/>
      <c r="H412" s="586"/>
      <c r="I412" s="586"/>
      <c r="J412" s="586"/>
      <c r="K412" s="586"/>
      <c r="L412" s="587"/>
      <c r="M412" s="588"/>
      <c r="N412" s="588"/>
    </row>
    <row r="413" spans="1:14">
      <c r="A413" s="584"/>
      <c r="B413" s="585"/>
      <c r="C413" s="585"/>
      <c r="D413" s="586"/>
      <c r="E413" s="586"/>
      <c r="F413" s="586"/>
      <c r="G413" s="586"/>
      <c r="H413" s="586"/>
      <c r="I413" s="586"/>
      <c r="J413" s="586"/>
      <c r="K413" s="586"/>
      <c r="L413" s="587"/>
      <c r="M413" s="588"/>
      <c r="N413" s="588"/>
    </row>
    <row r="414" spans="1:14">
      <c r="A414" s="584"/>
      <c r="B414" s="585"/>
      <c r="C414" s="585"/>
      <c r="D414" s="586"/>
      <c r="E414" s="586"/>
      <c r="F414" s="586"/>
      <c r="G414" s="586"/>
      <c r="H414" s="586"/>
      <c r="I414" s="586"/>
      <c r="J414" s="586"/>
      <c r="K414" s="586"/>
      <c r="L414" s="587"/>
      <c r="M414" s="588"/>
      <c r="N414" s="588"/>
    </row>
    <row r="415" spans="1:14">
      <c r="A415" s="584"/>
      <c r="B415" s="585"/>
      <c r="C415" s="585"/>
      <c r="D415" s="586"/>
      <c r="E415" s="586"/>
      <c r="F415" s="586"/>
      <c r="G415" s="586"/>
      <c r="H415" s="586"/>
      <c r="I415" s="586"/>
      <c r="J415" s="586"/>
      <c r="K415" s="586"/>
      <c r="L415" s="587"/>
      <c r="M415" s="588"/>
      <c r="N415" s="588"/>
    </row>
    <row r="416" spans="1:14">
      <c r="A416" s="584"/>
      <c r="B416" s="585"/>
      <c r="C416" s="585"/>
      <c r="D416" s="586"/>
      <c r="E416" s="586"/>
      <c r="F416" s="586"/>
      <c r="G416" s="586"/>
      <c r="H416" s="586"/>
      <c r="I416" s="586"/>
      <c r="J416" s="586"/>
      <c r="K416" s="586"/>
      <c r="L416" s="587"/>
      <c r="M416" s="588"/>
      <c r="N416" s="588"/>
    </row>
    <row r="417" spans="1:14">
      <c r="A417" s="584"/>
      <c r="B417" s="585"/>
      <c r="C417" s="585"/>
      <c r="D417" s="586"/>
      <c r="E417" s="586"/>
      <c r="F417" s="586"/>
      <c r="G417" s="586"/>
      <c r="H417" s="586"/>
      <c r="I417" s="586"/>
      <c r="J417" s="586"/>
      <c r="K417" s="586"/>
      <c r="L417" s="587"/>
      <c r="M417" s="588"/>
      <c r="N417" s="588"/>
    </row>
    <row r="418" spans="1:14">
      <c r="A418" s="584"/>
      <c r="B418" s="585"/>
      <c r="C418" s="585"/>
      <c r="D418" s="586"/>
      <c r="E418" s="586"/>
      <c r="F418" s="586"/>
      <c r="G418" s="586"/>
      <c r="H418" s="586"/>
      <c r="I418" s="586"/>
      <c r="J418" s="586"/>
      <c r="K418" s="586"/>
      <c r="L418" s="587"/>
      <c r="M418" s="588"/>
      <c r="N418" s="588"/>
    </row>
    <row r="419" spans="1:14">
      <c r="A419" s="584"/>
      <c r="B419" s="585"/>
      <c r="C419" s="585"/>
      <c r="D419" s="586"/>
      <c r="E419" s="586"/>
      <c r="F419" s="586"/>
      <c r="G419" s="586"/>
      <c r="H419" s="586"/>
      <c r="I419" s="586"/>
      <c r="J419" s="586"/>
      <c r="K419" s="586"/>
      <c r="L419" s="587"/>
      <c r="M419" s="588"/>
      <c r="N419" s="588"/>
    </row>
    <row r="420" spans="1:14">
      <c r="A420" s="584"/>
      <c r="B420" s="585"/>
      <c r="C420" s="585"/>
      <c r="D420" s="586"/>
      <c r="E420" s="586"/>
      <c r="F420" s="586"/>
      <c r="G420" s="586"/>
      <c r="H420" s="586"/>
      <c r="I420" s="586"/>
      <c r="J420" s="586"/>
      <c r="K420" s="586"/>
      <c r="L420" s="587"/>
      <c r="M420" s="588"/>
      <c r="N420" s="588"/>
    </row>
    <row r="421" spans="1:14">
      <c r="A421" s="584"/>
      <c r="B421" s="585"/>
      <c r="C421" s="585"/>
      <c r="D421" s="586"/>
      <c r="E421" s="586"/>
      <c r="F421" s="586"/>
      <c r="G421" s="586"/>
      <c r="H421" s="586"/>
      <c r="I421" s="586"/>
      <c r="J421" s="586"/>
      <c r="K421" s="586"/>
      <c r="L421" s="587"/>
      <c r="M421" s="588"/>
      <c r="N421" s="588"/>
    </row>
    <row r="422" spans="1:14">
      <c r="A422" s="584"/>
      <c r="B422" s="585"/>
      <c r="C422" s="585"/>
      <c r="D422" s="586"/>
      <c r="E422" s="586"/>
      <c r="F422" s="586"/>
      <c r="G422" s="586"/>
      <c r="H422" s="586"/>
      <c r="I422" s="586"/>
      <c r="J422" s="586"/>
      <c r="K422" s="586"/>
      <c r="L422" s="587"/>
      <c r="M422" s="588"/>
      <c r="N422" s="588"/>
    </row>
    <row r="423" spans="1:14">
      <c r="A423" s="584"/>
      <c r="B423" s="585"/>
      <c r="C423" s="585"/>
      <c r="D423" s="586"/>
      <c r="E423" s="586"/>
      <c r="F423" s="586"/>
      <c r="G423" s="586"/>
      <c r="H423" s="586"/>
      <c r="I423" s="586"/>
      <c r="J423" s="586"/>
      <c r="K423" s="586"/>
      <c r="L423" s="587"/>
      <c r="M423" s="588"/>
      <c r="N423" s="588"/>
    </row>
    <row r="424" spans="1:14">
      <c r="A424" s="584"/>
      <c r="B424" s="585"/>
      <c r="C424" s="585"/>
      <c r="D424" s="586"/>
      <c r="E424" s="586"/>
      <c r="F424" s="586"/>
      <c r="G424" s="586"/>
      <c r="H424" s="586"/>
      <c r="I424" s="586"/>
      <c r="J424" s="586"/>
      <c r="K424" s="586"/>
      <c r="L424" s="587"/>
      <c r="M424" s="588"/>
      <c r="N424" s="588"/>
    </row>
    <row r="425" spans="1:14">
      <c r="A425" s="584"/>
      <c r="B425" s="585"/>
      <c r="C425" s="585"/>
      <c r="D425" s="586"/>
      <c r="E425" s="586"/>
      <c r="F425" s="586"/>
      <c r="G425" s="586"/>
      <c r="H425" s="586"/>
      <c r="I425" s="586"/>
      <c r="J425" s="586"/>
      <c r="K425" s="586"/>
      <c r="L425" s="587"/>
      <c r="M425" s="588"/>
      <c r="N425" s="588"/>
    </row>
    <row r="426" spans="1:14">
      <c r="A426" s="584"/>
      <c r="B426" s="585"/>
      <c r="C426" s="585"/>
      <c r="D426" s="586"/>
      <c r="E426" s="586"/>
      <c r="F426" s="586"/>
      <c r="G426" s="586"/>
      <c r="H426" s="586"/>
      <c r="I426" s="586"/>
      <c r="J426" s="586"/>
      <c r="K426" s="586"/>
      <c r="L426" s="587"/>
      <c r="M426" s="588"/>
      <c r="N426" s="588"/>
    </row>
    <row r="427" spans="1:14">
      <c r="A427" s="584"/>
      <c r="B427" s="585"/>
      <c r="C427" s="585"/>
      <c r="D427" s="586"/>
      <c r="E427" s="586"/>
      <c r="F427" s="586"/>
      <c r="G427" s="586"/>
      <c r="H427" s="586"/>
      <c r="I427" s="586"/>
      <c r="J427" s="586"/>
      <c r="K427" s="586"/>
      <c r="L427" s="587"/>
      <c r="M427" s="588"/>
      <c r="N427" s="588"/>
    </row>
    <row r="428" spans="1:14">
      <c r="A428" s="584"/>
      <c r="B428" s="585"/>
      <c r="C428" s="585"/>
      <c r="D428" s="586"/>
      <c r="E428" s="586"/>
      <c r="F428" s="586"/>
      <c r="G428" s="586"/>
      <c r="H428" s="586"/>
      <c r="I428" s="586"/>
      <c r="J428" s="586"/>
      <c r="K428" s="586"/>
      <c r="L428" s="587"/>
      <c r="M428" s="588"/>
      <c r="N428" s="588"/>
    </row>
    <row r="429" spans="1:14">
      <c r="A429" s="584"/>
      <c r="B429" s="585"/>
      <c r="C429" s="585"/>
      <c r="D429" s="586"/>
      <c r="E429" s="586"/>
      <c r="F429" s="586"/>
      <c r="G429" s="586"/>
      <c r="H429" s="586"/>
      <c r="I429" s="586"/>
      <c r="J429" s="586"/>
      <c r="K429" s="586"/>
      <c r="L429" s="587"/>
      <c r="M429" s="588"/>
      <c r="N429" s="588"/>
    </row>
    <row r="430" spans="1:14">
      <c r="A430" s="584"/>
      <c r="B430" s="585"/>
      <c r="C430" s="585"/>
      <c r="D430" s="586"/>
      <c r="E430" s="586"/>
      <c r="F430" s="586"/>
      <c r="G430" s="586"/>
      <c r="H430" s="586"/>
      <c r="I430" s="586"/>
      <c r="J430" s="586"/>
      <c r="K430" s="586"/>
      <c r="L430" s="587"/>
      <c r="M430" s="588"/>
      <c r="N430" s="588"/>
    </row>
    <row r="431" spans="1:14">
      <c r="A431" s="584"/>
      <c r="B431" s="585"/>
      <c r="C431" s="585"/>
      <c r="D431" s="586"/>
      <c r="E431" s="586"/>
      <c r="F431" s="586"/>
      <c r="G431" s="586"/>
      <c r="H431" s="586"/>
      <c r="I431" s="586"/>
      <c r="J431" s="586"/>
      <c r="K431" s="586"/>
      <c r="L431" s="587"/>
      <c r="M431" s="588"/>
      <c r="N431" s="588"/>
    </row>
    <row r="432" spans="1:14">
      <c r="A432" s="584"/>
      <c r="B432" s="585"/>
      <c r="C432" s="585"/>
      <c r="D432" s="586"/>
      <c r="E432" s="586"/>
      <c r="F432" s="586"/>
      <c r="G432" s="586"/>
      <c r="H432" s="586"/>
      <c r="I432" s="586"/>
      <c r="J432" s="586"/>
      <c r="K432" s="586"/>
      <c r="L432" s="587"/>
      <c r="M432" s="588"/>
      <c r="N432" s="588"/>
    </row>
    <row r="433" spans="1:14">
      <c r="A433" s="584"/>
      <c r="B433" s="585"/>
      <c r="C433" s="585"/>
      <c r="D433" s="586"/>
      <c r="E433" s="586"/>
      <c r="F433" s="586"/>
      <c r="G433" s="586"/>
      <c r="H433" s="586"/>
      <c r="I433" s="586"/>
      <c r="J433" s="586"/>
      <c r="K433" s="586"/>
      <c r="L433" s="587"/>
      <c r="M433" s="588"/>
      <c r="N433" s="588"/>
    </row>
    <row r="434" spans="1:14">
      <c r="A434" s="584"/>
      <c r="B434" s="585"/>
      <c r="C434" s="585"/>
      <c r="D434" s="586"/>
      <c r="E434" s="586"/>
      <c r="F434" s="586"/>
      <c r="G434" s="586"/>
      <c r="H434" s="586"/>
      <c r="I434" s="586"/>
      <c r="J434" s="586"/>
      <c r="K434" s="586"/>
      <c r="L434" s="587"/>
      <c r="M434" s="588"/>
      <c r="N434" s="588"/>
    </row>
    <row r="435" spans="1:14">
      <c r="A435" s="584"/>
      <c r="B435" s="585"/>
      <c r="C435" s="585"/>
      <c r="D435" s="586"/>
      <c r="E435" s="586"/>
      <c r="F435" s="586"/>
      <c r="G435" s="586"/>
      <c r="H435" s="586"/>
      <c r="I435" s="586"/>
      <c r="J435" s="586"/>
      <c r="K435" s="586"/>
      <c r="L435" s="587"/>
      <c r="M435" s="588"/>
      <c r="N435" s="588"/>
    </row>
    <row r="436" spans="1:14">
      <c r="A436" s="584"/>
      <c r="B436" s="585"/>
      <c r="C436" s="585"/>
      <c r="D436" s="586"/>
      <c r="E436" s="586"/>
      <c r="F436" s="586"/>
      <c r="G436" s="586"/>
      <c r="H436" s="586"/>
      <c r="I436" s="586"/>
      <c r="J436" s="586"/>
      <c r="K436" s="586"/>
      <c r="L436" s="587"/>
      <c r="M436" s="588"/>
      <c r="N436" s="588"/>
    </row>
    <row r="437" spans="1:14">
      <c r="A437" s="584"/>
      <c r="B437" s="585"/>
      <c r="C437" s="585"/>
      <c r="D437" s="586"/>
      <c r="E437" s="586"/>
      <c r="F437" s="586"/>
      <c r="G437" s="586"/>
      <c r="H437" s="586"/>
      <c r="I437" s="586"/>
      <c r="J437" s="586"/>
      <c r="K437" s="586"/>
      <c r="L437" s="587"/>
      <c r="M437" s="588"/>
      <c r="N437" s="588"/>
    </row>
    <row r="438" spans="1:14">
      <c r="A438" s="584"/>
      <c r="B438" s="585"/>
      <c r="C438" s="585"/>
      <c r="D438" s="586"/>
      <c r="E438" s="586"/>
      <c r="F438" s="586"/>
      <c r="G438" s="586"/>
      <c r="H438" s="586"/>
      <c r="I438" s="586"/>
      <c r="J438" s="586"/>
      <c r="K438" s="586"/>
      <c r="L438" s="587"/>
      <c r="M438" s="588"/>
      <c r="N438" s="588"/>
    </row>
    <row r="439" spans="1:14">
      <c r="A439" s="584"/>
      <c r="B439" s="585"/>
      <c r="C439" s="585"/>
      <c r="D439" s="586"/>
      <c r="E439" s="586"/>
      <c r="F439" s="586"/>
      <c r="G439" s="586"/>
      <c r="H439" s="586"/>
      <c r="I439" s="586"/>
      <c r="J439" s="586"/>
      <c r="K439" s="586"/>
      <c r="L439" s="587"/>
      <c r="M439" s="588"/>
      <c r="N439" s="588"/>
    </row>
    <row r="440" spans="1:14">
      <c r="A440" s="584"/>
      <c r="B440" s="585"/>
      <c r="C440" s="585"/>
      <c r="D440" s="586"/>
      <c r="E440" s="586"/>
      <c r="F440" s="586"/>
      <c r="G440" s="586"/>
      <c r="H440" s="586"/>
      <c r="I440" s="586"/>
      <c r="J440" s="586"/>
      <c r="K440" s="586"/>
      <c r="L440" s="587"/>
      <c r="M440" s="588"/>
      <c r="N440" s="588"/>
    </row>
    <row r="441" spans="1:14">
      <c r="A441" s="584"/>
      <c r="B441" s="585"/>
      <c r="C441" s="585"/>
      <c r="D441" s="586"/>
      <c r="E441" s="586"/>
      <c r="F441" s="586"/>
      <c r="G441" s="586"/>
      <c r="H441" s="586"/>
      <c r="I441" s="586"/>
      <c r="J441" s="586"/>
      <c r="K441" s="586"/>
      <c r="L441" s="587"/>
      <c r="M441" s="588"/>
      <c r="N441" s="588"/>
    </row>
    <row r="442" spans="1:14">
      <c r="A442" s="584"/>
      <c r="B442" s="585"/>
      <c r="C442" s="585"/>
      <c r="D442" s="586"/>
      <c r="E442" s="586"/>
      <c r="F442" s="586"/>
      <c r="G442" s="586"/>
      <c r="H442" s="586"/>
      <c r="I442" s="586"/>
      <c r="J442" s="586"/>
      <c r="K442" s="586"/>
      <c r="L442" s="587"/>
      <c r="M442" s="588"/>
      <c r="N442" s="588"/>
    </row>
    <row r="443" spans="1:14">
      <c r="A443" s="584"/>
      <c r="B443" s="585"/>
      <c r="C443" s="585"/>
      <c r="D443" s="586"/>
      <c r="E443" s="586"/>
      <c r="F443" s="586"/>
      <c r="G443" s="586"/>
      <c r="H443" s="586"/>
      <c r="I443" s="586"/>
      <c r="J443" s="586"/>
      <c r="K443" s="586"/>
      <c r="L443" s="587"/>
      <c r="M443" s="588"/>
      <c r="N443" s="588"/>
    </row>
    <row r="444" spans="1:14">
      <c r="A444" s="584"/>
      <c r="B444" s="585"/>
      <c r="C444" s="585"/>
      <c r="D444" s="586"/>
      <c r="E444" s="586"/>
      <c r="F444" s="586"/>
      <c r="G444" s="586"/>
      <c r="H444" s="586"/>
      <c r="I444" s="586"/>
      <c r="J444" s="586"/>
      <c r="K444" s="586"/>
      <c r="L444" s="587"/>
      <c r="M444" s="588"/>
      <c r="N444" s="588"/>
    </row>
    <row r="445" spans="1:14">
      <c r="A445" s="584"/>
      <c r="B445" s="585"/>
      <c r="C445" s="585"/>
      <c r="D445" s="586"/>
      <c r="E445" s="586"/>
      <c r="F445" s="586"/>
      <c r="G445" s="586"/>
      <c r="H445" s="586"/>
      <c r="I445" s="586"/>
      <c r="J445" s="586"/>
      <c r="K445" s="586"/>
      <c r="L445" s="587"/>
      <c r="M445" s="588"/>
      <c r="N445" s="588"/>
    </row>
    <row r="446" spans="1:14">
      <c r="A446" s="584"/>
      <c r="B446" s="585"/>
      <c r="C446" s="585"/>
      <c r="D446" s="586"/>
      <c r="E446" s="586"/>
      <c r="F446" s="586"/>
      <c r="G446" s="586"/>
      <c r="H446" s="586"/>
      <c r="I446" s="586"/>
      <c r="J446" s="586"/>
      <c r="K446" s="586"/>
      <c r="L446" s="587"/>
      <c r="M446" s="588"/>
      <c r="N446" s="588"/>
    </row>
    <row r="447" spans="1:14">
      <c r="A447" s="584"/>
      <c r="B447" s="585"/>
      <c r="C447" s="585"/>
      <c r="D447" s="586"/>
      <c r="E447" s="586"/>
      <c r="F447" s="586"/>
      <c r="G447" s="586"/>
      <c r="H447" s="586"/>
      <c r="I447" s="586"/>
      <c r="J447" s="586"/>
      <c r="K447" s="586"/>
      <c r="L447" s="587"/>
      <c r="M447" s="588"/>
      <c r="N447" s="588"/>
    </row>
    <row r="448" spans="1:14">
      <c r="A448" s="584"/>
      <c r="B448" s="585"/>
      <c r="C448" s="585"/>
      <c r="D448" s="586"/>
      <c r="E448" s="586"/>
      <c r="F448" s="586"/>
      <c r="G448" s="586"/>
      <c r="H448" s="586"/>
      <c r="I448" s="586"/>
      <c r="J448" s="586"/>
      <c r="K448" s="586"/>
      <c r="L448" s="587"/>
      <c r="M448" s="588"/>
      <c r="N448" s="588"/>
    </row>
    <row r="449" spans="1:14">
      <c r="A449" s="584"/>
      <c r="B449" s="585"/>
      <c r="C449" s="585"/>
      <c r="D449" s="586"/>
      <c r="E449" s="586"/>
      <c r="F449" s="586"/>
      <c r="G449" s="586"/>
      <c r="H449" s="586"/>
      <c r="I449" s="586"/>
      <c r="J449" s="586"/>
      <c r="K449" s="586"/>
      <c r="L449" s="587"/>
      <c r="M449" s="588"/>
      <c r="N449" s="588"/>
    </row>
    <row r="450" spans="1:14">
      <c r="A450" s="584"/>
      <c r="B450" s="585"/>
      <c r="C450" s="585"/>
      <c r="D450" s="586"/>
      <c r="E450" s="586"/>
      <c r="F450" s="586"/>
      <c r="G450" s="586"/>
      <c r="H450" s="586"/>
      <c r="I450" s="586"/>
      <c r="J450" s="586"/>
      <c r="K450" s="586"/>
      <c r="L450" s="587"/>
      <c r="M450" s="588"/>
      <c r="N450" s="588"/>
    </row>
    <row r="451" spans="1:14">
      <c r="A451" s="584"/>
      <c r="B451" s="585"/>
      <c r="C451" s="585"/>
      <c r="D451" s="586"/>
      <c r="E451" s="586"/>
      <c r="F451" s="586"/>
      <c r="G451" s="586"/>
      <c r="H451" s="586"/>
      <c r="I451" s="586"/>
      <c r="J451" s="586"/>
      <c r="K451" s="586"/>
      <c r="L451" s="587"/>
      <c r="M451" s="588"/>
      <c r="N451" s="588"/>
    </row>
    <row r="452" spans="1:14">
      <c r="A452" s="584"/>
      <c r="B452" s="585"/>
      <c r="C452" s="585"/>
      <c r="D452" s="586"/>
      <c r="E452" s="586"/>
      <c r="F452" s="586"/>
      <c r="G452" s="586"/>
      <c r="H452" s="586"/>
      <c r="I452" s="586"/>
      <c r="J452" s="586"/>
      <c r="K452" s="586"/>
      <c r="L452" s="587"/>
      <c r="M452" s="588"/>
      <c r="N452" s="588"/>
    </row>
    <row r="453" spans="1:14">
      <c r="A453" s="584"/>
      <c r="B453" s="585"/>
      <c r="C453" s="585"/>
      <c r="D453" s="586"/>
      <c r="E453" s="586"/>
      <c r="F453" s="586"/>
      <c r="G453" s="586"/>
      <c r="H453" s="586"/>
      <c r="I453" s="586"/>
      <c r="J453" s="586"/>
      <c r="K453" s="586"/>
      <c r="L453" s="587"/>
      <c r="M453" s="588"/>
      <c r="N453" s="588"/>
    </row>
    <row r="454" spans="1:14">
      <c r="A454" s="584"/>
      <c r="B454" s="585"/>
      <c r="C454" s="585"/>
      <c r="D454" s="586"/>
      <c r="E454" s="586"/>
      <c r="F454" s="586"/>
      <c r="G454" s="586"/>
      <c r="H454" s="586"/>
      <c r="I454" s="586"/>
      <c r="J454" s="586"/>
      <c r="K454" s="586"/>
      <c r="L454" s="587"/>
      <c r="M454" s="588"/>
      <c r="N454" s="588"/>
    </row>
    <row r="455" spans="1:14">
      <c r="A455" s="584"/>
      <c r="B455" s="585"/>
      <c r="C455" s="585"/>
      <c r="D455" s="586"/>
      <c r="E455" s="586"/>
      <c r="F455" s="586"/>
      <c r="G455" s="586"/>
      <c r="H455" s="586"/>
      <c r="I455" s="586"/>
      <c r="J455" s="586"/>
      <c r="K455" s="586"/>
      <c r="L455" s="587"/>
      <c r="M455" s="588"/>
      <c r="N455" s="588"/>
    </row>
    <row r="456" spans="1:14">
      <c r="A456" s="584"/>
      <c r="B456" s="585"/>
      <c r="C456" s="585"/>
      <c r="D456" s="586"/>
      <c r="E456" s="586"/>
      <c r="F456" s="586"/>
      <c r="G456" s="586"/>
      <c r="H456" s="586"/>
      <c r="I456" s="586"/>
      <c r="J456" s="586"/>
      <c r="K456" s="586"/>
      <c r="L456" s="587"/>
      <c r="M456" s="588"/>
      <c r="N456" s="588"/>
    </row>
    <row r="457" spans="1:14">
      <c r="A457" s="584"/>
      <c r="B457" s="585"/>
      <c r="C457" s="585"/>
      <c r="D457" s="586"/>
      <c r="E457" s="586"/>
      <c r="F457" s="586"/>
      <c r="G457" s="586"/>
      <c r="H457" s="586"/>
      <c r="I457" s="586"/>
      <c r="J457" s="586"/>
      <c r="K457" s="586"/>
      <c r="L457" s="587"/>
      <c r="M457" s="588"/>
      <c r="N457" s="588"/>
    </row>
    <row r="458" spans="1:14">
      <c r="A458" s="584"/>
      <c r="B458" s="585"/>
      <c r="C458" s="585"/>
      <c r="D458" s="586"/>
      <c r="E458" s="586"/>
      <c r="F458" s="586"/>
      <c r="G458" s="586"/>
      <c r="H458" s="586"/>
      <c r="I458" s="586"/>
      <c r="J458" s="586"/>
      <c r="K458" s="586"/>
      <c r="L458" s="587"/>
      <c r="M458" s="588"/>
      <c r="N458" s="588"/>
    </row>
    <row r="459" spans="1:14">
      <c r="A459" s="584"/>
      <c r="B459" s="585"/>
      <c r="C459" s="585"/>
      <c r="D459" s="586"/>
      <c r="E459" s="586"/>
      <c r="F459" s="586"/>
      <c r="G459" s="586"/>
      <c r="H459" s="586"/>
      <c r="I459" s="586"/>
      <c r="J459" s="586"/>
      <c r="K459" s="586"/>
      <c r="L459" s="587"/>
      <c r="M459" s="588"/>
      <c r="N459" s="588"/>
    </row>
    <row r="460" spans="1:14">
      <c r="A460" s="584"/>
      <c r="B460" s="585"/>
      <c r="C460" s="585"/>
      <c r="D460" s="586"/>
      <c r="E460" s="586"/>
      <c r="F460" s="586"/>
      <c r="G460" s="586"/>
      <c r="H460" s="586"/>
      <c r="I460" s="586"/>
      <c r="J460" s="586"/>
      <c r="K460" s="586"/>
      <c r="L460" s="587"/>
      <c r="M460" s="588"/>
      <c r="N460" s="588"/>
    </row>
    <row r="461" spans="1:14">
      <c r="A461" s="584"/>
      <c r="B461" s="585"/>
      <c r="C461" s="585"/>
      <c r="D461" s="586"/>
      <c r="E461" s="586"/>
      <c r="F461" s="586"/>
      <c r="G461" s="586"/>
      <c r="H461" s="586"/>
      <c r="I461" s="586"/>
      <c r="J461" s="586"/>
      <c r="K461" s="586"/>
      <c r="L461" s="587"/>
      <c r="M461" s="588"/>
      <c r="N461" s="588"/>
    </row>
    <row r="462" spans="1:14">
      <c r="A462" s="584"/>
      <c r="B462" s="585"/>
      <c r="C462" s="585"/>
      <c r="D462" s="586"/>
      <c r="E462" s="586"/>
      <c r="F462" s="586"/>
      <c r="G462" s="586"/>
      <c r="H462" s="586"/>
      <c r="I462" s="586"/>
      <c r="J462" s="586"/>
      <c r="K462" s="586"/>
      <c r="L462" s="587"/>
      <c r="M462" s="588"/>
      <c r="N462" s="588"/>
    </row>
    <row r="463" spans="1:14">
      <c r="A463" s="584"/>
      <c r="B463" s="585"/>
      <c r="C463" s="585"/>
      <c r="D463" s="586"/>
      <c r="E463" s="586"/>
      <c r="F463" s="586"/>
      <c r="G463" s="586"/>
      <c r="H463" s="586"/>
      <c r="I463" s="586"/>
      <c r="J463" s="586"/>
      <c r="K463" s="586"/>
      <c r="L463" s="587"/>
      <c r="M463" s="588"/>
      <c r="N463" s="588"/>
    </row>
    <row r="464" spans="1:14">
      <c r="A464" s="584"/>
      <c r="B464" s="585"/>
      <c r="C464" s="585"/>
      <c r="D464" s="586"/>
      <c r="E464" s="586"/>
      <c r="F464" s="586"/>
      <c r="G464" s="586"/>
      <c r="H464" s="586"/>
      <c r="I464" s="586"/>
      <c r="J464" s="586"/>
      <c r="K464" s="586"/>
      <c r="L464" s="587"/>
      <c r="M464" s="588"/>
      <c r="N464" s="588"/>
    </row>
    <row r="465" spans="1:14">
      <c r="A465" s="584"/>
      <c r="B465" s="585"/>
      <c r="C465" s="585"/>
      <c r="D465" s="586"/>
      <c r="E465" s="586"/>
      <c r="F465" s="586"/>
      <c r="G465" s="586"/>
      <c r="H465" s="586"/>
      <c r="I465" s="586"/>
      <c r="J465" s="586"/>
      <c r="K465" s="586"/>
      <c r="L465" s="587"/>
      <c r="M465" s="588"/>
      <c r="N465" s="588"/>
    </row>
    <row r="466" spans="1:14">
      <c r="A466" s="584"/>
      <c r="B466" s="585"/>
      <c r="C466" s="585"/>
      <c r="D466" s="586"/>
      <c r="E466" s="586"/>
      <c r="F466" s="586"/>
      <c r="G466" s="586"/>
      <c r="H466" s="586"/>
      <c r="I466" s="586"/>
      <c r="J466" s="586"/>
      <c r="K466" s="586"/>
      <c r="L466" s="587"/>
      <c r="M466" s="588"/>
      <c r="N466" s="588"/>
    </row>
    <row r="467" spans="1:14">
      <c r="A467" s="584"/>
      <c r="B467" s="585"/>
      <c r="C467" s="585"/>
      <c r="D467" s="586"/>
      <c r="E467" s="586"/>
      <c r="F467" s="586"/>
      <c r="G467" s="586"/>
      <c r="H467" s="586"/>
      <c r="I467" s="586"/>
      <c r="J467" s="586"/>
      <c r="K467" s="586"/>
      <c r="L467" s="587"/>
      <c r="M467" s="588"/>
      <c r="N467" s="588"/>
    </row>
    <row r="468" spans="1:14">
      <c r="A468" s="584"/>
      <c r="B468" s="585"/>
      <c r="C468" s="585"/>
      <c r="D468" s="586"/>
      <c r="E468" s="586"/>
      <c r="F468" s="586"/>
      <c r="G468" s="586"/>
      <c r="H468" s="586"/>
      <c r="I468" s="586"/>
      <c r="J468" s="586"/>
      <c r="K468" s="586"/>
      <c r="L468" s="587"/>
      <c r="M468" s="588"/>
      <c r="N468" s="588"/>
    </row>
    <row r="469" spans="1:14">
      <c r="A469" s="584"/>
      <c r="B469" s="585"/>
      <c r="C469" s="585"/>
      <c r="D469" s="586"/>
      <c r="E469" s="586"/>
      <c r="F469" s="586"/>
      <c r="G469" s="586"/>
      <c r="H469" s="586"/>
      <c r="I469" s="586"/>
      <c r="J469" s="586"/>
      <c r="K469" s="586"/>
      <c r="L469" s="587"/>
      <c r="M469" s="588"/>
      <c r="N469" s="588"/>
    </row>
    <row r="470" spans="1:14">
      <c r="A470" s="584"/>
      <c r="B470" s="585"/>
      <c r="C470" s="585"/>
      <c r="D470" s="586"/>
      <c r="E470" s="586"/>
      <c r="F470" s="586"/>
      <c r="G470" s="586"/>
      <c r="H470" s="586"/>
      <c r="I470" s="586"/>
      <c r="J470" s="586"/>
      <c r="K470" s="586"/>
      <c r="L470" s="587"/>
      <c r="M470" s="588"/>
      <c r="N470" s="588"/>
    </row>
    <row r="471" spans="1:14">
      <c r="A471" s="584"/>
      <c r="B471" s="585"/>
      <c r="C471" s="585"/>
      <c r="D471" s="586"/>
      <c r="E471" s="586"/>
      <c r="F471" s="586"/>
      <c r="G471" s="586"/>
      <c r="H471" s="586"/>
      <c r="I471" s="586"/>
      <c r="J471" s="586"/>
      <c r="K471" s="586"/>
      <c r="L471" s="587"/>
      <c r="M471" s="588"/>
      <c r="N471" s="588"/>
    </row>
    <row r="472" spans="1:14">
      <c r="A472" s="584"/>
      <c r="B472" s="585"/>
      <c r="C472" s="585"/>
      <c r="D472" s="586"/>
      <c r="E472" s="586"/>
      <c r="F472" s="586"/>
      <c r="G472" s="586"/>
      <c r="H472" s="586"/>
      <c r="I472" s="586"/>
      <c r="J472" s="586"/>
      <c r="K472" s="586"/>
      <c r="L472" s="587"/>
      <c r="M472" s="588"/>
      <c r="N472" s="588"/>
    </row>
    <row r="473" spans="1:14">
      <c r="A473" s="584"/>
      <c r="B473" s="585"/>
      <c r="C473" s="585"/>
      <c r="D473" s="586"/>
      <c r="E473" s="586"/>
      <c r="F473" s="586"/>
      <c r="G473" s="586"/>
      <c r="H473" s="586"/>
      <c r="I473" s="586"/>
      <c r="J473" s="586"/>
      <c r="K473" s="586"/>
      <c r="L473" s="587"/>
      <c r="M473" s="588"/>
      <c r="N473" s="588"/>
    </row>
    <row r="474" spans="1:14">
      <c r="A474" s="584"/>
      <c r="B474" s="585"/>
      <c r="C474" s="585"/>
      <c r="D474" s="586"/>
      <c r="E474" s="586"/>
      <c r="F474" s="586"/>
      <c r="G474" s="586"/>
      <c r="H474" s="586"/>
      <c r="I474" s="586"/>
      <c r="J474" s="586"/>
      <c r="K474" s="586"/>
      <c r="L474" s="587"/>
      <c r="M474" s="588"/>
      <c r="N474" s="588"/>
    </row>
    <row r="475" spans="1:14">
      <c r="A475" s="584"/>
      <c r="B475" s="585"/>
      <c r="C475" s="585"/>
      <c r="D475" s="586"/>
      <c r="E475" s="586"/>
      <c r="F475" s="586"/>
      <c r="G475" s="586"/>
      <c r="H475" s="586"/>
      <c r="I475" s="586"/>
      <c r="J475" s="586"/>
      <c r="K475" s="586"/>
      <c r="L475" s="587"/>
      <c r="M475" s="588"/>
      <c r="N475" s="588"/>
    </row>
    <row r="476" spans="1:14">
      <c r="A476" s="584"/>
      <c r="B476" s="585"/>
      <c r="C476" s="585"/>
      <c r="D476" s="586"/>
      <c r="E476" s="586"/>
      <c r="F476" s="586"/>
      <c r="G476" s="586"/>
      <c r="H476" s="586"/>
      <c r="I476" s="586"/>
      <c r="J476" s="586"/>
      <c r="K476" s="586"/>
      <c r="L476" s="587"/>
      <c r="M476" s="588"/>
      <c r="N476" s="588"/>
    </row>
    <row r="477" spans="1:14">
      <c r="A477" s="584"/>
      <c r="B477" s="585"/>
      <c r="C477" s="585"/>
      <c r="D477" s="586"/>
      <c r="E477" s="586"/>
      <c r="F477" s="586"/>
      <c r="G477" s="586"/>
      <c r="H477" s="586"/>
      <c r="I477" s="586"/>
      <c r="J477" s="586"/>
      <c r="K477" s="586"/>
      <c r="L477" s="587"/>
      <c r="M477" s="588"/>
      <c r="N477" s="588"/>
    </row>
    <row r="478" spans="1:14">
      <c r="A478" s="584"/>
      <c r="B478" s="585"/>
      <c r="C478" s="585"/>
      <c r="D478" s="586"/>
      <c r="E478" s="586"/>
      <c r="F478" s="586"/>
      <c r="G478" s="586"/>
      <c r="H478" s="586"/>
      <c r="I478" s="586"/>
      <c r="J478" s="586"/>
      <c r="K478" s="586"/>
      <c r="L478" s="587"/>
      <c r="M478" s="588"/>
      <c r="N478" s="588"/>
    </row>
    <row r="479" spans="1:14">
      <c r="A479" s="584"/>
      <c r="B479" s="585"/>
      <c r="C479" s="585"/>
      <c r="D479" s="586"/>
      <c r="E479" s="586"/>
      <c r="F479" s="586"/>
      <c r="G479" s="586"/>
      <c r="H479" s="586"/>
      <c r="I479" s="586"/>
      <c r="J479" s="586"/>
      <c r="K479" s="586"/>
      <c r="L479" s="587"/>
      <c r="M479" s="588"/>
      <c r="N479" s="588"/>
    </row>
    <row r="480" spans="1:14">
      <c r="A480" s="584"/>
      <c r="B480" s="585"/>
      <c r="C480" s="585"/>
      <c r="D480" s="586"/>
      <c r="E480" s="586"/>
      <c r="F480" s="586"/>
      <c r="G480" s="586"/>
      <c r="H480" s="586"/>
      <c r="I480" s="586"/>
      <c r="J480" s="586"/>
      <c r="K480" s="586"/>
      <c r="L480" s="587"/>
      <c r="M480" s="588"/>
      <c r="N480" s="588"/>
    </row>
    <row r="481" spans="1:14">
      <c r="A481" s="584"/>
      <c r="B481" s="585"/>
      <c r="C481" s="585"/>
      <c r="D481" s="586"/>
      <c r="E481" s="586"/>
      <c r="F481" s="586"/>
      <c r="G481" s="586"/>
      <c r="H481" s="586"/>
      <c r="I481" s="586"/>
      <c r="J481" s="586"/>
      <c r="K481" s="586"/>
      <c r="L481" s="587"/>
      <c r="M481" s="588"/>
      <c r="N481" s="588"/>
    </row>
    <row r="482" spans="1:14">
      <c r="A482" s="584"/>
      <c r="B482" s="585"/>
      <c r="C482" s="585"/>
      <c r="D482" s="586"/>
      <c r="E482" s="586"/>
      <c r="F482" s="586"/>
      <c r="G482" s="586"/>
      <c r="H482" s="586"/>
      <c r="I482" s="586"/>
      <c r="J482" s="586"/>
      <c r="K482" s="586"/>
      <c r="L482" s="587"/>
      <c r="M482" s="588"/>
      <c r="N482" s="588"/>
    </row>
    <row r="483" spans="1:14">
      <c r="A483" s="584"/>
      <c r="B483" s="585"/>
      <c r="C483" s="585"/>
      <c r="D483" s="586"/>
      <c r="E483" s="586"/>
      <c r="F483" s="586"/>
      <c r="G483" s="586"/>
      <c r="H483" s="586"/>
      <c r="I483" s="586"/>
      <c r="J483" s="586"/>
      <c r="K483" s="586"/>
      <c r="L483" s="587"/>
      <c r="M483" s="588"/>
      <c r="N483" s="588"/>
    </row>
    <row r="484" spans="1:14">
      <c r="A484" s="584"/>
      <c r="B484" s="585"/>
      <c r="C484" s="585"/>
      <c r="D484" s="586"/>
      <c r="E484" s="586"/>
      <c r="F484" s="586"/>
      <c r="G484" s="586"/>
      <c r="H484" s="586"/>
      <c r="I484" s="586"/>
      <c r="J484" s="586"/>
      <c r="K484" s="586"/>
      <c r="L484" s="587"/>
      <c r="M484" s="588"/>
      <c r="N484" s="588"/>
    </row>
    <row r="485" spans="1:14">
      <c r="A485" s="584"/>
      <c r="B485" s="585"/>
      <c r="C485" s="585"/>
      <c r="D485" s="586"/>
      <c r="E485" s="586"/>
      <c r="F485" s="586"/>
      <c r="G485" s="586"/>
      <c r="H485" s="586"/>
      <c r="I485" s="586"/>
      <c r="J485" s="586"/>
      <c r="K485" s="586"/>
      <c r="L485" s="587"/>
      <c r="M485" s="588"/>
      <c r="N485" s="588"/>
    </row>
    <row r="486" spans="1:14">
      <c r="A486" s="584"/>
      <c r="B486" s="585"/>
      <c r="C486" s="585"/>
      <c r="D486" s="586"/>
      <c r="E486" s="586"/>
      <c r="F486" s="586"/>
      <c r="G486" s="586"/>
      <c r="H486" s="586"/>
      <c r="I486" s="586"/>
      <c r="J486" s="586"/>
      <c r="K486" s="586"/>
      <c r="L486" s="587"/>
      <c r="M486" s="588"/>
      <c r="N486" s="588"/>
    </row>
    <row r="487" spans="1:14">
      <c r="A487" s="584"/>
      <c r="B487" s="585"/>
      <c r="C487" s="585"/>
      <c r="D487" s="586"/>
      <c r="E487" s="586"/>
      <c r="F487" s="586"/>
      <c r="G487" s="586"/>
      <c r="H487" s="586"/>
      <c r="I487" s="586"/>
      <c r="J487" s="586"/>
      <c r="K487" s="586"/>
      <c r="L487" s="587"/>
      <c r="M487" s="588"/>
      <c r="N487" s="588"/>
    </row>
    <row r="488" spans="1:14">
      <c r="A488" s="584"/>
      <c r="B488" s="585"/>
      <c r="C488" s="585"/>
      <c r="D488" s="586"/>
      <c r="E488" s="586"/>
      <c r="F488" s="586"/>
      <c r="G488" s="586"/>
      <c r="H488" s="586"/>
      <c r="I488" s="586"/>
      <c r="J488" s="586"/>
      <c r="K488" s="586"/>
      <c r="L488" s="587"/>
      <c r="M488" s="588"/>
      <c r="N488" s="588"/>
    </row>
    <row r="489" spans="1:14">
      <c r="A489" s="584"/>
      <c r="B489" s="585"/>
      <c r="C489" s="585"/>
      <c r="D489" s="586"/>
      <c r="E489" s="586"/>
      <c r="F489" s="586"/>
      <c r="G489" s="586"/>
      <c r="H489" s="586"/>
      <c r="I489" s="586"/>
      <c r="J489" s="586"/>
      <c r="K489" s="586"/>
      <c r="L489" s="587"/>
      <c r="M489" s="588"/>
      <c r="N489" s="588"/>
    </row>
    <row r="490" spans="1:14">
      <c r="A490" s="584"/>
      <c r="B490" s="585"/>
      <c r="C490" s="585"/>
      <c r="D490" s="586"/>
      <c r="E490" s="586"/>
      <c r="F490" s="586"/>
      <c r="G490" s="586"/>
      <c r="H490" s="586"/>
      <c r="I490" s="586"/>
      <c r="J490" s="586"/>
      <c r="K490" s="586"/>
      <c r="L490" s="587"/>
      <c r="M490" s="588"/>
      <c r="N490" s="588"/>
    </row>
    <row r="491" spans="1:14">
      <c r="A491" s="584"/>
      <c r="B491" s="585"/>
      <c r="C491" s="585"/>
      <c r="D491" s="586"/>
      <c r="E491" s="586"/>
      <c r="F491" s="586"/>
      <c r="G491" s="586"/>
      <c r="H491" s="586"/>
      <c r="I491" s="586"/>
      <c r="J491" s="586"/>
      <c r="K491" s="586"/>
      <c r="L491" s="587"/>
      <c r="M491" s="588"/>
      <c r="N491" s="588"/>
    </row>
    <row r="492" spans="1:14">
      <c r="A492" s="584"/>
      <c r="B492" s="585"/>
      <c r="C492" s="585"/>
      <c r="D492" s="586"/>
      <c r="E492" s="586"/>
      <c r="F492" s="586"/>
      <c r="G492" s="586"/>
      <c r="H492" s="586"/>
      <c r="I492" s="586"/>
      <c r="J492" s="586"/>
      <c r="K492" s="586"/>
      <c r="L492" s="587"/>
      <c r="M492" s="588"/>
      <c r="N492" s="588"/>
    </row>
    <row r="493" spans="1:14">
      <c r="A493" s="584"/>
      <c r="B493" s="585"/>
      <c r="C493" s="585"/>
      <c r="D493" s="586"/>
      <c r="E493" s="586"/>
      <c r="F493" s="586"/>
      <c r="G493" s="586"/>
      <c r="H493" s="586"/>
      <c r="I493" s="586"/>
      <c r="J493" s="586"/>
      <c r="K493" s="586"/>
      <c r="L493" s="587"/>
      <c r="M493" s="588"/>
      <c r="N493" s="588"/>
    </row>
    <row r="494" spans="1:14">
      <c r="A494" s="584"/>
      <c r="B494" s="585"/>
      <c r="C494" s="585"/>
      <c r="D494" s="586"/>
      <c r="E494" s="586"/>
      <c r="F494" s="586"/>
      <c r="G494" s="586"/>
      <c r="H494" s="586"/>
      <c r="I494" s="586"/>
      <c r="J494" s="586"/>
      <c r="K494" s="586"/>
      <c r="L494" s="587"/>
      <c r="M494" s="588"/>
      <c r="N494" s="588"/>
    </row>
    <row r="495" spans="1:14">
      <c r="A495" s="584"/>
      <c r="B495" s="585"/>
      <c r="C495" s="585"/>
      <c r="D495" s="586"/>
      <c r="E495" s="586"/>
      <c r="F495" s="586"/>
      <c r="G495" s="586"/>
      <c r="H495" s="586"/>
      <c r="I495" s="586"/>
      <c r="J495" s="586"/>
      <c r="K495" s="586"/>
      <c r="L495" s="587"/>
      <c r="M495" s="588"/>
      <c r="N495" s="588"/>
    </row>
    <row r="496" spans="1:14">
      <c r="A496" s="584"/>
      <c r="B496" s="585"/>
      <c r="C496" s="585"/>
      <c r="D496" s="586"/>
      <c r="E496" s="586"/>
      <c r="F496" s="586"/>
      <c r="G496" s="586"/>
      <c r="H496" s="586"/>
      <c r="I496" s="586"/>
      <c r="J496" s="586"/>
      <c r="K496" s="586"/>
      <c r="L496" s="587"/>
      <c r="M496" s="588"/>
      <c r="N496" s="588"/>
    </row>
    <row r="497" spans="1:14">
      <c r="A497" s="584"/>
      <c r="B497" s="585"/>
      <c r="C497" s="585"/>
      <c r="D497" s="586"/>
      <c r="E497" s="586"/>
      <c r="F497" s="586"/>
      <c r="G497" s="586"/>
      <c r="H497" s="586"/>
      <c r="I497" s="586"/>
      <c r="J497" s="586"/>
      <c r="K497" s="586"/>
      <c r="L497" s="587"/>
      <c r="M497" s="588"/>
      <c r="N497" s="588"/>
    </row>
    <row r="498" spans="1:14">
      <c r="A498" s="584"/>
      <c r="B498" s="585"/>
      <c r="C498" s="585"/>
      <c r="D498" s="586"/>
      <c r="E498" s="586"/>
      <c r="F498" s="586"/>
      <c r="G498" s="586"/>
      <c r="H498" s="586"/>
      <c r="I498" s="586"/>
      <c r="J498" s="586"/>
      <c r="K498" s="586"/>
      <c r="L498" s="587"/>
      <c r="M498" s="588"/>
      <c r="N498" s="588"/>
    </row>
    <row r="499" spans="1:14">
      <c r="A499" s="584"/>
      <c r="B499" s="585"/>
      <c r="C499" s="585"/>
      <c r="D499" s="586"/>
      <c r="E499" s="586"/>
      <c r="F499" s="586"/>
      <c r="G499" s="586"/>
      <c r="H499" s="586"/>
      <c r="I499" s="586"/>
      <c r="J499" s="586"/>
      <c r="K499" s="586"/>
      <c r="L499" s="587"/>
      <c r="M499" s="588"/>
      <c r="N499" s="588"/>
    </row>
    <row r="500" spans="1:14">
      <c r="A500" s="584"/>
      <c r="B500" s="585"/>
      <c r="C500" s="585"/>
      <c r="D500" s="586"/>
      <c r="E500" s="586"/>
      <c r="F500" s="586"/>
      <c r="G500" s="586"/>
      <c r="H500" s="586"/>
      <c r="I500" s="586"/>
      <c r="J500" s="586"/>
      <c r="K500" s="586"/>
      <c r="L500" s="587"/>
      <c r="M500" s="588"/>
      <c r="N500" s="588"/>
    </row>
    <row r="501" spans="1:14">
      <c r="A501" s="584"/>
      <c r="B501" s="585"/>
      <c r="C501" s="585"/>
      <c r="D501" s="586"/>
      <c r="E501" s="586"/>
      <c r="F501" s="586"/>
      <c r="G501" s="586"/>
      <c r="H501" s="586"/>
      <c r="I501" s="586"/>
      <c r="J501" s="586"/>
      <c r="K501" s="586"/>
      <c r="L501" s="587"/>
      <c r="M501" s="588"/>
      <c r="N501" s="588"/>
    </row>
    <row r="502" spans="1:14">
      <c r="A502" s="584"/>
      <c r="B502" s="585"/>
      <c r="C502" s="585"/>
      <c r="D502" s="586"/>
      <c r="E502" s="586"/>
      <c r="F502" s="586"/>
      <c r="G502" s="586"/>
      <c r="H502" s="586"/>
      <c r="I502" s="586"/>
      <c r="J502" s="586"/>
      <c r="K502" s="586"/>
      <c r="L502" s="587"/>
      <c r="M502" s="588"/>
      <c r="N502" s="588"/>
    </row>
    <row r="503" spans="1:14">
      <c r="A503" s="584"/>
      <c r="B503" s="585"/>
      <c r="C503" s="585"/>
      <c r="D503" s="586"/>
      <c r="E503" s="586"/>
      <c r="F503" s="586"/>
      <c r="G503" s="586"/>
      <c r="H503" s="586"/>
      <c r="I503" s="586"/>
      <c r="J503" s="586"/>
      <c r="K503" s="586"/>
      <c r="L503" s="587"/>
      <c r="M503" s="588"/>
      <c r="N503" s="588"/>
    </row>
    <row r="504" spans="1:14">
      <c r="A504" s="584"/>
      <c r="B504" s="585"/>
      <c r="C504" s="585"/>
      <c r="D504" s="586"/>
      <c r="E504" s="586"/>
      <c r="F504" s="586"/>
      <c r="G504" s="586"/>
      <c r="H504" s="586"/>
      <c r="I504" s="586"/>
      <c r="J504" s="586"/>
      <c r="K504" s="586"/>
      <c r="L504" s="587"/>
      <c r="M504" s="588"/>
      <c r="N504" s="588"/>
    </row>
    <row r="505" spans="1:14">
      <c r="A505" s="584"/>
      <c r="B505" s="585"/>
      <c r="C505" s="585"/>
      <c r="D505" s="586"/>
      <c r="E505" s="586"/>
      <c r="F505" s="586"/>
      <c r="G505" s="586"/>
      <c r="H505" s="586"/>
      <c r="I505" s="586"/>
      <c r="J505" s="586"/>
      <c r="K505" s="586"/>
      <c r="L505" s="587"/>
      <c r="M505" s="588"/>
      <c r="N505" s="588"/>
    </row>
    <row r="506" spans="1:14">
      <c r="A506" s="584"/>
      <c r="B506" s="585"/>
      <c r="C506" s="585"/>
      <c r="D506" s="586"/>
      <c r="E506" s="586"/>
      <c r="F506" s="586"/>
      <c r="G506" s="586"/>
      <c r="H506" s="586"/>
      <c r="I506" s="586"/>
      <c r="J506" s="586"/>
      <c r="K506" s="586"/>
      <c r="L506" s="587"/>
      <c r="M506" s="588"/>
      <c r="N506" s="588"/>
    </row>
    <row r="507" spans="1:14">
      <c r="A507" s="584"/>
      <c r="B507" s="585"/>
      <c r="C507" s="585"/>
      <c r="D507" s="586"/>
      <c r="E507" s="586"/>
      <c r="F507" s="586"/>
      <c r="G507" s="586"/>
      <c r="H507" s="586"/>
      <c r="I507" s="586"/>
      <c r="J507" s="586"/>
      <c r="K507" s="586"/>
      <c r="L507" s="587"/>
      <c r="M507" s="588"/>
      <c r="N507" s="588"/>
    </row>
    <row r="508" spans="1:14">
      <c r="A508" s="584"/>
      <c r="B508" s="585"/>
      <c r="C508" s="585"/>
      <c r="D508" s="586"/>
      <c r="E508" s="586"/>
      <c r="F508" s="586"/>
      <c r="G508" s="586"/>
      <c r="H508" s="586"/>
      <c r="I508" s="586"/>
      <c r="J508" s="586"/>
      <c r="K508" s="586"/>
      <c r="L508" s="587"/>
      <c r="M508" s="588"/>
      <c r="N508" s="588"/>
    </row>
    <row r="509" spans="1:14">
      <c r="A509" s="584"/>
      <c r="B509" s="585"/>
      <c r="C509" s="585"/>
      <c r="D509" s="586"/>
      <c r="E509" s="586"/>
      <c r="F509" s="586"/>
      <c r="G509" s="586"/>
      <c r="H509" s="586"/>
      <c r="I509" s="586"/>
      <c r="J509" s="586"/>
      <c r="K509" s="586"/>
      <c r="L509" s="587"/>
      <c r="M509" s="588"/>
      <c r="N509" s="588"/>
    </row>
    <row r="510" spans="1:14">
      <c r="A510" s="584"/>
      <c r="B510" s="585"/>
      <c r="C510" s="585"/>
      <c r="D510" s="586"/>
      <c r="E510" s="586"/>
      <c r="F510" s="586"/>
      <c r="G510" s="586"/>
      <c r="H510" s="586"/>
      <c r="I510" s="586"/>
      <c r="J510" s="586"/>
      <c r="K510" s="586"/>
      <c r="L510" s="587"/>
      <c r="M510" s="588"/>
      <c r="N510" s="588"/>
    </row>
    <row r="511" spans="1:14">
      <c r="A511" s="584"/>
      <c r="B511" s="585"/>
      <c r="C511" s="585"/>
      <c r="D511" s="586"/>
      <c r="E511" s="586"/>
      <c r="F511" s="586"/>
      <c r="G511" s="586"/>
      <c r="H511" s="586"/>
      <c r="I511" s="586"/>
      <c r="J511" s="586"/>
      <c r="K511" s="586"/>
      <c r="L511" s="587"/>
      <c r="M511" s="588"/>
      <c r="N511" s="588"/>
    </row>
    <row r="512" spans="1:14">
      <c r="A512" s="584"/>
      <c r="B512" s="585"/>
      <c r="C512" s="585"/>
      <c r="D512" s="586"/>
      <c r="E512" s="586"/>
      <c r="F512" s="586"/>
      <c r="G512" s="586"/>
      <c r="H512" s="586"/>
      <c r="I512" s="586"/>
      <c r="J512" s="586"/>
      <c r="K512" s="586"/>
      <c r="L512" s="587"/>
      <c r="M512" s="588"/>
      <c r="N512" s="588"/>
    </row>
    <row r="513" spans="1:14">
      <c r="A513" s="584"/>
      <c r="B513" s="585"/>
      <c r="C513" s="585"/>
      <c r="D513" s="586"/>
      <c r="E513" s="586"/>
      <c r="F513" s="586"/>
      <c r="G513" s="586"/>
      <c r="H513" s="586"/>
      <c r="I513" s="586"/>
      <c r="J513" s="586"/>
      <c r="K513" s="586"/>
      <c r="L513" s="587"/>
      <c r="M513" s="588"/>
      <c r="N513" s="588"/>
    </row>
    <row r="514" spans="1:14">
      <c r="A514" s="584"/>
      <c r="B514" s="585"/>
      <c r="C514" s="585"/>
      <c r="D514" s="586"/>
      <c r="E514" s="586"/>
      <c r="F514" s="586"/>
      <c r="G514" s="586"/>
      <c r="H514" s="586"/>
      <c r="I514" s="586"/>
      <c r="J514" s="586"/>
      <c r="K514" s="586"/>
      <c r="L514" s="587"/>
      <c r="M514" s="588"/>
      <c r="N514" s="588"/>
    </row>
    <row r="515" spans="1:14">
      <c r="A515" s="584"/>
      <c r="B515" s="585"/>
      <c r="C515" s="585"/>
      <c r="D515" s="586"/>
      <c r="E515" s="586"/>
      <c r="F515" s="586"/>
      <c r="G515" s="586"/>
      <c r="H515" s="586"/>
      <c r="I515" s="586"/>
      <c r="J515" s="586"/>
      <c r="K515" s="586"/>
      <c r="L515" s="587"/>
      <c r="M515" s="588"/>
      <c r="N515" s="588"/>
    </row>
    <row r="516" spans="1:14">
      <c r="A516" s="584"/>
      <c r="B516" s="585"/>
      <c r="C516" s="585"/>
      <c r="D516" s="586"/>
      <c r="E516" s="586"/>
      <c r="F516" s="586"/>
      <c r="G516" s="586"/>
      <c r="H516" s="586"/>
      <c r="I516" s="586"/>
      <c r="J516" s="586"/>
      <c r="K516" s="586"/>
      <c r="L516" s="587"/>
      <c r="M516" s="588"/>
      <c r="N516" s="588"/>
    </row>
    <row r="517" spans="1:14">
      <c r="A517" s="584"/>
      <c r="B517" s="585"/>
      <c r="C517" s="585"/>
      <c r="D517" s="586"/>
      <c r="E517" s="586"/>
      <c r="F517" s="586"/>
      <c r="G517" s="586"/>
      <c r="H517" s="586"/>
      <c r="I517" s="586"/>
      <c r="J517" s="586"/>
      <c r="K517" s="586"/>
      <c r="L517" s="587"/>
      <c r="M517" s="588"/>
      <c r="N517" s="588"/>
    </row>
    <row r="518" spans="1:14">
      <c r="A518" s="584"/>
      <c r="B518" s="585"/>
      <c r="C518" s="585"/>
      <c r="D518" s="586"/>
      <c r="E518" s="586"/>
      <c r="F518" s="586"/>
      <c r="G518" s="586"/>
      <c r="H518" s="586"/>
      <c r="I518" s="586"/>
      <c r="J518" s="586"/>
      <c r="K518" s="586"/>
      <c r="L518" s="587"/>
      <c r="M518" s="588"/>
      <c r="N518" s="588"/>
    </row>
    <row r="519" spans="1:14">
      <c r="A519" s="584"/>
      <c r="B519" s="585"/>
      <c r="C519" s="585"/>
      <c r="D519" s="586"/>
      <c r="E519" s="586"/>
      <c r="F519" s="586"/>
      <c r="G519" s="586"/>
      <c r="H519" s="586"/>
      <c r="I519" s="586"/>
      <c r="J519" s="586"/>
      <c r="K519" s="586"/>
      <c r="L519" s="587"/>
      <c r="M519" s="588"/>
      <c r="N519" s="588"/>
    </row>
    <row r="520" spans="1:14">
      <c r="A520" s="584"/>
      <c r="B520" s="585"/>
      <c r="C520" s="585"/>
      <c r="D520" s="586"/>
      <c r="E520" s="586"/>
      <c r="F520" s="586"/>
      <c r="G520" s="586"/>
      <c r="H520" s="586"/>
      <c r="I520" s="586"/>
      <c r="J520" s="586"/>
      <c r="K520" s="586"/>
      <c r="L520" s="587"/>
      <c r="M520" s="588"/>
      <c r="N520" s="588"/>
    </row>
    <row r="521" spans="1:14">
      <c r="A521" s="584"/>
      <c r="B521" s="585"/>
      <c r="C521" s="585"/>
      <c r="D521" s="586"/>
      <c r="E521" s="586"/>
      <c r="F521" s="586"/>
      <c r="G521" s="586"/>
      <c r="H521" s="586"/>
      <c r="I521" s="586"/>
      <c r="J521" s="586"/>
      <c r="K521" s="586"/>
      <c r="L521" s="587"/>
      <c r="M521" s="588"/>
      <c r="N521" s="588"/>
    </row>
    <row r="522" spans="1:14">
      <c r="A522" s="584"/>
      <c r="B522" s="585"/>
      <c r="C522" s="585"/>
      <c r="D522" s="586"/>
      <c r="E522" s="586"/>
      <c r="F522" s="586"/>
      <c r="G522" s="586"/>
      <c r="H522" s="586"/>
      <c r="I522" s="586"/>
      <c r="J522" s="586"/>
      <c r="K522" s="586"/>
      <c r="L522" s="587"/>
      <c r="M522" s="588"/>
      <c r="N522" s="588"/>
    </row>
    <row r="523" spans="1:14">
      <c r="A523" s="584"/>
      <c r="B523" s="585"/>
      <c r="C523" s="585"/>
      <c r="D523" s="586"/>
      <c r="E523" s="586"/>
      <c r="F523" s="586"/>
      <c r="G523" s="586"/>
      <c r="H523" s="586"/>
      <c r="I523" s="586"/>
      <c r="J523" s="586"/>
      <c r="K523" s="586"/>
      <c r="L523" s="587"/>
      <c r="M523" s="588"/>
      <c r="N523" s="588"/>
    </row>
    <row r="524" spans="1:14">
      <c r="A524" s="584"/>
      <c r="B524" s="585"/>
      <c r="C524" s="585"/>
      <c r="D524" s="586"/>
      <c r="E524" s="586"/>
      <c r="F524" s="586"/>
      <c r="G524" s="586"/>
      <c r="H524" s="586"/>
      <c r="I524" s="586"/>
      <c r="J524" s="586"/>
      <c r="K524" s="586"/>
      <c r="L524" s="587"/>
      <c r="M524" s="588"/>
      <c r="N524" s="588"/>
    </row>
    <row r="525" spans="1:14">
      <c r="A525" s="584"/>
      <c r="B525" s="585"/>
      <c r="C525" s="585"/>
      <c r="D525" s="586"/>
      <c r="E525" s="586"/>
      <c r="F525" s="586"/>
      <c r="G525" s="586"/>
      <c r="H525" s="586"/>
      <c r="I525" s="586"/>
      <c r="J525" s="586"/>
      <c r="K525" s="586"/>
      <c r="L525" s="587"/>
      <c r="M525" s="588"/>
      <c r="N525" s="588"/>
    </row>
    <row r="526" spans="1:14">
      <c r="A526" s="584"/>
      <c r="B526" s="585"/>
      <c r="C526" s="585"/>
      <c r="D526" s="586"/>
      <c r="E526" s="586"/>
      <c r="F526" s="586"/>
      <c r="G526" s="586"/>
      <c r="H526" s="586"/>
      <c r="I526" s="586"/>
      <c r="J526" s="586"/>
      <c r="K526" s="586"/>
      <c r="L526" s="587"/>
      <c r="M526" s="588"/>
      <c r="N526" s="588"/>
    </row>
    <row r="527" spans="1:14">
      <c r="A527" s="584"/>
      <c r="B527" s="585"/>
      <c r="C527" s="585"/>
      <c r="D527" s="586"/>
      <c r="E527" s="586"/>
      <c r="F527" s="586"/>
      <c r="G527" s="586"/>
      <c r="H527" s="586"/>
      <c r="I527" s="586"/>
      <c r="J527" s="586"/>
      <c r="K527" s="586"/>
      <c r="L527" s="587"/>
      <c r="M527" s="588"/>
      <c r="N527" s="588"/>
    </row>
    <row r="528" spans="1:14">
      <c r="A528" s="584"/>
      <c r="B528" s="585"/>
      <c r="C528" s="585"/>
      <c r="D528" s="586"/>
      <c r="E528" s="586"/>
      <c r="F528" s="586"/>
      <c r="G528" s="586"/>
      <c r="H528" s="586"/>
      <c r="I528" s="586"/>
      <c r="J528" s="586"/>
      <c r="K528" s="586"/>
      <c r="L528" s="587"/>
      <c r="M528" s="588"/>
      <c r="N528" s="588"/>
    </row>
    <row r="529" spans="1:14">
      <c r="A529" s="584"/>
      <c r="B529" s="585"/>
      <c r="C529" s="585"/>
      <c r="D529" s="586"/>
      <c r="E529" s="586"/>
      <c r="F529" s="586"/>
      <c r="G529" s="586"/>
      <c r="H529" s="586"/>
      <c r="I529" s="586"/>
      <c r="J529" s="586"/>
      <c r="K529" s="586"/>
      <c r="L529" s="587"/>
      <c r="M529" s="588"/>
      <c r="N529" s="588"/>
    </row>
    <row r="530" spans="1:14">
      <c r="A530" s="584"/>
      <c r="B530" s="585"/>
      <c r="C530" s="585"/>
      <c r="D530" s="586"/>
      <c r="E530" s="586"/>
      <c r="F530" s="586"/>
      <c r="G530" s="586"/>
      <c r="H530" s="586"/>
      <c r="I530" s="586"/>
      <c r="J530" s="586"/>
      <c r="K530" s="586"/>
      <c r="L530" s="587"/>
      <c r="M530" s="588"/>
      <c r="N530" s="588"/>
    </row>
    <row r="531" spans="1:14">
      <c r="A531" s="584"/>
      <c r="B531" s="585"/>
      <c r="C531" s="585"/>
      <c r="D531" s="586"/>
      <c r="E531" s="586"/>
      <c r="F531" s="586"/>
      <c r="G531" s="586"/>
      <c r="H531" s="586"/>
      <c r="I531" s="586"/>
      <c r="J531" s="586"/>
      <c r="K531" s="586"/>
      <c r="L531" s="587"/>
      <c r="M531" s="588"/>
      <c r="N531" s="588"/>
    </row>
    <row r="532" spans="1:14">
      <c r="A532" s="584"/>
      <c r="B532" s="585"/>
      <c r="C532" s="585"/>
      <c r="D532" s="586"/>
      <c r="E532" s="586"/>
      <c r="F532" s="586"/>
      <c r="G532" s="586"/>
      <c r="H532" s="586"/>
      <c r="I532" s="586"/>
      <c r="J532" s="586"/>
      <c r="K532" s="586"/>
      <c r="L532" s="587"/>
      <c r="M532" s="588"/>
      <c r="N532" s="588"/>
    </row>
    <row r="533" spans="1:14">
      <c r="A533" s="584"/>
      <c r="B533" s="585"/>
      <c r="C533" s="585"/>
      <c r="D533" s="586"/>
      <c r="E533" s="586"/>
      <c r="F533" s="586"/>
      <c r="G533" s="586"/>
      <c r="H533" s="586"/>
      <c r="I533" s="586"/>
      <c r="J533" s="586"/>
      <c r="K533" s="586"/>
      <c r="L533" s="587"/>
      <c r="M533" s="588"/>
      <c r="N533" s="588"/>
    </row>
    <row r="534" spans="1:14">
      <c r="A534" s="584"/>
      <c r="B534" s="585"/>
      <c r="C534" s="585"/>
      <c r="D534" s="586"/>
      <c r="E534" s="586"/>
      <c r="F534" s="586"/>
      <c r="G534" s="586"/>
      <c r="H534" s="586"/>
      <c r="I534" s="586"/>
      <c r="J534" s="586"/>
      <c r="K534" s="586"/>
      <c r="L534" s="587"/>
      <c r="M534" s="588"/>
      <c r="N534" s="588"/>
    </row>
    <row r="535" spans="1:14">
      <c r="A535" s="584"/>
      <c r="B535" s="585"/>
      <c r="C535" s="585"/>
      <c r="D535" s="586"/>
      <c r="E535" s="586"/>
      <c r="F535" s="586"/>
      <c r="G535" s="586"/>
      <c r="H535" s="586"/>
      <c r="I535" s="586"/>
      <c r="J535" s="586"/>
      <c r="K535" s="586"/>
      <c r="L535" s="587"/>
      <c r="M535" s="588"/>
      <c r="N535" s="588"/>
    </row>
    <row r="536" spans="1:14">
      <c r="A536" s="584"/>
      <c r="B536" s="585"/>
      <c r="C536" s="585"/>
      <c r="D536" s="586"/>
      <c r="E536" s="586"/>
      <c r="F536" s="586"/>
      <c r="G536" s="586"/>
      <c r="H536" s="586"/>
      <c r="I536" s="586"/>
      <c r="J536" s="586"/>
      <c r="K536" s="586"/>
      <c r="L536" s="587"/>
      <c r="M536" s="588"/>
      <c r="N536" s="588"/>
    </row>
    <row r="537" spans="1:14">
      <c r="A537" s="584"/>
      <c r="B537" s="585"/>
      <c r="C537" s="585"/>
      <c r="D537" s="586"/>
      <c r="E537" s="586"/>
      <c r="F537" s="586"/>
      <c r="G537" s="586"/>
      <c r="H537" s="586"/>
      <c r="I537" s="586"/>
      <c r="J537" s="586"/>
      <c r="K537" s="586"/>
      <c r="L537" s="587"/>
      <c r="M537" s="588"/>
      <c r="N537" s="588"/>
    </row>
    <row r="538" spans="1:14">
      <c r="A538" s="584"/>
      <c r="B538" s="585"/>
      <c r="C538" s="585"/>
      <c r="D538" s="586"/>
      <c r="E538" s="586"/>
      <c r="F538" s="586"/>
      <c r="G538" s="586"/>
      <c r="H538" s="586"/>
      <c r="I538" s="586"/>
      <c r="J538" s="586"/>
      <c r="K538" s="586"/>
      <c r="L538" s="587"/>
      <c r="M538" s="588"/>
      <c r="N538" s="588"/>
    </row>
    <row r="539" spans="1:14">
      <c r="A539" s="584"/>
      <c r="B539" s="585"/>
      <c r="C539" s="585"/>
      <c r="D539" s="586"/>
      <c r="E539" s="586"/>
      <c r="F539" s="586"/>
      <c r="G539" s="586"/>
      <c r="H539" s="586"/>
      <c r="I539" s="586"/>
      <c r="J539" s="586"/>
      <c r="K539" s="586"/>
      <c r="L539" s="587"/>
      <c r="M539" s="588"/>
      <c r="N539" s="588"/>
    </row>
    <row r="540" spans="1:14">
      <c r="A540" s="584"/>
      <c r="B540" s="585"/>
      <c r="C540" s="585"/>
      <c r="D540" s="586"/>
      <c r="E540" s="586"/>
      <c r="F540" s="586"/>
      <c r="G540" s="586"/>
      <c r="H540" s="586"/>
      <c r="I540" s="586"/>
      <c r="J540" s="586"/>
      <c r="K540" s="586"/>
      <c r="L540" s="587"/>
      <c r="M540" s="588"/>
      <c r="N540" s="588"/>
    </row>
    <row r="541" spans="1:14">
      <c r="A541" s="584"/>
      <c r="B541" s="585"/>
      <c r="C541" s="585"/>
      <c r="D541" s="586"/>
      <c r="E541" s="586"/>
      <c r="F541" s="586"/>
      <c r="G541" s="586"/>
      <c r="H541" s="586"/>
      <c r="I541" s="586"/>
      <c r="J541" s="586"/>
      <c r="K541" s="586"/>
      <c r="L541" s="587"/>
      <c r="M541" s="588"/>
      <c r="N541" s="588"/>
    </row>
    <row r="542" spans="1:14">
      <c r="A542" s="584"/>
      <c r="B542" s="585"/>
      <c r="C542" s="585"/>
      <c r="D542" s="586"/>
      <c r="E542" s="586"/>
      <c r="F542" s="586"/>
      <c r="G542" s="586"/>
      <c r="H542" s="586"/>
      <c r="I542" s="586"/>
      <c r="J542" s="586"/>
      <c r="K542" s="586"/>
      <c r="L542" s="587"/>
      <c r="M542" s="588"/>
      <c r="N542" s="588"/>
    </row>
    <row r="543" spans="1:14">
      <c r="A543" s="584"/>
      <c r="B543" s="585"/>
      <c r="C543" s="585"/>
      <c r="D543" s="586"/>
      <c r="E543" s="586"/>
      <c r="F543" s="586"/>
      <c r="G543" s="586"/>
      <c r="H543" s="586"/>
      <c r="I543" s="586"/>
      <c r="J543" s="586"/>
      <c r="K543" s="586"/>
      <c r="L543" s="587"/>
      <c r="M543" s="588"/>
      <c r="N543" s="588"/>
    </row>
    <row r="544" spans="1:14">
      <c r="A544" s="584"/>
      <c r="B544" s="585"/>
      <c r="C544" s="585"/>
      <c r="D544" s="586"/>
      <c r="E544" s="586"/>
      <c r="F544" s="586"/>
      <c r="G544" s="586"/>
      <c r="H544" s="586"/>
      <c r="I544" s="586"/>
      <c r="J544" s="586"/>
      <c r="K544" s="586"/>
      <c r="L544" s="587"/>
      <c r="M544" s="588"/>
      <c r="N544" s="588"/>
    </row>
    <row r="545" spans="1:14">
      <c r="A545" s="584"/>
      <c r="B545" s="585"/>
      <c r="C545" s="585"/>
      <c r="D545" s="586"/>
      <c r="E545" s="586"/>
      <c r="F545" s="586"/>
      <c r="G545" s="586"/>
      <c r="H545" s="586"/>
      <c r="I545" s="586"/>
      <c r="J545" s="586"/>
      <c r="K545" s="586"/>
      <c r="L545" s="587"/>
      <c r="M545" s="588"/>
      <c r="N545" s="588"/>
    </row>
    <row r="546" spans="1:14">
      <c r="A546" s="584"/>
      <c r="B546" s="585"/>
      <c r="C546" s="585"/>
      <c r="D546" s="586"/>
      <c r="E546" s="586"/>
      <c r="F546" s="586"/>
      <c r="G546" s="586"/>
      <c r="H546" s="586"/>
      <c r="I546" s="586"/>
      <c r="J546" s="586"/>
      <c r="K546" s="586"/>
      <c r="L546" s="587"/>
      <c r="M546" s="588"/>
      <c r="N546" s="588"/>
    </row>
    <row r="547" spans="1:14">
      <c r="A547" s="584"/>
      <c r="B547" s="585"/>
      <c r="C547" s="585"/>
      <c r="D547" s="586"/>
      <c r="E547" s="586"/>
      <c r="F547" s="586"/>
      <c r="G547" s="586"/>
      <c r="H547" s="586"/>
      <c r="I547" s="586"/>
      <c r="J547" s="586"/>
      <c r="K547" s="586"/>
      <c r="L547" s="587"/>
      <c r="M547" s="588"/>
      <c r="N547" s="588"/>
    </row>
    <row r="548" spans="1:14">
      <c r="A548" s="584"/>
      <c r="B548" s="585"/>
      <c r="C548" s="585"/>
      <c r="D548" s="586"/>
      <c r="E548" s="586"/>
      <c r="F548" s="586"/>
      <c r="G548" s="586"/>
      <c r="H548" s="586"/>
      <c r="I548" s="586"/>
      <c r="J548" s="586"/>
      <c r="K548" s="586"/>
      <c r="L548" s="587"/>
      <c r="M548" s="588"/>
      <c r="N548" s="588"/>
    </row>
    <row r="549" spans="1:14">
      <c r="A549" s="584"/>
      <c r="B549" s="585"/>
      <c r="C549" s="585"/>
      <c r="D549" s="586"/>
      <c r="E549" s="586"/>
      <c r="F549" s="586"/>
      <c r="G549" s="586"/>
      <c r="H549" s="586"/>
      <c r="I549" s="586"/>
      <c r="J549" s="586"/>
      <c r="K549" s="586"/>
      <c r="L549" s="587"/>
      <c r="M549" s="588"/>
      <c r="N549" s="588"/>
    </row>
    <row r="550" spans="1:14">
      <c r="A550" s="584"/>
      <c r="B550" s="585"/>
      <c r="C550" s="585"/>
      <c r="D550" s="586"/>
      <c r="E550" s="586"/>
      <c r="F550" s="586"/>
      <c r="G550" s="586"/>
      <c r="H550" s="586"/>
      <c r="I550" s="586"/>
      <c r="J550" s="586"/>
      <c r="K550" s="586"/>
      <c r="L550" s="587"/>
      <c r="M550" s="588"/>
      <c r="N550" s="588"/>
    </row>
    <row r="551" spans="1:14">
      <c r="A551" s="584"/>
      <c r="B551" s="585"/>
      <c r="C551" s="585"/>
      <c r="D551" s="586"/>
      <c r="E551" s="586"/>
      <c r="F551" s="586"/>
      <c r="G551" s="586"/>
      <c r="H551" s="586"/>
      <c r="I551" s="586"/>
      <c r="J551" s="586"/>
      <c r="K551" s="586"/>
      <c r="L551" s="587"/>
      <c r="M551" s="588"/>
      <c r="N551" s="588"/>
    </row>
    <row r="552" spans="1:14">
      <c r="A552" s="584"/>
      <c r="B552" s="585"/>
      <c r="C552" s="585"/>
      <c r="D552" s="586"/>
      <c r="E552" s="586"/>
      <c r="F552" s="586"/>
      <c r="G552" s="586"/>
      <c r="H552" s="586"/>
      <c r="I552" s="586"/>
      <c r="J552" s="586"/>
      <c r="K552" s="586"/>
      <c r="L552" s="587"/>
      <c r="M552" s="588"/>
      <c r="N552" s="588"/>
    </row>
    <row r="553" spans="1:14">
      <c r="A553" s="584"/>
      <c r="B553" s="585"/>
      <c r="C553" s="585"/>
      <c r="D553" s="586"/>
      <c r="E553" s="586"/>
      <c r="F553" s="586"/>
      <c r="G553" s="586"/>
      <c r="H553" s="586"/>
      <c r="I553" s="586"/>
      <c r="J553" s="586"/>
      <c r="K553" s="586"/>
      <c r="L553" s="587"/>
      <c r="M553" s="588"/>
      <c r="N553" s="588"/>
    </row>
    <row r="554" spans="1:14">
      <c r="A554" s="584"/>
      <c r="B554" s="585"/>
      <c r="C554" s="585"/>
      <c r="D554" s="586"/>
      <c r="E554" s="586"/>
      <c r="F554" s="586"/>
      <c r="G554" s="586"/>
      <c r="H554" s="586"/>
      <c r="I554" s="586"/>
      <c r="J554" s="586"/>
      <c r="K554" s="586"/>
      <c r="L554" s="587"/>
      <c r="M554" s="588"/>
      <c r="N554" s="588"/>
    </row>
    <row r="555" spans="1:14">
      <c r="A555" s="584"/>
      <c r="B555" s="585"/>
      <c r="C555" s="585"/>
      <c r="D555" s="586"/>
      <c r="E555" s="586"/>
      <c r="F555" s="586"/>
      <c r="G555" s="586"/>
      <c r="H555" s="586"/>
      <c r="I555" s="586"/>
      <c r="J555" s="586"/>
      <c r="K555" s="586"/>
      <c r="L555" s="587"/>
      <c r="M555" s="588"/>
      <c r="N555" s="588"/>
    </row>
    <row r="556" spans="1:14">
      <c r="A556" s="584"/>
      <c r="B556" s="585"/>
      <c r="C556" s="585"/>
      <c r="D556" s="586"/>
      <c r="E556" s="586"/>
      <c r="F556" s="586"/>
      <c r="G556" s="586"/>
      <c r="H556" s="586"/>
      <c r="I556" s="586"/>
      <c r="J556" s="586"/>
      <c r="K556" s="586"/>
      <c r="L556" s="587"/>
      <c r="M556" s="588"/>
      <c r="N556" s="588"/>
    </row>
    <row r="557" spans="1:14">
      <c r="A557" s="584"/>
      <c r="B557" s="585"/>
      <c r="C557" s="585"/>
      <c r="D557" s="586"/>
      <c r="E557" s="586"/>
      <c r="F557" s="586"/>
      <c r="G557" s="586"/>
      <c r="H557" s="586"/>
      <c r="I557" s="586"/>
      <c r="J557" s="586"/>
      <c r="K557" s="586"/>
      <c r="L557" s="587"/>
      <c r="M557" s="588"/>
      <c r="N557" s="588"/>
    </row>
    <row r="558" spans="1:14">
      <c r="A558" s="584"/>
      <c r="B558" s="585"/>
      <c r="C558" s="585"/>
      <c r="D558" s="586"/>
      <c r="E558" s="586"/>
      <c r="F558" s="586"/>
      <c r="G558" s="586"/>
      <c r="H558" s="586"/>
      <c r="I558" s="586"/>
      <c r="J558" s="586"/>
      <c r="K558" s="586"/>
      <c r="L558" s="587"/>
      <c r="M558" s="588"/>
      <c r="N558" s="588"/>
    </row>
    <row r="559" spans="1:14">
      <c r="A559" s="584"/>
      <c r="B559" s="585"/>
      <c r="C559" s="585"/>
      <c r="D559" s="586"/>
      <c r="E559" s="586"/>
      <c r="F559" s="586"/>
      <c r="G559" s="586"/>
      <c r="H559" s="586"/>
      <c r="I559" s="586"/>
      <c r="J559" s="586"/>
      <c r="K559" s="586"/>
      <c r="L559" s="587"/>
      <c r="M559" s="588"/>
      <c r="N559" s="588"/>
    </row>
    <row r="560" spans="1:14">
      <c r="A560" s="584"/>
      <c r="B560" s="585"/>
      <c r="C560" s="585"/>
      <c r="D560" s="586"/>
      <c r="E560" s="586"/>
      <c r="F560" s="586"/>
      <c r="G560" s="586"/>
      <c r="H560" s="586"/>
      <c r="I560" s="586"/>
      <c r="J560" s="586"/>
      <c r="K560" s="586"/>
      <c r="L560" s="587"/>
      <c r="M560" s="588"/>
      <c r="N560" s="588"/>
    </row>
    <row r="561" spans="1:14">
      <c r="A561" s="584"/>
      <c r="B561" s="585"/>
      <c r="C561" s="585"/>
      <c r="D561" s="586"/>
      <c r="E561" s="586"/>
      <c r="F561" s="586"/>
      <c r="G561" s="586"/>
      <c r="H561" s="586"/>
      <c r="I561" s="586"/>
      <c r="J561" s="586"/>
      <c r="K561" s="586"/>
      <c r="L561" s="587"/>
      <c r="M561" s="588"/>
      <c r="N561" s="588"/>
    </row>
    <row r="562" spans="1:14">
      <c r="A562" s="584"/>
      <c r="B562" s="585"/>
      <c r="C562" s="585"/>
      <c r="D562" s="586"/>
      <c r="E562" s="586"/>
      <c r="F562" s="586"/>
      <c r="G562" s="586"/>
      <c r="H562" s="586"/>
      <c r="I562" s="586"/>
      <c r="J562" s="586"/>
      <c r="K562" s="586"/>
      <c r="L562" s="587"/>
      <c r="M562" s="588"/>
      <c r="N562" s="588"/>
    </row>
    <row r="563" spans="1:14">
      <c r="A563" s="584"/>
      <c r="B563" s="585"/>
      <c r="C563" s="585"/>
      <c r="D563" s="586"/>
      <c r="E563" s="586"/>
      <c r="F563" s="586"/>
      <c r="G563" s="586"/>
      <c r="H563" s="586"/>
      <c r="I563" s="586"/>
      <c r="J563" s="586"/>
      <c r="K563" s="586"/>
      <c r="L563" s="587"/>
      <c r="M563" s="588"/>
      <c r="N563" s="588"/>
    </row>
    <row r="564" spans="1:14">
      <c r="A564" s="584"/>
      <c r="B564" s="585"/>
      <c r="C564" s="585"/>
      <c r="D564" s="586"/>
      <c r="E564" s="586"/>
      <c r="F564" s="586"/>
      <c r="G564" s="586"/>
      <c r="H564" s="586"/>
      <c r="I564" s="586"/>
      <c r="J564" s="586"/>
      <c r="K564" s="586"/>
      <c r="L564" s="587"/>
      <c r="M564" s="588"/>
      <c r="N564" s="588"/>
    </row>
    <row r="565" spans="1:14">
      <c r="A565" s="584"/>
      <c r="B565" s="585"/>
      <c r="C565" s="585"/>
      <c r="D565" s="586"/>
      <c r="E565" s="586"/>
      <c r="F565" s="586"/>
      <c r="G565" s="586"/>
      <c r="H565" s="586"/>
      <c r="I565" s="586"/>
      <c r="J565" s="586"/>
      <c r="K565" s="586"/>
      <c r="L565" s="587"/>
      <c r="M565" s="588"/>
      <c r="N565" s="588"/>
    </row>
    <row r="566" spans="1:14">
      <c r="A566" s="584"/>
      <c r="B566" s="585"/>
      <c r="C566" s="585"/>
      <c r="D566" s="586"/>
      <c r="E566" s="586"/>
      <c r="F566" s="586"/>
      <c r="G566" s="586"/>
      <c r="H566" s="586"/>
      <c r="I566" s="586"/>
      <c r="J566" s="586"/>
      <c r="K566" s="586"/>
      <c r="L566" s="587"/>
      <c r="M566" s="588"/>
      <c r="N566" s="588"/>
    </row>
    <row r="567" spans="1:14">
      <c r="A567" s="584"/>
      <c r="B567" s="585"/>
      <c r="C567" s="585"/>
      <c r="D567" s="586"/>
      <c r="E567" s="586"/>
      <c r="F567" s="586"/>
      <c r="G567" s="586"/>
      <c r="H567" s="586"/>
      <c r="I567" s="586"/>
      <c r="J567" s="586"/>
      <c r="K567" s="586"/>
      <c r="L567" s="587"/>
      <c r="M567" s="588"/>
      <c r="N567" s="588"/>
    </row>
    <row r="568" spans="1:14">
      <c r="A568" s="584"/>
      <c r="B568" s="585"/>
      <c r="C568" s="585"/>
      <c r="D568" s="586"/>
      <c r="E568" s="586"/>
      <c r="F568" s="586"/>
      <c r="G568" s="586"/>
      <c r="H568" s="586"/>
      <c r="I568" s="586"/>
      <c r="J568" s="586"/>
      <c r="K568" s="586"/>
      <c r="L568" s="587"/>
      <c r="M568" s="588"/>
      <c r="N568" s="588"/>
    </row>
    <row r="569" spans="1:14">
      <c r="A569" s="584"/>
      <c r="B569" s="585"/>
      <c r="C569" s="585"/>
      <c r="D569" s="586"/>
      <c r="E569" s="586"/>
      <c r="F569" s="586"/>
      <c r="G569" s="586"/>
      <c r="H569" s="586"/>
      <c r="I569" s="586"/>
      <c r="J569" s="586"/>
      <c r="K569" s="586"/>
      <c r="L569" s="587"/>
      <c r="M569" s="588"/>
      <c r="N569" s="588"/>
    </row>
    <row r="570" spans="1:14">
      <c r="A570" s="584"/>
      <c r="B570" s="585"/>
      <c r="C570" s="585"/>
      <c r="D570" s="586"/>
      <c r="E570" s="586"/>
      <c r="F570" s="586"/>
      <c r="G570" s="586"/>
      <c r="H570" s="586"/>
      <c r="I570" s="586"/>
      <c r="J570" s="586"/>
      <c r="K570" s="586"/>
      <c r="L570" s="587"/>
      <c r="M570" s="588"/>
      <c r="N570" s="588"/>
    </row>
    <row r="571" spans="1:14">
      <c r="A571" s="584"/>
      <c r="B571" s="585"/>
      <c r="C571" s="585"/>
      <c r="D571" s="586"/>
      <c r="E571" s="586"/>
      <c r="F571" s="586"/>
      <c r="G571" s="586"/>
      <c r="H571" s="586"/>
      <c r="I571" s="586"/>
      <c r="J571" s="586"/>
      <c r="K571" s="586"/>
      <c r="L571" s="587"/>
      <c r="M571" s="588"/>
      <c r="N571" s="588"/>
    </row>
    <row r="572" spans="1:14">
      <c r="A572" s="584"/>
      <c r="B572" s="585"/>
      <c r="C572" s="585"/>
      <c r="D572" s="586"/>
      <c r="E572" s="586"/>
      <c r="F572" s="586"/>
      <c r="G572" s="586"/>
      <c r="H572" s="586"/>
      <c r="I572" s="586"/>
      <c r="J572" s="586"/>
      <c r="K572" s="586"/>
      <c r="L572" s="587"/>
      <c r="M572" s="588"/>
      <c r="N572" s="588"/>
    </row>
    <row r="573" spans="1:14">
      <c r="A573" s="584"/>
      <c r="B573" s="585"/>
      <c r="C573" s="585"/>
      <c r="D573" s="586"/>
      <c r="E573" s="586"/>
      <c r="F573" s="586"/>
      <c r="G573" s="586"/>
      <c r="H573" s="586"/>
      <c r="I573" s="586"/>
      <c r="J573" s="586"/>
      <c r="K573" s="586"/>
      <c r="L573" s="587"/>
      <c r="M573" s="588"/>
      <c r="N573" s="588"/>
    </row>
    <row r="574" spans="1:14">
      <c r="A574" s="584"/>
      <c r="B574" s="585"/>
      <c r="C574" s="585"/>
      <c r="D574" s="586"/>
      <c r="E574" s="586"/>
      <c r="F574" s="586"/>
      <c r="G574" s="586"/>
      <c r="H574" s="586"/>
      <c r="I574" s="586"/>
      <c r="J574" s="586"/>
      <c r="K574" s="586"/>
      <c r="L574" s="587"/>
      <c r="M574" s="588"/>
      <c r="N574" s="588"/>
    </row>
    <row r="575" spans="1:14">
      <c r="A575" s="584"/>
      <c r="B575" s="585"/>
      <c r="C575" s="585"/>
      <c r="D575" s="586"/>
      <c r="E575" s="586"/>
      <c r="F575" s="586"/>
      <c r="G575" s="586"/>
      <c r="H575" s="586"/>
      <c r="I575" s="586"/>
      <c r="J575" s="586"/>
      <c r="K575" s="586"/>
      <c r="L575" s="587"/>
      <c r="M575" s="588"/>
      <c r="N575" s="588"/>
    </row>
    <row r="576" spans="1:14">
      <c r="A576" s="584"/>
      <c r="B576" s="585"/>
      <c r="C576" s="585"/>
      <c r="D576" s="586"/>
      <c r="E576" s="586"/>
      <c r="F576" s="586"/>
      <c r="G576" s="586"/>
      <c r="H576" s="586"/>
      <c r="I576" s="586"/>
      <c r="J576" s="586"/>
      <c r="K576" s="586"/>
      <c r="L576" s="587"/>
      <c r="M576" s="588"/>
      <c r="N576" s="588"/>
    </row>
    <row r="577" spans="1:14">
      <c r="A577" s="584"/>
      <c r="B577" s="585"/>
      <c r="C577" s="585"/>
      <c r="D577" s="586"/>
      <c r="E577" s="586"/>
      <c r="F577" s="586"/>
      <c r="G577" s="586"/>
      <c r="H577" s="586"/>
      <c r="I577" s="586"/>
      <c r="J577" s="586"/>
      <c r="K577" s="586"/>
      <c r="L577" s="587"/>
      <c r="M577" s="588"/>
      <c r="N577" s="588"/>
    </row>
    <row r="578" spans="1:14">
      <c r="A578" s="584"/>
      <c r="B578" s="585"/>
      <c r="C578" s="585"/>
      <c r="D578" s="586"/>
      <c r="E578" s="586"/>
      <c r="F578" s="586"/>
      <c r="G578" s="586"/>
      <c r="H578" s="586"/>
      <c r="I578" s="586"/>
      <c r="J578" s="586"/>
      <c r="K578" s="586"/>
      <c r="L578" s="587"/>
      <c r="M578" s="588"/>
      <c r="N578" s="588"/>
    </row>
    <row r="579" spans="1:14">
      <c r="A579" s="584"/>
      <c r="B579" s="585"/>
      <c r="C579" s="585"/>
      <c r="D579" s="586"/>
      <c r="E579" s="586"/>
      <c r="F579" s="586"/>
      <c r="G579" s="586"/>
      <c r="H579" s="586"/>
      <c r="I579" s="586"/>
      <c r="J579" s="586"/>
      <c r="K579" s="586"/>
      <c r="L579" s="587"/>
      <c r="M579" s="588"/>
      <c r="N579" s="588"/>
    </row>
    <row r="580" spans="1:14">
      <c r="A580" s="584"/>
      <c r="B580" s="585"/>
      <c r="C580" s="585"/>
      <c r="D580" s="586"/>
      <c r="E580" s="586"/>
      <c r="F580" s="586"/>
      <c r="G580" s="586"/>
      <c r="H580" s="586"/>
      <c r="I580" s="586"/>
      <c r="J580" s="586"/>
      <c r="K580" s="586"/>
      <c r="L580" s="587"/>
      <c r="M580" s="588"/>
      <c r="N580" s="588"/>
    </row>
    <row r="581" spans="1:14">
      <c r="A581" s="584"/>
      <c r="B581" s="585"/>
      <c r="C581" s="585"/>
      <c r="D581" s="586"/>
      <c r="E581" s="586"/>
      <c r="F581" s="586"/>
      <c r="G581" s="586"/>
      <c r="H581" s="586"/>
      <c r="I581" s="586"/>
      <c r="J581" s="586"/>
      <c r="K581" s="586"/>
      <c r="L581" s="587"/>
      <c r="M581" s="588"/>
      <c r="N581" s="588"/>
    </row>
    <row r="582" spans="1:14">
      <c r="A582" s="584"/>
      <c r="B582" s="585"/>
      <c r="C582" s="585"/>
      <c r="D582" s="586"/>
      <c r="E582" s="586"/>
      <c r="F582" s="586"/>
      <c r="G582" s="586"/>
      <c r="H582" s="586"/>
      <c r="I582" s="586"/>
      <c r="J582" s="586"/>
      <c r="K582" s="586"/>
      <c r="L582" s="587"/>
      <c r="M582" s="588"/>
      <c r="N582" s="588"/>
    </row>
    <row r="583" spans="1:14">
      <c r="A583" s="584"/>
      <c r="B583" s="585"/>
      <c r="C583" s="585"/>
      <c r="D583" s="586"/>
      <c r="E583" s="586"/>
      <c r="F583" s="586"/>
      <c r="G583" s="586"/>
      <c r="H583" s="586"/>
      <c r="I583" s="586"/>
      <c r="J583" s="586"/>
      <c r="K583" s="586"/>
      <c r="L583" s="587"/>
      <c r="M583" s="588"/>
      <c r="N583" s="588"/>
    </row>
    <row r="584" spans="1:14">
      <c r="A584" s="584"/>
      <c r="B584" s="585"/>
      <c r="C584" s="585"/>
      <c r="D584" s="586"/>
      <c r="E584" s="586"/>
      <c r="F584" s="586"/>
      <c r="G584" s="586"/>
      <c r="H584" s="586"/>
      <c r="I584" s="586"/>
      <c r="J584" s="586"/>
      <c r="K584" s="586"/>
      <c r="L584" s="587"/>
      <c r="M584" s="588"/>
      <c r="N584" s="588"/>
    </row>
    <row r="585" spans="1:14">
      <c r="A585" s="584"/>
      <c r="B585" s="585"/>
      <c r="C585" s="585"/>
      <c r="D585" s="586"/>
      <c r="E585" s="586"/>
      <c r="F585" s="586"/>
      <c r="G585" s="586"/>
      <c r="H585" s="586"/>
      <c r="I585" s="586"/>
      <c r="J585" s="586"/>
      <c r="K585" s="586"/>
      <c r="L585" s="587"/>
      <c r="M585" s="588"/>
      <c r="N585" s="588"/>
    </row>
    <row r="586" spans="1:14">
      <c r="A586" s="584"/>
      <c r="B586" s="585"/>
      <c r="C586" s="585"/>
      <c r="D586" s="586"/>
      <c r="E586" s="586"/>
      <c r="F586" s="586"/>
      <c r="G586" s="586"/>
      <c r="H586" s="586"/>
      <c r="I586" s="586"/>
      <c r="J586" s="586"/>
      <c r="K586" s="586"/>
      <c r="L586" s="587"/>
      <c r="M586" s="588"/>
      <c r="N586" s="588"/>
    </row>
    <row r="587" spans="1:14">
      <c r="A587" s="584"/>
      <c r="B587" s="585"/>
      <c r="C587" s="585"/>
      <c r="D587" s="586"/>
      <c r="E587" s="586"/>
      <c r="F587" s="586"/>
      <c r="G587" s="586"/>
      <c r="H587" s="586"/>
      <c r="I587" s="586"/>
      <c r="J587" s="586"/>
      <c r="K587" s="586"/>
      <c r="L587" s="587"/>
      <c r="M587" s="588"/>
      <c r="N587" s="588"/>
    </row>
    <row r="588" spans="1:14">
      <c r="A588" s="584"/>
      <c r="B588" s="585"/>
      <c r="C588" s="585"/>
      <c r="D588" s="586"/>
      <c r="E588" s="586"/>
      <c r="F588" s="586"/>
      <c r="G588" s="586"/>
      <c r="H588" s="586"/>
      <c r="I588" s="586"/>
      <c r="J588" s="586"/>
      <c r="K588" s="586"/>
      <c r="L588" s="587"/>
      <c r="M588" s="588"/>
      <c r="N588" s="588"/>
    </row>
    <row r="589" spans="1:14">
      <c r="A589" s="584"/>
      <c r="B589" s="585"/>
      <c r="C589" s="585"/>
      <c r="D589" s="586"/>
      <c r="E589" s="586"/>
      <c r="F589" s="586"/>
      <c r="G589" s="586"/>
      <c r="H589" s="586"/>
      <c r="I589" s="586"/>
      <c r="J589" s="586"/>
      <c r="K589" s="586"/>
      <c r="L589" s="587"/>
      <c r="M589" s="588"/>
      <c r="N589" s="588"/>
    </row>
    <row r="590" spans="1:14">
      <c r="A590" s="584"/>
      <c r="B590" s="585"/>
      <c r="C590" s="585"/>
      <c r="D590" s="586"/>
      <c r="E590" s="586"/>
      <c r="F590" s="586"/>
      <c r="G590" s="586"/>
      <c r="H590" s="586"/>
      <c r="I590" s="586"/>
      <c r="J590" s="586"/>
      <c r="K590" s="586"/>
      <c r="L590" s="587"/>
      <c r="M590" s="588"/>
      <c r="N590" s="588"/>
    </row>
    <row r="591" spans="1:14">
      <c r="A591" s="584"/>
      <c r="B591" s="585"/>
      <c r="C591" s="585"/>
      <c r="D591" s="586"/>
      <c r="E591" s="586"/>
      <c r="F591" s="586"/>
      <c r="G591" s="586"/>
      <c r="H591" s="586"/>
      <c r="I591" s="586"/>
      <c r="J591" s="586"/>
      <c r="K591" s="586"/>
      <c r="L591" s="587"/>
      <c r="M591" s="588"/>
      <c r="N591" s="588"/>
    </row>
    <row r="592" spans="1:14">
      <c r="A592" s="584"/>
      <c r="B592" s="585"/>
      <c r="C592" s="585"/>
      <c r="D592" s="586"/>
      <c r="E592" s="586"/>
      <c r="F592" s="586"/>
      <c r="G592" s="586"/>
      <c r="H592" s="586"/>
      <c r="I592" s="586"/>
      <c r="J592" s="586"/>
      <c r="K592" s="586"/>
      <c r="L592" s="587"/>
      <c r="M592" s="588"/>
      <c r="N592" s="588"/>
    </row>
    <row r="593" spans="1:14">
      <c r="A593" s="584"/>
      <c r="B593" s="585"/>
      <c r="C593" s="585"/>
      <c r="D593" s="586"/>
      <c r="E593" s="586"/>
      <c r="F593" s="586"/>
      <c r="G593" s="586"/>
      <c r="H593" s="586"/>
      <c r="I593" s="586"/>
      <c r="J593" s="586"/>
      <c r="K593" s="586"/>
      <c r="L593" s="587"/>
      <c r="M593" s="588"/>
      <c r="N593" s="588"/>
    </row>
    <row r="594" spans="1:14">
      <c r="A594" s="584"/>
      <c r="B594" s="585"/>
      <c r="C594" s="585"/>
      <c r="D594" s="586"/>
      <c r="E594" s="586"/>
      <c r="F594" s="586"/>
      <c r="G594" s="586"/>
      <c r="H594" s="586"/>
      <c r="I594" s="586"/>
      <c r="J594" s="586"/>
      <c r="K594" s="586"/>
      <c r="L594" s="587"/>
      <c r="M594" s="588"/>
      <c r="N594" s="588"/>
    </row>
    <row r="595" spans="1:14">
      <c r="A595" s="584"/>
      <c r="B595" s="585"/>
      <c r="C595" s="585"/>
      <c r="D595" s="586"/>
      <c r="E595" s="586"/>
      <c r="F595" s="586"/>
      <c r="G595" s="586"/>
      <c r="H595" s="586"/>
      <c r="I595" s="586"/>
      <c r="J595" s="586"/>
      <c r="K595" s="586"/>
      <c r="L595" s="587"/>
      <c r="M595" s="588"/>
      <c r="N595" s="588"/>
    </row>
    <row r="596" spans="1:14">
      <c r="A596" s="584"/>
      <c r="B596" s="585"/>
      <c r="C596" s="585"/>
      <c r="D596" s="586"/>
      <c r="E596" s="586"/>
      <c r="F596" s="586"/>
      <c r="G596" s="586"/>
      <c r="H596" s="586"/>
      <c r="I596" s="586"/>
      <c r="J596" s="586"/>
      <c r="K596" s="586"/>
      <c r="L596" s="587"/>
      <c r="M596" s="588"/>
      <c r="N596" s="588"/>
    </row>
    <row r="597" spans="1:14">
      <c r="A597" s="584"/>
      <c r="B597" s="585"/>
      <c r="C597" s="585"/>
      <c r="D597" s="586"/>
      <c r="E597" s="586"/>
      <c r="F597" s="586"/>
      <c r="G597" s="586"/>
      <c r="H597" s="586"/>
      <c r="I597" s="586"/>
      <c r="J597" s="586"/>
      <c r="K597" s="586"/>
      <c r="L597" s="587"/>
      <c r="M597" s="588"/>
      <c r="N597" s="588"/>
    </row>
    <row r="598" spans="1:14">
      <c r="A598" s="584"/>
      <c r="B598" s="585"/>
      <c r="C598" s="585"/>
      <c r="D598" s="586"/>
      <c r="E598" s="586"/>
      <c r="F598" s="586"/>
      <c r="G598" s="586"/>
      <c r="H598" s="586"/>
      <c r="I598" s="586"/>
      <c r="J598" s="586"/>
      <c r="K598" s="586"/>
      <c r="L598" s="587"/>
      <c r="M598" s="588"/>
      <c r="N598" s="588"/>
    </row>
    <row r="599" spans="1:14">
      <c r="A599" s="584"/>
      <c r="B599" s="585"/>
      <c r="C599" s="585"/>
      <c r="D599" s="586"/>
      <c r="E599" s="586"/>
      <c r="F599" s="586"/>
      <c r="G599" s="586"/>
      <c r="H599" s="586"/>
      <c r="I599" s="586"/>
      <c r="J599" s="586"/>
      <c r="K599" s="586"/>
      <c r="L599" s="587"/>
      <c r="M599" s="588"/>
      <c r="N599" s="588"/>
    </row>
    <row r="600" spans="1:14">
      <c r="A600" s="584"/>
      <c r="B600" s="585"/>
      <c r="C600" s="585"/>
      <c r="D600" s="586"/>
      <c r="E600" s="586"/>
      <c r="F600" s="586"/>
      <c r="G600" s="586"/>
      <c r="H600" s="586"/>
      <c r="I600" s="586"/>
      <c r="J600" s="586"/>
      <c r="K600" s="586"/>
      <c r="L600" s="587"/>
      <c r="M600" s="588"/>
      <c r="N600" s="588"/>
    </row>
    <row r="601" spans="1:14">
      <c r="A601" s="584"/>
      <c r="B601" s="585"/>
      <c r="C601" s="585"/>
      <c r="D601" s="586"/>
      <c r="E601" s="586"/>
      <c r="F601" s="586"/>
      <c r="G601" s="586"/>
      <c r="H601" s="586"/>
      <c r="I601" s="586"/>
      <c r="J601" s="586"/>
      <c r="K601" s="586"/>
      <c r="L601" s="587"/>
      <c r="M601" s="588"/>
      <c r="N601" s="588"/>
    </row>
    <row r="602" spans="1:14">
      <c r="A602" s="584"/>
      <c r="B602" s="585"/>
      <c r="C602" s="585"/>
      <c r="D602" s="586"/>
      <c r="E602" s="586"/>
      <c r="F602" s="586"/>
      <c r="G602" s="586"/>
      <c r="H602" s="586"/>
      <c r="I602" s="586"/>
      <c r="J602" s="586"/>
      <c r="K602" s="586"/>
      <c r="L602" s="587"/>
      <c r="M602" s="588"/>
      <c r="N602" s="588"/>
    </row>
    <row r="603" spans="1:14">
      <c r="A603" s="584"/>
      <c r="B603" s="585"/>
      <c r="C603" s="585"/>
      <c r="D603" s="586"/>
      <c r="E603" s="586"/>
      <c r="F603" s="586"/>
      <c r="G603" s="586"/>
      <c r="H603" s="586"/>
      <c r="I603" s="586"/>
      <c r="J603" s="586"/>
      <c r="K603" s="586"/>
      <c r="L603" s="587"/>
      <c r="M603" s="588"/>
      <c r="N603" s="588"/>
    </row>
    <row r="604" spans="1:14">
      <c r="A604" s="584"/>
      <c r="B604" s="585"/>
      <c r="C604" s="585"/>
      <c r="D604" s="586"/>
      <c r="E604" s="586"/>
      <c r="F604" s="586"/>
      <c r="G604" s="586"/>
      <c r="H604" s="586"/>
      <c r="I604" s="586"/>
      <c r="J604" s="586"/>
      <c r="K604" s="586"/>
      <c r="L604" s="587"/>
      <c r="M604" s="588"/>
      <c r="N604" s="588"/>
    </row>
    <row r="605" spans="1:14">
      <c r="A605" s="584"/>
      <c r="B605" s="585"/>
      <c r="C605" s="585"/>
      <c r="D605" s="586"/>
      <c r="E605" s="586"/>
      <c r="F605" s="586"/>
      <c r="G605" s="586"/>
      <c r="H605" s="586"/>
      <c r="I605" s="586"/>
      <c r="J605" s="586"/>
      <c r="K605" s="586"/>
      <c r="L605" s="587"/>
      <c r="M605" s="588"/>
      <c r="N605" s="588"/>
    </row>
    <row r="606" spans="1:14">
      <c r="A606" s="584"/>
      <c r="B606" s="585"/>
      <c r="C606" s="585"/>
      <c r="D606" s="586"/>
      <c r="E606" s="586"/>
      <c r="F606" s="586"/>
      <c r="G606" s="586"/>
      <c r="H606" s="586"/>
      <c r="I606" s="586"/>
      <c r="J606" s="586"/>
      <c r="K606" s="586"/>
      <c r="L606" s="587"/>
      <c r="M606" s="588"/>
      <c r="N606" s="588"/>
    </row>
    <row r="607" spans="1:14">
      <c r="A607" s="584"/>
      <c r="B607" s="585"/>
      <c r="C607" s="585"/>
      <c r="D607" s="586"/>
      <c r="E607" s="586"/>
      <c r="F607" s="586"/>
      <c r="G607" s="586"/>
      <c r="H607" s="586"/>
      <c r="I607" s="586"/>
      <c r="J607" s="586"/>
      <c r="K607" s="586"/>
      <c r="L607" s="587"/>
      <c r="M607" s="588"/>
      <c r="N607" s="588"/>
    </row>
    <row r="608" spans="1:14">
      <c r="A608" s="584"/>
      <c r="B608" s="585"/>
      <c r="C608" s="585"/>
      <c r="D608" s="586"/>
      <c r="E608" s="586"/>
      <c r="F608" s="586"/>
      <c r="G608" s="586"/>
      <c r="H608" s="586"/>
      <c r="I608" s="586"/>
      <c r="J608" s="586"/>
      <c r="K608" s="586"/>
      <c r="L608" s="587"/>
      <c r="M608" s="588"/>
      <c r="N608" s="588"/>
    </row>
    <row r="609" spans="1:14">
      <c r="A609" s="584"/>
      <c r="B609" s="585"/>
      <c r="C609" s="585"/>
      <c r="D609" s="586"/>
      <c r="E609" s="586"/>
      <c r="F609" s="586"/>
      <c r="G609" s="586"/>
      <c r="H609" s="586"/>
      <c r="I609" s="586"/>
      <c r="J609" s="586"/>
      <c r="K609" s="586"/>
      <c r="L609" s="587"/>
      <c r="M609" s="588"/>
      <c r="N609" s="588"/>
    </row>
    <row r="610" spans="1:14">
      <c r="A610" s="584"/>
      <c r="B610" s="585"/>
      <c r="C610" s="585"/>
      <c r="D610" s="586"/>
      <c r="E610" s="586"/>
      <c r="F610" s="586"/>
      <c r="G610" s="586"/>
      <c r="H610" s="586"/>
      <c r="I610" s="586"/>
      <c r="J610" s="586"/>
      <c r="K610" s="586"/>
      <c r="L610" s="587"/>
      <c r="M610" s="588"/>
      <c r="N610" s="588"/>
    </row>
    <row r="611" spans="1:14">
      <c r="A611" s="584"/>
      <c r="B611" s="585"/>
      <c r="C611" s="585"/>
      <c r="D611" s="586"/>
      <c r="E611" s="586"/>
      <c r="F611" s="586"/>
      <c r="G611" s="586"/>
      <c r="H611" s="586"/>
      <c r="I611" s="586"/>
      <c r="J611" s="586"/>
      <c r="K611" s="586"/>
      <c r="L611" s="587"/>
      <c r="M611" s="588"/>
      <c r="N611" s="588"/>
    </row>
    <row r="612" spans="1:14">
      <c r="A612" s="584"/>
      <c r="B612" s="585"/>
      <c r="C612" s="585"/>
      <c r="D612" s="586"/>
      <c r="E612" s="586"/>
      <c r="F612" s="586"/>
      <c r="G612" s="586"/>
      <c r="H612" s="586"/>
      <c r="I612" s="586"/>
      <c r="J612" s="586"/>
      <c r="K612" s="586"/>
      <c r="L612" s="587"/>
      <c r="M612" s="588"/>
      <c r="N612" s="588"/>
    </row>
    <row r="613" spans="1:14">
      <c r="A613" s="584"/>
      <c r="B613" s="585"/>
      <c r="C613" s="585"/>
      <c r="D613" s="586"/>
      <c r="E613" s="586"/>
      <c r="F613" s="586"/>
      <c r="G613" s="586"/>
      <c r="H613" s="586"/>
      <c r="I613" s="586"/>
      <c r="J613" s="586"/>
      <c r="K613" s="586"/>
      <c r="L613" s="587"/>
      <c r="M613" s="588"/>
      <c r="N613" s="588"/>
    </row>
    <row r="614" spans="1:14">
      <c r="A614" s="584"/>
      <c r="B614" s="585"/>
      <c r="C614" s="585"/>
      <c r="D614" s="586"/>
      <c r="E614" s="586"/>
      <c r="F614" s="586"/>
      <c r="G614" s="586"/>
      <c r="H614" s="586"/>
      <c r="I614" s="586"/>
      <c r="J614" s="586"/>
      <c r="K614" s="586"/>
      <c r="L614" s="587"/>
      <c r="M614" s="588"/>
      <c r="N614" s="588"/>
    </row>
    <row r="615" spans="1:14">
      <c r="A615" s="584"/>
      <c r="B615" s="585"/>
      <c r="C615" s="585"/>
      <c r="D615" s="586"/>
      <c r="E615" s="586"/>
      <c r="F615" s="586"/>
      <c r="G615" s="586"/>
      <c r="H615" s="586"/>
      <c r="I615" s="586"/>
      <c r="J615" s="586"/>
      <c r="K615" s="586"/>
      <c r="L615" s="587"/>
      <c r="M615" s="588"/>
      <c r="N615" s="588"/>
    </row>
    <row r="616" spans="1:14">
      <c r="A616" s="584"/>
      <c r="B616" s="585"/>
      <c r="C616" s="585"/>
      <c r="D616" s="586"/>
      <c r="E616" s="586"/>
      <c r="F616" s="586"/>
      <c r="G616" s="586"/>
      <c r="H616" s="586"/>
      <c r="I616" s="586"/>
      <c r="J616" s="586"/>
      <c r="K616" s="586"/>
      <c r="L616" s="587"/>
      <c r="M616" s="588"/>
      <c r="N616" s="588"/>
    </row>
    <row r="617" spans="1:14">
      <c r="A617" s="584"/>
      <c r="B617" s="585"/>
      <c r="C617" s="585"/>
      <c r="D617" s="586"/>
      <c r="E617" s="586"/>
      <c r="F617" s="586"/>
      <c r="G617" s="586"/>
      <c r="H617" s="586"/>
      <c r="I617" s="586"/>
      <c r="J617" s="586"/>
      <c r="K617" s="586"/>
      <c r="L617" s="587"/>
      <c r="M617" s="588"/>
      <c r="N617" s="588"/>
    </row>
    <row r="618" spans="1:14">
      <c r="A618" s="584"/>
      <c r="B618" s="585"/>
      <c r="C618" s="585"/>
      <c r="D618" s="586"/>
      <c r="E618" s="586"/>
      <c r="F618" s="586"/>
      <c r="G618" s="586"/>
      <c r="H618" s="586"/>
      <c r="I618" s="586"/>
      <c r="J618" s="586"/>
      <c r="K618" s="586"/>
      <c r="L618" s="587"/>
      <c r="M618" s="588"/>
      <c r="N618" s="588"/>
    </row>
    <row r="619" spans="1:14">
      <c r="A619" s="584"/>
      <c r="B619" s="585"/>
      <c r="C619" s="585"/>
      <c r="D619" s="586"/>
      <c r="E619" s="586"/>
      <c r="F619" s="586"/>
      <c r="G619" s="586"/>
      <c r="H619" s="586"/>
      <c r="I619" s="586"/>
      <c r="J619" s="586"/>
      <c r="K619" s="586"/>
      <c r="L619" s="587"/>
      <c r="M619" s="588"/>
      <c r="N619" s="588"/>
    </row>
    <row r="620" spans="1:14">
      <c r="A620" s="584"/>
      <c r="B620" s="585"/>
      <c r="C620" s="585"/>
      <c r="D620" s="586"/>
      <c r="E620" s="586"/>
      <c r="F620" s="586"/>
      <c r="G620" s="586"/>
      <c r="H620" s="586"/>
      <c r="I620" s="586"/>
      <c r="J620" s="586"/>
      <c r="K620" s="586"/>
      <c r="L620" s="587"/>
      <c r="M620" s="588"/>
      <c r="N620" s="588"/>
    </row>
    <row r="621" spans="1:14">
      <c r="A621" s="584"/>
      <c r="B621" s="585"/>
      <c r="C621" s="585"/>
      <c r="D621" s="586"/>
      <c r="E621" s="586"/>
      <c r="F621" s="586"/>
      <c r="G621" s="586"/>
      <c r="H621" s="586"/>
      <c r="I621" s="586"/>
      <c r="J621" s="586"/>
      <c r="K621" s="586"/>
      <c r="L621" s="587"/>
      <c r="M621" s="588"/>
      <c r="N621" s="588"/>
    </row>
    <row r="622" spans="1:14">
      <c r="A622" s="584"/>
      <c r="B622" s="585"/>
      <c r="C622" s="585"/>
      <c r="D622" s="586"/>
      <c r="E622" s="586"/>
      <c r="F622" s="586"/>
      <c r="G622" s="586"/>
      <c r="H622" s="586"/>
      <c r="I622" s="586"/>
      <c r="J622" s="586"/>
      <c r="K622" s="586"/>
      <c r="L622" s="587"/>
      <c r="M622" s="588"/>
      <c r="N622" s="588"/>
    </row>
    <row r="623" spans="1:14">
      <c r="A623" s="584"/>
      <c r="B623" s="585"/>
      <c r="C623" s="585"/>
      <c r="D623" s="586"/>
      <c r="E623" s="586"/>
      <c r="F623" s="586"/>
      <c r="G623" s="586"/>
      <c r="H623" s="586"/>
      <c r="I623" s="586"/>
      <c r="J623" s="586"/>
      <c r="K623" s="586"/>
      <c r="L623" s="587"/>
      <c r="M623" s="588"/>
      <c r="N623" s="588"/>
    </row>
    <row r="624" spans="1:14">
      <c r="A624" s="584"/>
      <c r="B624" s="585"/>
      <c r="C624" s="585"/>
      <c r="D624" s="586"/>
      <c r="E624" s="586"/>
      <c r="F624" s="586"/>
      <c r="G624" s="586"/>
      <c r="H624" s="586"/>
      <c r="I624" s="586"/>
      <c r="J624" s="586"/>
      <c r="K624" s="586"/>
      <c r="L624" s="587"/>
      <c r="M624" s="588"/>
      <c r="N624" s="588"/>
    </row>
    <row r="625" spans="1:14">
      <c r="A625" s="584"/>
      <c r="B625" s="585"/>
      <c r="C625" s="585"/>
      <c r="D625" s="586"/>
      <c r="E625" s="586"/>
      <c r="F625" s="586"/>
      <c r="G625" s="586"/>
      <c r="H625" s="586"/>
      <c r="I625" s="586"/>
      <c r="J625" s="586"/>
      <c r="K625" s="586"/>
      <c r="L625" s="587"/>
      <c r="M625" s="588"/>
      <c r="N625" s="588"/>
    </row>
    <row r="626" spans="1:14">
      <c r="A626" s="584"/>
      <c r="B626" s="585"/>
      <c r="C626" s="585"/>
      <c r="D626" s="586"/>
      <c r="E626" s="586"/>
      <c r="F626" s="586"/>
      <c r="G626" s="586"/>
      <c r="H626" s="586"/>
      <c r="I626" s="586"/>
      <c r="J626" s="586"/>
      <c r="K626" s="586"/>
      <c r="L626" s="587"/>
      <c r="M626" s="588"/>
      <c r="N626" s="588"/>
    </row>
    <row r="627" spans="1:14">
      <c r="A627" s="584"/>
      <c r="B627" s="585"/>
      <c r="C627" s="585"/>
      <c r="D627" s="586"/>
      <c r="E627" s="586"/>
      <c r="F627" s="586"/>
      <c r="G627" s="586"/>
      <c r="H627" s="586"/>
      <c r="I627" s="586"/>
      <c r="J627" s="586"/>
      <c r="K627" s="586"/>
      <c r="L627" s="587"/>
      <c r="M627" s="588"/>
      <c r="N627" s="588"/>
    </row>
    <row r="628" spans="1:14">
      <c r="A628" s="584"/>
      <c r="B628" s="585"/>
      <c r="C628" s="585"/>
      <c r="D628" s="586"/>
      <c r="E628" s="586"/>
      <c r="F628" s="586"/>
      <c r="G628" s="586"/>
      <c r="H628" s="586"/>
      <c r="I628" s="586"/>
      <c r="J628" s="586"/>
      <c r="K628" s="586"/>
      <c r="L628" s="587"/>
      <c r="M628" s="588"/>
      <c r="N628" s="588"/>
    </row>
    <row r="629" spans="1:14">
      <c r="A629" s="584"/>
      <c r="B629" s="585"/>
      <c r="C629" s="585"/>
      <c r="D629" s="586"/>
      <c r="E629" s="586"/>
      <c r="F629" s="586"/>
      <c r="G629" s="586"/>
      <c r="H629" s="586"/>
      <c r="I629" s="586"/>
      <c r="J629" s="586"/>
      <c r="K629" s="586"/>
      <c r="L629" s="587"/>
      <c r="M629" s="588"/>
      <c r="N629" s="588"/>
    </row>
    <row r="630" spans="1:14">
      <c r="A630" s="584"/>
      <c r="B630" s="585"/>
      <c r="C630" s="585"/>
      <c r="D630" s="586"/>
      <c r="E630" s="586"/>
      <c r="F630" s="586"/>
      <c r="G630" s="586"/>
      <c r="H630" s="586"/>
      <c r="I630" s="586"/>
      <c r="J630" s="586"/>
      <c r="K630" s="586"/>
      <c r="L630" s="587"/>
      <c r="M630" s="588"/>
      <c r="N630" s="588"/>
    </row>
    <row r="631" spans="1:14">
      <c r="A631" s="584"/>
      <c r="B631" s="585"/>
      <c r="C631" s="585"/>
      <c r="D631" s="586"/>
      <c r="E631" s="586"/>
      <c r="F631" s="586"/>
      <c r="G631" s="586"/>
      <c r="H631" s="586"/>
      <c r="I631" s="586"/>
      <c r="J631" s="586"/>
      <c r="K631" s="586"/>
      <c r="L631" s="587"/>
      <c r="M631" s="588"/>
      <c r="N631" s="588"/>
    </row>
    <row r="632" spans="1:14">
      <c r="A632" s="584"/>
      <c r="B632" s="585"/>
      <c r="C632" s="585"/>
      <c r="D632" s="586"/>
      <c r="E632" s="586"/>
      <c r="F632" s="586"/>
      <c r="G632" s="586"/>
      <c r="H632" s="586"/>
      <c r="I632" s="586"/>
      <c r="J632" s="586"/>
      <c r="K632" s="586"/>
      <c r="L632" s="587"/>
      <c r="M632" s="588"/>
      <c r="N632" s="588"/>
    </row>
    <row r="633" spans="1:14">
      <c r="A633" s="584"/>
      <c r="B633" s="585"/>
      <c r="C633" s="585"/>
      <c r="D633" s="586"/>
      <c r="E633" s="586"/>
      <c r="F633" s="586"/>
      <c r="G633" s="586"/>
      <c r="H633" s="586"/>
      <c r="I633" s="586"/>
      <c r="J633" s="586"/>
      <c r="K633" s="586"/>
      <c r="L633" s="587"/>
      <c r="M633" s="588"/>
      <c r="N633" s="588"/>
    </row>
    <row r="634" spans="1:14">
      <c r="A634" s="584"/>
      <c r="B634" s="585"/>
      <c r="C634" s="585"/>
      <c r="D634" s="586"/>
      <c r="E634" s="586"/>
      <c r="F634" s="586"/>
      <c r="G634" s="586"/>
      <c r="H634" s="586"/>
      <c r="I634" s="586"/>
      <c r="J634" s="586"/>
      <c r="K634" s="586"/>
      <c r="L634" s="587"/>
      <c r="M634" s="588"/>
      <c r="N634" s="588"/>
    </row>
    <row r="635" spans="1:14">
      <c r="A635" s="584"/>
      <c r="B635" s="585"/>
      <c r="C635" s="585"/>
      <c r="D635" s="586"/>
      <c r="E635" s="586"/>
      <c r="F635" s="586"/>
      <c r="G635" s="586"/>
      <c r="H635" s="586"/>
      <c r="I635" s="586"/>
      <c r="J635" s="586"/>
      <c r="K635" s="586"/>
      <c r="L635" s="587"/>
      <c r="M635" s="588"/>
      <c r="N635" s="588"/>
    </row>
    <row r="636" spans="1:14">
      <c r="A636" s="584"/>
      <c r="B636" s="585"/>
      <c r="C636" s="585"/>
      <c r="D636" s="586"/>
      <c r="E636" s="586"/>
      <c r="F636" s="586"/>
      <c r="G636" s="586"/>
      <c r="H636" s="586"/>
      <c r="I636" s="586"/>
      <c r="J636" s="586"/>
      <c r="K636" s="586"/>
      <c r="L636" s="587"/>
      <c r="M636" s="588"/>
      <c r="N636" s="588"/>
    </row>
    <row r="637" spans="1:14">
      <c r="A637" s="584"/>
      <c r="B637" s="585"/>
      <c r="C637" s="585"/>
      <c r="D637" s="586"/>
      <c r="E637" s="586"/>
      <c r="F637" s="586"/>
      <c r="G637" s="586"/>
      <c r="H637" s="586"/>
      <c r="I637" s="586"/>
      <c r="J637" s="586"/>
      <c r="K637" s="586"/>
      <c r="L637" s="587"/>
      <c r="M637" s="588"/>
      <c r="N637" s="588"/>
    </row>
    <row r="638" spans="1:14">
      <c r="A638" s="584"/>
      <c r="B638" s="585"/>
      <c r="C638" s="585"/>
      <c r="D638" s="586"/>
      <c r="E638" s="586"/>
      <c r="F638" s="586"/>
      <c r="G638" s="586"/>
      <c r="H638" s="586"/>
      <c r="I638" s="586"/>
      <c r="J638" s="586"/>
      <c r="K638" s="586"/>
      <c r="L638" s="587"/>
      <c r="M638" s="588"/>
      <c r="N638" s="588"/>
    </row>
    <row r="639" spans="1:14">
      <c r="A639" s="584"/>
      <c r="B639" s="585"/>
      <c r="C639" s="585"/>
      <c r="D639" s="586"/>
      <c r="E639" s="586"/>
      <c r="F639" s="586"/>
      <c r="G639" s="586"/>
      <c r="H639" s="586"/>
      <c r="I639" s="586"/>
      <c r="J639" s="586"/>
      <c r="K639" s="586"/>
      <c r="L639" s="587"/>
      <c r="M639" s="588"/>
      <c r="N639" s="588"/>
    </row>
    <row r="640" spans="1:14">
      <c r="A640" s="584"/>
      <c r="B640" s="585"/>
      <c r="C640" s="585"/>
      <c r="D640" s="586"/>
      <c r="E640" s="586"/>
      <c r="F640" s="586"/>
      <c r="G640" s="586"/>
      <c r="H640" s="586"/>
      <c r="I640" s="586"/>
      <c r="J640" s="586"/>
      <c r="K640" s="586"/>
      <c r="L640" s="587"/>
      <c r="M640" s="588"/>
      <c r="N640" s="588"/>
    </row>
    <row r="641" spans="1:14">
      <c r="A641" s="584"/>
      <c r="B641" s="585"/>
      <c r="C641" s="585"/>
      <c r="D641" s="586"/>
      <c r="E641" s="586"/>
      <c r="F641" s="586"/>
      <c r="G641" s="586"/>
      <c r="H641" s="586"/>
      <c r="I641" s="586"/>
      <c r="J641" s="586"/>
      <c r="K641" s="586"/>
      <c r="L641" s="587"/>
      <c r="M641" s="588"/>
      <c r="N641" s="588"/>
    </row>
    <row r="642" spans="1:14">
      <c r="A642" s="584"/>
      <c r="B642" s="585"/>
      <c r="C642" s="585"/>
      <c r="D642" s="586"/>
      <c r="E642" s="586"/>
      <c r="F642" s="586"/>
      <c r="G642" s="586"/>
      <c r="H642" s="586"/>
      <c r="I642" s="586"/>
      <c r="J642" s="586"/>
      <c r="K642" s="586"/>
      <c r="L642" s="587"/>
      <c r="M642" s="588"/>
      <c r="N642" s="588"/>
    </row>
    <row r="643" spans="1:14">
      <c r="A643" s="584"/>
      <c r="B643" s="585"/>
      <c r="C643" s="585"/>
      <c r="D643" s="586"/>
      <c r="E643" s="586"/>
      <c r="F643" s="586"/>
      <c r="G643" s="586"/>
      <c r="H643" s="586"/>
      <c r="I643" s="586"/>
      <c r="J643" s="586"/>
      <c r="K643" s="586"/>
      <c r="L643" s="587"/>
      <c r="M643" s="588"/>
      <c r="N643" s="588"/>
    </row>
    <row r="644" spans="1:14">
      <c r="A644" s="584"/>
      <c r="B644" s="585"/>
      <c r="C644" s="585"/>
      <c r="D644" s="586"/>
      <c r="E644" s="586"/>
      <c r="F644" s="586"/>
      <c r="G644" s="586"/>
      <c r="H644" s="586"/>
      <c r="I644" s="586"/>
      <c r="J644" s="586"/>
      <c r="K644" s="586"/>
      <c r="L644" s="587"/>
      <c r="M644" s="588"/>
      <c r="N644" s="588"/>
    </row>
    <row r="645" spans="1:14">
      <c r="A645" s="584"/>
      <c r="B645" s="585"/>
      <c r="C645" s="585"/>
      <c r="D645" s="586"/>
      <c r="E645" s="586"/>
      <c r="F645" s="586"/>
      <c r="G645" s="586"/>
      <c r="H645" s="586"/>
      <c r="I645" s="586"/>
      <c r="J645" s="586"/>
      <c r="K645" s="586"/>
      <c r="L645" s="587"/>
      <c r="M645" s="588"/>
      <c r="N645" s="588"/>
    </row>
    <row r="646" spans="1:14">
      <c r="A646" s="584"/>
      <c r="B646" s="585"/>
      <c r="C646" s="585"/>
      <c r="D646" s="586"/>
      <c r="E646" s="586"/>
      <c r="F646" s="586"/>
      <c r="G646" s="586"/>
      <c r="H646" s="586"/>
      <c r="I646" s="586"/>
      <c r="J646" s="586"/>
      <c r="K646" s="586"/>
      <c r="L646" s="587"/>
      <c r="M646" s="588"/>
      <c r="N646" s="588"/>
    </row>
    <row r="647" spans="1:14">
      <c r="A647" s="584"/>
      <c r="B647" s="585"/>
      <c r="C647" s="585"/>
      <c r="D647" s="586"/>
      <c r="E647" s="586"/>
      <c r="F647" s="586"/>
      <c r="G647" s="586"/>
      <c r="H647" s="586"/>
      <c r="I647" s="586"/>
      <c r="J647" s="586"/>
      <c r="K647" s="586"/>
      <c r="L647" s="587"/>
      <c r="M647" s="588"/>
      <c r="N647" s="588"/>
    </row>
    <row r="648" spans="1:14">
      <c r="A648" s="584"/>
      <c r="B648" s="585"/>
      <c r="C648" s="585"/>
      <c r="D648" s="586"/>
      <c r="E648" s="586"/>
      <c r="F648" s="586"/>
      <c r="G648" s="586"/>
      <c r="H648" s="586"/>
      <c r="I648" s="586"/>
      <c r="J648" s="586"/>
      <c r="K648" s="586"/>
      <c r="L648" s="587"/>
      <c r="M648" s="588"/>
      <c r="N648" s="588"/>
    </row>
    <row r="649" spans="1:14">
      <c r="A649" s="584"/>
      <c r="B649" s="585"/>
      <c r="C649" s="585"/>
      <c r="D649" s="586"/>
      <c r="E649" s="586"/>
      <c r="F649" s="586"/>
      <c r="G649" s="586"/>
      <c r="H649" s="586"/>
      <c r="I649" s="586"/>
      <c r="J649" s="586"/>
      <c r="K649" s="586"/>
      <c r="L649" s="587"/>
      <c r="M649" s="588"/>
      <c r="N649" s="588"/>
    </row>
    <row r="650" spans="1:14">
      <c r="A650" s="584"/>
      <c r="B650" s="585"/>
      <c r="C650" s="585"/>
      <c r="D650" s="586"/>
      <c r="E650" s="586"/>
      <c r="F650" s="586"/>
      <c r="G650" s="586"/>
      <c r="H650" s="586"/>
      <c r="I650" s="586"/>
      <c r="J650" s="586"/>
      <c r="K650" s="586"/>
      <c r="L650" s="587"/>
      <c r="M650" s="588"/>
      <c r="N650" s="588"/>
    </row>
    <row r="651" spans="1:14">
      <c r="A651" s="584"/>
      <c r="B651" s="585"/>
      <c r="C651" s="585"/>
      <c r="D651" s="586"/>
      <c r="E651" s="586"/>
      <c r="F651" s="586"/>
      <c r="G651" s="586"/>
      <c r="H651" s="586"/>
      <c r="I651" s="586"/>
      <c r="J651" s="586"/>
      <c r="K651" s="586"/>
      <c r="L651" s="587"/>
      <c r="M651" s="588"/>
      <c r="N651" s="588"/>
    </row>
    <row r="652" spans="1:14">
      <c r="A652" s="584"/>
      <c r="B652" s="585"/>
      <c r="C652" s="585"/>
      <c r="D652" s="586"/>
      <c r="E652" s="586"/>
      <c r="F652" s="586"/>
      <c r="G652" s="586"/>
      <c r="H652" s="586"/>
      <c r="I652" s="586"/>
      <c r="J652" s="586"/>
      <c r="K652" s="586"/>
      <c r="L652" s="587"/>
      <c r="M652" s="588"/>
      <c r="N652" s="588"/>
    </row>
    <row r="653" spans="1:14">
      <c r="A653" s="584"/>
      <c r="B653" s="585"/>
      <c r="C653" s="585"/>
      <c r="D653" s="586"/>
      <c r="E653" s="586"/>
      <c r="F653" s="586"/>
      <c r="G653" s="586"/>
      <c r="H653" s="586"/>
      <c r="I653" s="586"/>
      <c r="J653" s="586"/>
      <c r="K653" s="586"/>
      <c r="L653" s="587"/>
      <c r="M653" s="588"/>
      <c r="N653" s="588"/>
    </row>
    <row r="654" spans="1:14">
      <c r="A654" s="584"/>
      <c r="B654" s="585"/>
      <c r="C654" s="585"/>
      <c r="D654" s="586"/>
      <c r="E654" s="586"/>
      <c r="F654" s="586"/>
      <c r="G654" s="586"/>
      <c r="H654" s="586"/>
      <c r="I654" s="586"/>
      <c r="J654" s="586"/>
      <c r="K654" s="586"/>
      <c r="L654" s="587"/>
      <c r="M654" s="588"/>
      <c r="N654" s="588"/>
    </row>
    <row r="655" spans="1:14">
      <c r="A655" s="584"/>
      <c r="B655" s="585"/>
      <c r="C655" s="585"/>
      <c r="D655" s="586"/>
      <c r="E655" s="586"/>
      <c r="F655" s="586"/>
      <c r="G655" s="586"/>
      <c r="H655" s="586"/>
      <c r="I655" s="586"/>
      <c r="J655" s="586"/>
      <c r="K655" s="586"/>
      <c r="L655" s="587"/>
      <c r="M655" s="588"/>
      <c r="N655" s="588"/>
    </row>
    <row r="656" spans="1:14">
      <c r="A656" s="584"/>
      <c r="B656" s="585"/>
      <c r="C656" s="585"/>
      <c r="D656" s="586"/>
      <c r="E656" s="586"/>
      <c r="F656" s="586"/>
      <c r="G656" s="586"/>
      <c r="H656" s="586"/>
      <c r="I656" s="586"/>
      <c r="J656" s="586"/>
      <c r="K656" s="586"/>
      <c r="L656" s="587"/>
      <c r="M656" s="588"/>
      <c r="N656" s="588"/>
    </row>
    <row r="657" spans="1:14">
      <c r="A657" s="584"/>
      <c r="B657" s="585"/>
      <c r="C657" s="585"/>
      <c r="D657" s="586"/>
      <c r="E657" s="586"/>
      <c r="F657" s="586"/>
      <c r="G657" s="586"/>
      <c r="H657" s="586"/>
      <c r="I657" s="586"/>
      <c r="J657" s="586"/>
      <c r="K657" s="586"/>
      <c r="L657" s="587"/>
      <c r="M657" s="588"/>
      <c r="N657" s="588"/>
    </row>
    <row r="658" spans="1:14">
      <c r="A658" s="584"/>
      <c r="B658" s="585"/>
      <c r="C658" s="585"/>
      <c r="D658" s="586"/>
      <c r="E658" s="586"/>
      <c r="F658" s="586"/>
      <c r="G658" s="586"/>
      <c r="H658" s="586"/>
      <c r="I658" s="586"/>
      <c r="J658" s="586"/>
      <c r="K658" s="586"/>
      <c r="L658" s="587"/>
      <c r="M658" s="588"/>
      <c r="N658" s="588"/>
    </row>
    <row r="659" spans="1:14">
      <c r="B659" s="590"/>
      <c r="C659" s="590"/>
      <c r="D659" s="586"/>
      <c r="E659" s="586"/>
      <c r="F659" s="586"/>
      <c r="G659" s="586"/>
      <c r="H659" s="586"/>
      <c r="I659" s="586"/>
      <c r="J659" s="586"/>
      <c r="K659" s="586"/>
      <c r="L659" s="591"/>
      <c r="M659" s="592"/>
      <c r="N659" s="588"/>
    </row>
    <row r="660" spans="1:14">
      <c r="B660" s="590"/>
      <c r="C660" s="590"/>
      <c r="D660" s="586"/>
      <c r="E660" s="586"/>
      <c r="F660" s="586"/>
      <c r="G660" s="586"/>
      <c r="H660" s="586"/>
      <c r="I660" s="586"/>
      <c r="J660" s="586"/>
      <c r="K660" s="586"/>
      <c r="L660" s="591"/>
      <c r="M660" s="592"/>
      <c r="N660" s="588"/>
    </row>
    <row r="661" spans="1:14">
      <c r="B661" s="590"/>
      <c r="C661" s="590"/>
      <c r="D661" s="586"/>
      <c r="E661" s="586"/>
      <c r="F661" s="586"/>
      <c r="G661" s="586"/>
      <c r="H661" s="586"/>
      <c r="I661" s="586"/>
      <c r="J661" s="586"/>
      <c r="K661" s="586"/>
      <c r="L661" s="591"/>
      <c r="M661" s="592"/>
      <c r="N661" s="588"/>
    </row>
    <row r="662" spans="1:14">
      <c r="B662" s="590"/>
      <c r="C662" s="590"/>
      <c r="D662" s="586"/>
      <c r="E662" s="586"/>
      <c r="F662" s="586"/>
      <c r="G662" s="586"/>
      <c r="H662" s="586"/>
      <c r="I662" s="586"/>
      <c r="J662" s="586"/>
      <c r="K662" s="586"/>
      <c r="L662" s="591"/>
      <c r="M662" s="592"/>
      <c r="N662" s="588"/>
    </row>
    <row r="663" spans="1:14">
      <c r="B663" s="590"/>
      <c r="C663" s="590"/>
      <c r="D663" s="586"/>
      <c r="E663" s="586"/>
      <c r="F663" s="586"/>
      <c r="G663" s="586"/>
      <c r="H663" s="586"/>
      <c r="I663" s="586"/>
      <c r="J663" s="586"/>
      <c r="K663" s="586"/>
      <c r="L663" s="591"/>
      <c r="M663" s="592"/>
      <c r="N663" s="588"/>
    </row>
    <row r="664" spans="1:14">
      <c r="B664" s="590"/>
      <c r="C664" s="590"/>
      <c r="D664" s="586"/>
      <c r="E664" s="586"/>
      <c r="F664" s="586"/>
      <c r="G664" s="586"/>
      <c r="H664" s="586"/>
      <c r="I664" s="586"/>
      <c r="J664" s="586"/>
      <c r="K664" s="586"/>
      <c r="L664" s="591"/>
      <c r="M664" s="592"/>
      <c r="N664" s="588"/>
    </row>
    <row r="665" spans="1:14">
      <c r="B665" s="590"/>
      <c r="C665" s="590"/>
      <c r="D665" s="586"/>
      <c r="E665" s="586"/>
      <c r="F665" s="586"/>
      <c r="G665" s="586"/>
      <c r="H665" s="586"/>
      <c r="I665" s="586"/>
      <c r="J665" s="586"/>
      <c r="K665" s="586"/>
      <c r="L665" s="591"/>
      <c r="M665" s="592"/>
      <c r="N665" s="588"/>
    </row>
    <row r="666" spans="1:14">
      <c r="B666" s="590"/>
      <c r="C666" s="590"/>
      <c r="D666" s="586"/>
      <c r="E666" s="586"/>
      <c r="F666" s="586"/>
      <c r="G666" s="586"/>
      <c r="H666" s="586"/>
      <c r="I666" s="586"/>
      <c r="J666" s="586"/>
      <c r="K666" s="586"/>
      <c r="L666" s="591"/>
      <c r="M666" s="592"/>
      <c r="N666" s="588"/>
    </row>
    <row r="667" spans="1:14">
      <c r="B667" s="590"/>
      <c r="C667" s="590"/>
      <c r="D667" s="586"/>
      <c r="E667" s="586"/>
      <c r="F667" s="586"/>
      <c r="G667" s="586"/>
      <c r="H667" s="586"/>
      <c r="I667" s="586"/>
      <c r="J667" s="586"/>
      <c r="K667" s="586"/>
      <c r="L667" s="591"/>
      <c r="M667" s="592"/>
      <c r="N667" s="588"/>
    </row>
    <row r="668" spans="1:14">
      <c r="B668" s="590"/>
      <c r="C668" s="590"/>
      <c r="D668" s="586"/>
      <c r="E668" s="586"/>
      <c r="F668" s="586"/>
      <c r="G668" s="586"/>
      <c r="H668" s="586"/>
      <c r="I668" s="586"/>
      <c r="J668" s="586"/>
      <c r="K668" s="586"/>
      <c r="L668" s="591"/>
      <c r="M668" s="592"/>
      <c r="N668" s="588"/>
    </row>
    <row r="669" spans="1:14">
      <c r="B669" s="590"/>
      <c r="C669" s="590"/>
      <c r="D669" s="586"/>
      <c r="E669" s="586"/>
      <c r="F669" s="586"/>
      <c r="G669" s="586"/>
      <c r="H669" s="586"/>
      <c r="I669" s="586"/>
      <c r="J669" s="586"/>
      <c r="K669" s="586"/>
      <c r="L669" s="591"/>
      <c r="M669" s="592"/>
      <c r="N669" s="588"/>
    </row>
    <row r="670" spans="1:14">
      <c r="B670" s="590"/>
      <c r="C670" s="590"/>
      <c r="D670" s="586"/>
      <c r="E670" s="586"/>
      <c r="F670" s="586"/>
      <c r="G670" s="586"/>
      <c r="H670" s="586"/>
      <c r="I670" s="586"/>
      <c r="J670" s="586"/>
      <c r="K670" s="586"/>
      <c r="L670" s="591"/>
      <c r="M670" s="592"/>
      <c r="N670" s="588"/>
    </row>
    <row r="671" spans="1:14">
      <c r="B671" s="590"/>
      <c r="C671" s="590"/>
      <c r="D671" s="586"/>
      <c r="E671" s="586"/>
      <c r="F671" s="586"/>
      <c r="G671" s="586"/>
      <c r="H671" s="586"/>
      <c r="I671" s="586"/>
      <c r="J671" s="586"/>
      <c r="K671" s="586"/>
      <c r="L671" s="591"/>
      <c r="M671" s="592"/>
      <c r="N671" s="588"/>
    </row>
    <row r="672" spans="1:14">
      <c r="B672" s="590"/>
      <c r="C672" s="590"/>
      <c r="D672" s="586"/>
      <c r="E672" s="586"/>
      <c r="F672" s="586"/>
      <c r="G672" s="586"/>
      <c r="H672" s="586"/>
      <c r="I672" s="586"/>
      <c r="J672" s="586"/>
      <c r="K672" s="586"/>
      <c r="L672" s="591"/>
      <c r="M672" s="592"/>
      <c r="N672" s="588"/>
    </row>
    <row r="673" spans="2:14">
      <c r="B673" s="590"/>
      <c r="C673" s="590"/>
      <c r="D673" s="586"/>
      <c r="E673" s="586"/>
      <c r="F673" s="586"/>
      <c r="G673" s="586"/>
      <c r="H673" s="586"/>
      <c r="I673" s="586"/>
      <c r="J673" s="586"/>
      <c r="K673" s="586"/>
      <c r="L673" s="591"/>
      <c r="M673" s="592"/>
      <c r="N673" s="588"/>
    </row>
    <row r="674" spans="2:14">
      <c r="B674" s="590"/>
      <c r="C674" s="590"/>
      <c r="D674" s="586"/>
      <c r="E674" s="586"/>
      <c r="F674" s="586"/>
      <c r="G674" s="586"/>
      <c r="H674" s="586"/>
      <c r="I674" s="586"/>
      <c r="J674" s="586"/>
      <c r="K674" s="586"/>
      <c r="L674" s="591"/>
      <c r="M674" s="592"/>
      <c r="N674" s="588"/>
    </row>
    <row r="675" spans="2:14">
      <c r="B675" s="590"/>
      <c r="C675" s="590"/>
      <c r="D675" s="586"/>
      <c r="E675" s="586"/>
      <c r="F675" s="586"/>
      <c r="G675" s="586"/>
      <c r="H675" s="586"/>
      <c r="I675" s="586"/>
      <c r="J675" s="586"/>
      <c r="K675" s="586"/>
      <c r="L675" s="591"/>
      <c r="M675" s="592"/>
      <c r="N675" s="588"/>
    </row>
    <row r="676" spans="2:14">
      <c r="B676" s="590"/>
      <c r="C676" s="590"/>
      <c r="D676" s="586"/>
      <c r="E676" s="586"/>
      <c r="F676" s="586"/>
      <c r="G676" s="586"/>
      <c r="H676" s="586"/>
      <c r="I676" s="586"/>
      <c r="J676" s="586"/>
      <c r="K676" s="586"/>
      <c r="L676" s="591"/>
      <c r="M676" s="592"/>
      <c r="N676" s="588"/>
    </row>
    <row r="677" spans="2:14">
      <c r="B677" s="590"/>
      <c r="C677" s="590"/>
      <c r="D677" s="586"/>
      <c r="E677" s="586"/>
      <c r="F677" s="586"/>
      <c r="G677" s="586"/>
      <c r="H677" s="586"/>
      <c r="I677" s="586"/>
      <c r="J677" s="586"/>
      <c r="K677" s="586"/>
      <c r="L677" s="591"/>
      <c r="M677" s="592"/>
      <c r="N677" s="588"/>
    </row>
    <row r="678" spans="2:14">
      <c r="B678" s="590"/>
      <c r="C678" s="590"/>
      <c r="D678" s="586"/>
      <c r="E678" s="586"/>
      <c r="F678" s="586"/>
      <c r="G678" s="586"/>
      <c r="H678" s="586"/>
      <c r="I678" s="586"/>
      <c r="J678" s="586"/>
      <c r="K678" s="586"/>
      <c r="L678" s="591"/>
      <c r="M678" s="592"/>
      <c r="N678" s="588"/>
    </row>
    <row r="679" spans="2:14">
      <c r="B679" s="590"/>
      <c r="C679" s="590"/>
      <c r="D679" s="586"/>
      <c r="E679" s="586"/>
      <c r="F679" s="586"/>
      <c r="G679" s="586"/>
      <c r="H679" s="586"/>
      <c r="I679" s="586"/>
      <c r="J679" s="586"/>
      <c r="K679" s="586"/>
      <c r="L679" s="591"/>
      <c r="M679" s="592"/>
      <c r="N679" s="588"/>
    </row>
    <row r="680" spans="2:14">
      <c r="B680" s="590"/>
      <c r="C680" s="590"/>
      <c r="D680" s="586"/>
      <c r="E680" s="586"/>
      <c r="F680" s="586"/>
      <c r="G680" s="586"/>
      <c r="H680" s="586"/>
      <c r="I680" s="586"/>
      <c r="J680" s="586"/>
      <c r="K680" s="586"/>
      <c r="L680" s="591"/>
      <c r="M680" s="592"/>
      <c r="N680" s="588"/>
    </row>
    <row r="681" spans="2:14">
      <c r="B681" s="590"/>
      <c r="C681" s="590"/>
      <c r="D681" s="586"/>
      <c r="E681" s="586"/>
      <c r="F681" s="586"/>
      <c r="G681" s="586"/>
      <c r="H681" s="586"/>
      <c r="I681" s="586"/>
      <c r="J681" s="586"/>
      <c r="K681" s="586"/>
      <c r="L681" s="591"/>
      <c r="M681" s="592"/>
      <c r="N681" s="588"/>
    </row>
    <row r="682" spans="2:14">
      <c r="B682" s="590"/>
      <c r="C682" s="590"/>
      <c r="D682" s="586"/>
      <c r="E682" s="586"/>
      <c r="F682" s="586"/>
      <c r="G682" s="586"/>
      <c r="H682" s="586"/>
      <c r="I682" s="586"/>
      <c r="J682" s="586"/>
      <c r="K682" s="586"/>
      <c r="L682" s="591"/>
      <c r="M682" s="592"/>
      <c r="N682" s="588"/>
    </row>
    <row r="683" spans="2:14">
      <c r="B683" s="590"/>
      <c r="C683" s="590"/>
      <c r="D683" s="586"/>
      <c r="E683" s="586"/>
      <c r="F683" s="586"/>
      <c r="G683" s="586"/>
      <c r="H683" s="586"/>
      <c r="I683" s="586"/>
      <c r="J683" s="586"/>
      <c r="K683" s="586"/>
      <c r="L683" s="591"/>
      <c r="M683" s="592"/>
      <c r="N683" s="588"/>
    </row>
    <row r="684" spans="2:14">
      <c r="B684" s="590"/>
      <c r="C684" s="590"/>
      <c r="D684" s="586"/>
      <c r="E684" s="586"/>
      <c r="F684" s="586"/>
      <c r="G684" s="586"/>
      <c r="H684" s="586"/>
      <c r="I684" s="586"/>
      <c r="J684" s="586"/>
      <c r="K684" s="586"/>
      <c r="L684" s="591"/>
      <c r="M684" s="592"/>
      <c r="N684" s="588"/>
    </row>
    <row r="685" spans="2:14">
      <c r="B685" s="590"/>
      <c r="C685" s="590"/>
      <c r="D685" s="586"/>
      <c r="E685" s="586"/>
      <c r="F685" s="586"/>
      <c r="G685" s="586"/>
      <c r="H685" s="586"/>
      <c r="I685" s="586"/>
      <c r="J685" s="586"/>
      <c r="K685" s="586"/>
      <c r="L685" s="591"/>
      <c r="M685" s="592"/>
      <c r="N685" s="588"/>
    </row>
    <row r="686" spans="2:14">
      <c r="B686" s="590"/>
      <c r="C686" s="590"/>
      <c r="D686" s="586"/>
      <c r="E686" s="586"/>
      <c r="F686" s="586"/>
      <c r="G686" s="586"/>
      <c r="H686" s="586"/>
      <c r="I686" s="586"/>
      <c r="J686" s="586"/>
      <c r="K686" s="586"/>
      <c r="L686" s="591"/>
      <c r="M686" s="592"/>
      <c r="N686" s="588"/>
    </row>
    <row r="687" spans="2:14">
      <c r="B687" s="590"/>
      <c r="C687" s="590"/>
      <c r="D687" s="586"/>
      <c r="E687" s="586"/>
      <c r="F687" s="586"/>
      <c r="G687" s="586"/>
      <c r="H687" s="586"/>
      <c r="I687" s="586"/>
      <c r="J687" s="586"/>
      <c r="K687" s="586"/>
      <c r="L687" s="591"/>
      <c r="M687" s="592"/>
      <c r="N687" s="588"/>
    </row>
    <row r="688" spans="2:14">
      <c r="B688" s="590"/>
      <c r="C688" s="590"/>
      <c r="D688" s="586"/>
      <c r="E688" s="586"/>
      <c r="F688" s="586"/>
      <c r="G688" s="586"/>
      <c r="H688" s="586"/>
      <c r="I688" s="586"/>
      <c r="J688" s="586"/>
      <c r="K688" s="586"/>
      <c r="L688" s="591"/>
      <c r="M688" s="592"/>
      <c r="N688" s="588"/>
    </row>
    <row r="689" spans="2:14">
      <c r="B689" s="590"/>
      <c r="C689" s="590"/>
      <c r="D689" s="586"/>
      <c r="E689" s="586"/>
      <c r="F689" s="586"/>
      <c r="G689" s="586"/>
      <c r="H689" s="586"/>
      <c r="I689" s="586"/>
      <c r="J689" s="586"/>
      <c r="K689" s="586"/>
      <c r="L689" s="591"/>
      <c r="M689" s="592"/>
      <c r="N689" s="588"/>
    </row>
    <row r="690" spans="2:14">
      <c r="B690" s="590"/>
      <c r="C690" s="590"/>
      <c r="D690" s="586"/>
      <c r="E690" s="586"/>
      <c r="F690" s="586"/>
      <c r="G690" s="586"/>
      <c r="H690" s="586"/>
      <c r="I690" s="586"/>
      <c r="J690" s="586"/>
      <c r="K690" s="586"/>
      <c r="L690" s="591"/>
      <c r="M690" s="592"/>
      <c r="N690" s="588"/>
    </row>
    <row r="691" spans="2:14">
      <c r="B691" s="590"/>
      <c r="C691" s="590"/>
      <c r="D691" s="586"/>
      <c r="E691" s="586"/>
      <c r="F691" s="586"/>
      <c r="G691" s="586"/>
      <c r="H691" s="586"/>
      <c r="I691" s="586"/>
      <c r="J691" s="586"/>
      <c r="K691" s="586"/>
      <c r="L691" s="591"/>
      <c r="M691" s="592"/>
      <c r="N691" s="588"/>
    </row>
    <row r="692" spans="2:14">
      <c r="B692" s="590"/>
      <c r="C692" s="590"/>
      <c r="D692" s="586"/>
      <c r="E692" s="586"/>
      <c r="F692" s="586"/>
      <c r="G692" s="586"/>
      <c r="H692" s="586"/>
      <c r="I692" s="586"/>
      <c r="J692" s="586"/>
      <c r="K692" s="586"/>
      <c r="L692" s="591"/>
      <c r="M692" s="592"/>
      <c r="N692" s="588"/>
    </row>
    <row r="693" spans="2:14">
      <c r="B693" s="590"/>
      <c r="C693" s="590"/>
      <c r="D693" s="586"/>
      <c r="E693" s="586"/>
      <c r="F693" s="586"/>
      <c r="G693" s="586"/>
      <c r="H693" s="586"/>
      <c r="I693" s="586"/>
      <c r="J693" s="586"/>
      <c r="K693" s="586"/>
      <c r="L693" s="591"/>
      <c r="M693" s="592"/>
      <c r="N693" s="588"/>
    </row>
    <row r="694" spans="2:14">
      <c r="B694" s="590"/>
      <c r="C694" s="590"/>
      <c r="D694" s="586"/>
      <c r="E694" s="586"/>
      <c r="F694" s="586"/>
      <c r="G694" s="586"/>
      <c r="H694" s="586"/>
      <c r="I694" s="586"/>
      <c r="J694" s="586"/>
      <c r="K694" s="586"/>
      <c r="L694" s="591"/>
      <c r="M694" s="592"/>
      <c r="N694" s="588"/>
    </row>
    <row r="695" spans="2:14">
      <c r="B695" s="590"/>
      <c r="C695" s="590"/>
      <c r="D695" s="586"/>
      <c r="E695" s="586"/>
      <c r="F695" s="586"/>
      <c r="G695" s="586"/>
      <c r="H695" s="586"/>
      <c r="I695" s="586"/>
      <c r="J695" s="586"/>
      <c r="K695" s="586"/>
      <c r="L695" s="591"/>
      <c r="M695" s="592"/>
      <c r="N695" s="588"/>
    </row>
    <row r="696" spans="2:14">
      <c r="B696" s="590"/>
      <c r="C696" s="590"/>
      <c r="D696" s="586"/>
      <c r="E696" s="586"/>
      <c r="F696" s="586"/>
      <c r="G696" s="586"/>
      <c r="H696" s="586"/>
      <c r="I696" s="586"/>
      <c r="J696" s="586"/>
      <c r="K696" s="586"/>
      <c r="L696" s="591"/>
      <c r="M696" s="592"/>
      <c r="N696" s="588"/>
    </row>
    <row r="697" spans="2:14">
      <c r="B697" s="590"/>
      <c r="C697" s="590"/>
      <c r="D697" s="586"/>
      <c r="E697" s="586"/>
      <c r="F697" s="586"/>
      <c r="G697" s="586"/>
      <c r="H697" s="586"/>
      <c r="I697" s="586"/>
      <c r="J697" s="586"/>
      <c r="K697" s="586"/>
      <c r="L697" s="591"/>
      <c r="M697" s="592"/>
      <c r="N697" s="588"/>
    </row>
    <row r="698" spans="2:14">
      <c r="B698" s="590"/>
      <c r="C698" s="590"/>
      <c r="D698" s="586"/>
      <c r="E698" s="586"/>
      <c r="F698" s="586"/>
      <c r="G698" s="586"/>
      <c r="H698" s="586"/>
      <c r="I698" s="586"/>
      <c r="J698" s="586"/>
      <c r="K698" s="586"/>
      <c r="L698" s="591"/>
      <c r="M698" s="592"/>
      <c r="N698" s="588"/>
    </row>
    <row r="699" spans="2:14">
      <c r="B699" s="590"/>
      <c r="C699" s="590"/>
      <c r="D699" s="586"/>
      <c r="E699" s="586"/>
      <c r="F699" s="586"/>
      <c r="G699" s="586"/>
      <c r="H699" s="586"/>
      <c r="I699" s="586"/>
      <c r="J699" s="586"/>
      <c r="K699" s="586"/>
      <c r="L699" s="591"/>
      <c r="M699" s="592"/>
      <c r="N699" s="588"/>
    </row>
    <row r="700" spans="2:14">
      <c r="B700" s="590"/>
      <c r="C700" s="590"/>
      <c r="D700" s="586"/>
      <c r="E700" s="586"/>
      <c r="F700" s="586"/>
      <c r="G700" s="586"/>
      <c r="H700" s="586"/>
      <c r="I700" s="586"/>
      <c r="J700" s="586"/>
      <c r="K700" s="586"/>
      <c r="L700" s="591"/>
      <c r="M700" s="592"/>
      <c r="N700" s="588"/>
    </row>
    <row r="701" spans="2:14">
      <c r="B701" s="590"/>
      <c r="C701" s="590"/>
      <c r="D701" s="586"/>
      <c r="E701" s="586"/>
      <c r="F701" s="586"/>
      <c r="G701" s="586"/>
      <c r="H701" s="586"/>
      <c r="I701" s="586"/>
      <c r="J701" s="586"/>
      <c r="K701" s="586"/>
      <c r="L701" s="591"/>
      <c r="M701" s="592"/>
      <c r="N701" s="588"/>
    </row>
    <row r="702" spans="2:14">
      <c r="B702" s="590"/>
      <c r="C702" s="590"/>
      <c r="D702" s="586"/>
      <c r="E702" s="586"/>
      <c r="F702" s="586"/>
      <c r="G702" s="586"/>
      <c r="H702" s="586"/>
      <c r="I702" s="586"/>
      <c r="J702" s="586"/>
      <c r="K702" s="586"/>
      <c r="L702" s="591"/>
      <c r="M702" s="592"/>
      <c r="N702" s="588"/>
    </row>
    <row r="703" spans="2:14">
      <c r="B703" s="590"/>
      <c r="C703" s="590"/>
      <c r="D703" s="586"/>
      <c r="E703" s="586"/>
      <c r="F703" s="586"/>
      <c r="G703" s="586"/>
      <c r="H703" s="586"/>
      <c r="I703" s="586"/>
      <c r="J703" s="586"/>
      <c r="K703" s="586"/>
      <c r="L703" s="591"/>
      <c r="M703" s="592"/>
      <c r="N703" s="588"/>
    </row>
    <row r="704" spans="2:14">
      <c r="B704" s="590"/>
      <c r="C704" s="590"/>
      <c r="D704" s="586"/>
      <c r="E704" s="586"/>
      <c r="F704" s="586"/>
      <c r="G704" s="586"/>
      <c r="H704" s="586"/>
      <c r="I704" s="586"/>
      <c r="J704" s="586"/>
      <c r="K704" s="586"/>
      <c r="L704" s="591"/>
      <c r="M704" s="592"/>
      <c r="N704" s="588"/>
    </row>
    <row r="705" spans="2:14">
      <c r="B705" s="590"/>
      <c r="C705" s="590"/>
      <c r="D705" s="586"/>
      <c r="E705" s="586"/>
      <c r="F705" s="586"/>
      <c r="G705" s="586"/>
      <c r="H705" s="586"/>
      <c r="I705" s="586"/>
      <c r="J705" s="586"/>
      <c r="K705" s="586"/>
      <c r="L705" s="591"/>
      <c r="M705" s="592"/>
      <c r="N705" s="588"/>
    </row>
    <row r="706" spans="2:14">
      <c r="B706" s="590"/>
      <c r="C706" s="590"/>
      <c r="D706" s="586"/>
      <c r="E706" s="586"/>
      <c r="F706" s="586"/>
      <c r="G706" s="586"/>
      <c r="H706" s="586"/>
      <c r="I706" s="586"/>
      <c r="J706" s="586"/>
      <c r="K706" s="586"/>
      <c r="L706" s="591"/>
      <c r="M706" s="592"/>
      <c r="N706" s="588"/>
    </row>
    <row r="707" spans="2:14">
      <c r="B707" s="590"/>
      <c r="C707" s="590"/>
      <c r="D707" s="586"/>
      <c r="E707" s="586"/>
      <c r="F707" s="586"/>
      <c r="G707" s="586"/>
      <c r="H707" s="586"/>
      <c r="I707" s="586"/>
      <c r="J707" s="586"/>
      <c r="K707" s="586"/>
      <c r="L707" s="591"/>
      <c r="M707" s="592"/>
      <c r="N707" s="588"/>
    </row>
    <row r="708" spans="2:14">
      <c r="B708" s="590"/>
      <c r="C708" s="590"/>
      <c r="D708" s="586"/>
      <c r="E708" s="586"/>
      <c r="F708" s="586"/>
      <c r="G708" s="586"/>
      <c r="H708" s="586"/>
      <c r="I708" s="586"/>
      <c r="J708" s="586"/>
      <c r="K708" s="586"/>
      <c r="L708" s="591"/>
      <c r="M708" s="592"/>
      <c r="N708" s="588"/>
    </row>
    <row r="709" spans="2:14">
      <c r="B709" s="590"/>
      <c r="C709" s="590"/>
      <c r="D709" s="586"/>
      <c r="E709" s="586"/>
      <c r="F709" s="586"/>
      <c r="G709" s="586"/>
      <c r="H709" s="586"/>
      <c r="I709" s="586"/>
      <c r="J709" s="586"/>
      <c r="K709" s="586"/>
      <c r="L709" s="591"/>
      <c r="M709" s="592"/>
      <c r="N709" s="588"/>
    </row>
    <row r="710" spans="2:14">
      <c r="B710" s="590"/>
      <c r="C710" s="590"/>
      <c r="D710" s="586"/>
      <c r="E710" s="586"/>
      <c r="F710" s="586"/>
      <c r="G710" s="586"/>
      <c r="H710" s="586"/>
      <c r="I710" s="586"/>
      <c r="J710" s="586"/>
      <c r="K710" s="586"/>
      <c r="L710" s="591"/>
      <c r="M710" s="592"/>
      <c r="N710" s="588"/>
    </row>
    <row r="711" spans="2:14">
      <c r="B711" s="590"/>
      <c r="C711" s="590"/>
      <c r="D711" s="586"/>
      <c r="E711" s="586"/>
      <c r="F711" s="586"/>
      <c r="G711" s="586"/>
      <c r="H711" s="586"/>
      <c r="I711" s="586"/>
      <c r="J711" s="586"/>
      <c r="K711" s="586"/>
      <c r="L711" s="591"/>
      <c r="M711" s="592"/>
      <c r="N711" s="588"/>
    </row>
    <row r="712" spans="2:14">
      <c r="B712" s="590"/>
      <c r="C712" s="590"/>
      <c r="D712" s="586"/>
      <c r="E712" s="586"/>
      <c r="F712" s="586"/>
      <c r="G712" s="586"/>
      <c r="H712" s="586"/>
      <c r="I712" s="586"/>
      <c r="J712" s="586"/>
      <c r="K712" s="586"/>
      <c r="L712" s="591"/>
      <c r="M712" s="592"/>
      <c r="N712" s="588"/>
    </row>
    <row r="713" spans="2:14">
      <c r="B713" s="590"/>
      <c r="C713" s="590"/>
      <c r="D713" s="586"/>
      <c r="E713" s="586"/>
      <c r="F713" s="586"/>
      <c r="G713" s="586"/>
      <c r="H713" s="586"/>
      <c r="I713" s="586"/>
      <c r="J713" s="586"/>
      <c r="K713" s="586"/>
      <c r="L713" s="591"/>
      <c r="M713" s="592"/>
      <c r="N713" s="588"/>
    </row>
    <row r="714" spans="2:14">
      <c r="B714" s="590"/>
      <c r="C714" s="590"/>
      <c r="D714" s="586"/>
      <c r="E714" s="586"/>
      <c r="F714" s="586"/>
      <c r="G714" s="586"/>
      <c r="H714" s="586"/>
      <c r="I714" s="586"/>
      <c r="J714" s="586"/>
      <c r="K714" s="586"/>
      <c r="L714" s="591"/>
      <c r="M714" s="592"/>
      <c r="N714" s="588"/>
    </row>
    <row r="715" spans="2:14">
      <c r="B715" s="590"/>
      <c r="C715" s="590"/>
      <c r="D715" s="586"/>
      <c r="E715" s="586"/>
      <c r="F715" s="586"/>
      <c r="G715" s="586"/>
      <c r="H715" s="586"/>
      <c r="I715" s="586"/>
      <c r="J715" s="586"/>
      <c r="K715" s="586"/>
      <c r="L715" s="591"/>
      <c r="M715" s="592"/>
      <c r="N715" s="588"/>
    </row>
    <row r="716" spans="2:14">
      <c r="B716" s="590"/>
      <c r="C716" s="590"/>
      <c r="D716" s="586"/>
      <c r="E716" s="586"/>
      <c r="F716" s="586"/>
      <c r="G716" s="586"/>
      <c r="H716" s="586"/>
      <c r="I716" s="586"/>
      <c r="J716" s="586"/>
      <c r="K716" s="586"/>
      <c r="L716" s="591"/>
      <c r="M716" s="592"/>
      <c r="N716" s="588"/>
    </row>
    <row r="717" spans="2:14">
      <c r="B717" s="590"/>
      <c r="C717" s="590"/>
      <c r="D717" s="586"/>
      <c r="E717" s="586"/>
      <c r="F717" s="586"/>
      <c r="G717" s="586"/>
      <c r="H717" s="586"/>
      <c r="I717" s="586"/>
      <c r="J717" s="586"/>
      <c r="K717" s="586"/>
      <c r="L717" s="591"/>
      <c r="M717" s="592"/>
      <c r="N717" s="588"/>
    </row>
    <row r="718" spans="2:14">
      <c r="B718" s="590"/>
      <c r="C718" s="590"/>
      <c r="D718" s="586"/>
      <c r="E718" s="586"/>
      <c r="F718" s="586"/>
      <c r="G718" s="586"/>
      <c r="H718" s="586"/>
      <c r="I718" s="586"/>
      <c r="J718" s="586"/>
      <c r="K718" s="586"/>
      <c r="L718" s="591"/>
      <c r="M718" s="592"/>
      <c r="N718" s="588"/>
    </row>
    <row r="719" spans="2:14">
      <c r="B719" s="590"/>
      <c r="C719" s="590"/>
      <c r="D719" s="586"/>
      <c r="E719" s="586"/>
      <c r="F719" s="586"/>
      <c r="G719" s="586"/>
      <c r="H719" s="586"/>
      <c r="I719" s="586"/>
      <c r="J719" s="586"/>
      <c r="K719" s="586"/>
      <c r="L719" s="591"/>
      <c r="M719" s="592"/>
      <c r="N719" s="588"/>
    </row>
    <row r="720" spans="2:14">
      <c r="B720" s="590"/>
      <c r="C720" s="590"/>
      <c r="D720" s="586"/>
      <c r="E720" s="586"/>
      <c r="F720" s="586"/>
      <c r="G720" s="586"/>
      <c r="H720" s="586"/>
      <c r="I720" s="586"/>
      <c r="J720" s="586"/>
      <c r="K720" s="586"/>
      <c r="L720" s="591"/>
      <c r="M720" s="592"/>
      <c r="N720" s="588"/>
    </row>
    <row r="721" spans="2:14">
      <c r="B721" s="590"/>
      <c r="C721" s="590"/>
      <c r="D721" s="586"/>
      <c r="E721" s="586"/>
      <c r="F721" s="586"/>
      <c r="G721" s="586"/>
      <c r="H721" s="586"/>
      <c r="I721" s="586"/>
      <c r="J721" s="586"/>
      <c r="K721" s="586"/>
      <c r="L721" s="591"/>
      <c r="M721" s="592"/>
      <c r="N721" s="588"/>
    </row>
    <row r="722" spans="2:14">
      <c r="B722" s="590"/>
      <c r="C722" s="590"/>
      <c r="D722" s="586"/>
      <c r="E722" s="586"/>
      <c r="F722" s="586"/>
      <c r="G722" s="586"/>
      <c r="H722" s="586"/>
      <c r="I722" s="586"/>
      <c r="J722" s="586"/>
      <c r="K722" s="586"/>
      <c r="L722" s="591"/>
      <c r="M722" s="592"/>
      <c r="N722" s="588"/>
    </row>
    <row r="723" spans="2:14">
      <c r="B723" s="590"/>
      <c r="C723" s="590"/>
      <c r="D723" s="586"/>
      <c r="E723" s="586"/>
      <c r="F723" s="586"/>
      <c r="G723" s="586"/>
      <c r="H723" s="586"/>
      <c r="I723" s="586"/>
      <c r="J723" s="586"/>
      <c r="K723" s="586"/>
      <c r="L723" s="591"/>
      <c r="M723" s="592"/>
      <c r="N723" s="588"/>
    </row>
    <row r="724" spans="2:14">
      <c r="B724" s="590"/>
      <c r="C724" s="590"/>
      <c r="D724" s="586"/>
      <c r="E724" s="586"/>
      <c r="F724" s="586"/>
      <c r="G724" s="586"/>
      <c r="H724" s="586"/>
      <c r="I724" s="586"/>
      <c r="J724" s="586"/>
      <c r="K724" s="586"/>
      <c r="L724" s="591"/>
      <c r="M724" s="592"/>
      <c r="N724" s="588"/>
    </row>
    <row r="725" spans="2:14">
      <c r="B725" s="590"/>
      <c r="C725" s="590"/>
      <c r="D725" s="586"/>
      <c r="E725" s="586"/>
      <c r="F725" s="586"/>
      <c r="G725" s="586"/>
      <c r="H725" s="586"/>
      <c r="I725" s="586"/>
      <c r="J725" s="586"/>
      <c r="K725" s="586"/>
      <c r="L725" s="591"/>
      <c r="M725" s="592"/>
      <c r="N725" s="588"/>
    </row>
    <row r="726" spans="2:14">
      <c r="B726" s="590"/>
      <c r="C726" s="590"/>
      <c r="D726" s="586"/>
      <c r="E726" s="586"/>
      <c r="F726" s="586"/>
      <c r="G726" s="586"/>
      <c r="H726" s="586"/>
      <c r="I726" s="586"/>
      <c r="J726" s="586"/>
      <c r="K726" s="586"/>
      <c r="L726" s="591"/>
      <c r="M726" s="592"/>
      <c r="N726" s="588"/>
    </row>
    <row r="727" spans="2:14">
      <c r="B727" s="590"/>
      <c r="C727" s="590"/>
      <c r="D727" s="586"/>
      <c r="E727" s="586"/>
      <c r="F727" s="586"/>
      <c r="G727" s="586"/>
      <c r="H727" s="586"/>
      <c r="I727" s="586"/>
      <c r="J727" s="586"/>
      <c r="K727" s="586"/>
      <c r="L727" s="591"/>
      <c r="M727" s="592"/>
      <c r="N727" s="588"/>
    </row>
    <row r="728" spans="2:14">
      <c r="B728" s="590"/>
      <c r="C728" s="590"/>
      <c r="D728" s="586"/>
      <c r="E728" s="586"/>
      <c r="F728" s="586"/>
      <c r="G728" s="586"/>
      <c r="H728" s="586"/>
      <c r="I728" s="586"/>
      <c r="J728" s="586"/>
      <c r="K728" s="586"/>
      <c r="L728" s="591"/>
      <c r="M728" s="592"/>
      <c r="N728" s="588"/>
    </row>
    <row r="729" spans="2:14">
      <c r="B729" s="590"/>
      <c r="C729" s="590"/>
      <c r="D729" s="586"/>
      <c r="E729" s="586"/>
      <c r="F729" s="586"/>
      <c r="G729" s="586"/>
      <c r="H729" s="586"/>
      <c r="I729" s="586"/>
      <c r="J729" s="586"/>
      <c r="K729" s="586"/>
      <c r="L729" s="591"/>
      <c r="M729" s="592"/>
      <c r="N729" s="588"/>
    </row>
    <row r="730" spans="2:14">
      <c r="B730" s="590"/>
      <c r="C730" s="590"/>
      <c r="D730" s="586"/>
      <c r="E730" s="586"/>
      <c r="F730" s="586"/>
      <c r="G730" s="586"/>
      <c r="H730" s="586"/>
      <c r="I730" s="586"/>
      <c r="J730" s="586"/>
      <c r="K730" s="586"/>
      <c r="L730" s="591"/>
      <c r="M730" s="592"/>
      <c r="N730" s="588"/>
    </row>
    <row r="731" spans="2:14">
      <c r="B731" s="590"/>
      <c r="C731" s="590"/>
      <c r="D731" s="586"/>
      <c r="E731" s="586"/>
      <c r="F731" s="586"/>
      <c r="G731" s="586"/>
      <c r="H731" s="586"/>
      <c r="I731" s="586"/>
      <c r="J731" s="586"/>
      <c r="K731" s="586"/>
      <c r="L731" s="591"/>
      <c r="M731" s="592"/>
      <c r="N731" s="588"/>
    </row>
    <row r="732" spans="2:14">
      <c r="B732" s="590"/>
      <c r="C732" s="590"/>
      <c r="D732" s="586"/>
      <c r="E732" s="586"/>
      <c r="F732" s="586"/>
      <c r="G732" s="586"/>
      <c r="H732" s="586"/>
      <c r="I732" s="586"/>
      <c r="J732" s="586"/>
      <c r="K732" s="586"/>
      <c r="L732" s="591"/>
      <c r="M732" s="592"/>
      <c r="N732" s="588"/>
    </row>
    <row r="733" spans="2:14">
      <c r="B733" s="590"/>
      <c r="C733" s="590"/>
      <c r="D733" s="586"/>
      <c r="E733" s="586"/>
      <c r="F733" s="586"/>
      <c r="G733" s="586"/>
      <c r="H733" s="586"/>
      <c r="I733" s="586"/>
      <c r="J733" s="586"/>
      <c r="K733" s="586"/>
      <c r="L733" s="591"/>
      <c r="M733" s="592"/>
      <c r="N733" s="588"/>
    </row>
    <row r="734" spans="2:14">
      <c r="B734" s="590"/>
      <c r="C734" s="590"/>
      <c r="D734" s="586"/>
      <c r="E734" s="586"/>
      <c r="F734" s="586"/>
      <c r="G734" s="586"/>
      <c r="H734" s="586"/>
      <c r="I734" s="586"/>
      <c r="J734" s="586"/>
      <c r="K734" s="586"/>
      <c r="L734" s="591"/>
      <c r="M734" s="592"/>
      <c r="N734" s="588"/>
    </row>
    <row r="735" spans="2:14">
      <c r="B735" s="590"/>
      <c r="C735" s="590"/>
      <c r="D735" s="586"/>
      <c r="E735" s="586"/>
      <c r="F735" s="586"/>
      <c r="G735" s="586"/>
      <c r="H735" s="586"/>
      <c r="I735" s="586"/>
      <c r="J735" s="586"/>
      <c r="K735" s="586"/>
      <c r="L735" s="591"/>
      <c r="M735" s="592"/>
      <c r="N735" s="588"/>
    </row>
    <row r="736" spans="2:14">
      <c r="B736" s="590"/>
      <c r="C736" s="590"/>
      <c r="D736" s="586"/>
      <c r="E736" s="586"/>
      <c r="F736" s="586"/>
      <c r="G736" s="586"/>
      <c r="H736" s="586"/>
      <c r="I736" s="586"/>
      <c r="J736" s="586"/>
      <c r="K736" s="586"/>
      <c r="L736" s="591"/>
      <c r="M736" s="592"/>
      <c r="N736" s="588"/>
    </row>
    <row r="737" spans="2:14">
      <c r="B737" s="590"/>
      <c r="C737" s="590"/>
      <c r="D737" s="586"/>
      <c r="E737" s="586"/>
      <c r="F737" s="586"/>
      <c r="G737" s="586"/>
      <c r="H737" s="586"/>
      <c r="I737" s="586"/>
      <c r="J737" s="586"/>
      <c r="K737" s="586"/>
      <c r="L737" s="591"/>
      <c r="M737" s="592"/>
      <c r="N737" s="588"/>
    </row>
    <row r="738" spans="2:14">
      <c r="B738" s="590"/>
      <c r="C738" s="590"/>
      <c r="D738" s="586"/>
      <c r="E738" s="586"/>
      <c r="F738" s="586"/>
      <c r="G738" s="586"/>
      <c r="H738" s="586"/>
      <c r="I738" s="586"/>
      <c r="J738" s="586"/>
      <c r="K738" s="586"/>
      <c r="L738" s="591"/>
      <c r="M738" s="592"/>
      <c r="N738" s="588"/>
    </row>
    <row r="739" spans="2:14">
      <c r="B739" s="590"/>
      <c r="C739" s="590"/>
      <c r="D739" s="586"/>
      <c r="E739" s="586"/>
      <c r="F739" s="586"/>
      <c r="G739" s="586"/>
      <c r="H739" s="586"/>
      <c r="I739" s="586"/>
      <c r="J739" s="586"/>
      <c r="K739" s="586"/>
      <c r="L739" s="591"/>
      <c r="M739" s="592"/>
      <c r="N739" s="588"/>
    </row>
    <row r="740" spans="2:14">
      <c r="B740" s="590"/>
      <c r="C740" s="590"/>
      <c r="D740" s="586"/>
      <c r="E740" s="586"/>
      <c r="F740" s="586"/>
      <c r="G740" s="586"/>
      <c r="H740" s="586"/>
      <c r="I740" s="586"/>
      <c r="J740" s="586"/>
      <c r="K740" s="586"/>
      <c r="L740" s="591"/>
      <c r="M740" s="592"/>
      <c r="N740" s="588"/>
    </row>
    <row r="741" spans="2:14">
      <c r="B741" s="590"/>
      <c r="C741" s="590"/>
      <c r="D741" s="586"/>
      <c r="E741" s="586"/>
      <c r="F741" s="586"/>
      <c r="G741" s="586"/>
      <c r="H741" s="586"/>
      <c r="I741" s="586"/>
      <c r="J741" s="586"/>
      <c r="K741" s="586"/>
      <c r="L741" s="591"/>
      <c r="M741" s="592"/>
      <c r="N741" s="588"/>
    </row>
    <row r="742" spans="2:14">
      <c r="B742" s="590"/>
      <c r="C742" s="590"/>
      <c r="D742" s="586"/>
      <c r="E742" s="586"/>
      <c r="F742" s="586"/>
      <c r="G742" s="586"/>
      <c r="H742" s="586"/>
      <c r="I742" s="586"/>
      <c r="J742" s="586"/>
      <c r="K742" s="586"/>
      <c r="L742" s="591"/>
      <c r="M742" s="592"/>
      <c r="N742" s="588"/>
    </row>
    <row r="743" spans="2:14">
      <c r="B743" s="590"/>
      <c r="C743" s="590"/>
      <c r="D743" s="586"/>
      <c r="E743" s="586"/>
      <c r="F743" s="586"/>
      <c r="G743" s="586"/>
      <c r="H743" s="586"/>
      <c r="I743" s="586"/>
      <c r="J743" s="586"/>
      <c r="K743" s="586"/>
      <c r="L743" s="591"/>
      <c r="M743" s="592"/>
      <c r="N743" s="588"/>
    </row>
    <row r="744" spans="2:14">
      <c r="B744" s="590"/>
      <c r="C744" s="590"/>
      <c r="D744" s="586"/>
      <c r="E744" s="586"/>
      <c r="F744" s="586"/>
      <c r="G744" s="586"/>
      <c r="H744" s="586"/>
      <c r="I744" s="586"/>
      <c r="J744" s="586"/>
      <c r="K744" s="586"/>
      <c r="L744" s="591"/>
      <c r="M744" s="592"/>
      <c r="N744" s="588"/>
    </row>
    <row r="745" spans="2:14">
      <c r="B745" s="590"/>
      <c r="C745" s="590"/>
      <c r="D745" s="586"/>
      <c r="E745" s="586"/>
      <c r="F745" s="586"/>
      <c r="G745" s="586"/>
      <c r="H745" s="586"/>
      <c r="I745" s="586"/>
      <c r="J745" s="586"/>
      <c r="K745" s="586"/>
      <c r="L745" s="591"/>
      <c r="M745" s="592"/>
      <c r="N745" s="588"/>
    </row>
    <row r="746" spans="2:14">
      <c r="B746" s="590"/>
      <c r="C746" s="590"/>
      <c r="D746" s="586"/>
      <c r="E746" s="586"/>
      <c r="F746" s="586"/>
      <c r="G746" s="586"/>
      <c r="H746" s="586"/>
      <c r="I746" s="586"/>
      <c r="J746" s="586"/>
      <c r="K746" s="586"/>
      <c r="L746" s="591"/>
      <c r="M746" s="592"/>
      <c r="N746" s="588"/>
    </row>
    <row r="747" spans="2:14">
      <c r="B747" s="590"/>
      <c r="C747" s="590"/>
      <c r="D747" s="586"/>
      <c r="E747" s="586"/>
      <c r="F747" s="586"/>
      <c r="G747" s="586"/>
      <c r="H747" s="586"/>
      <c r="I747" s="586"/>
      <c r="J747" s="586"/>
      <c r="K747" s="586"/>
      <c r="L747" s="591"/>
      <c r="M747" s="592"/>
      <c r="N747" s="588"/>
    </row>
    <row r="748" spans="2:14">
      <c r="B748" s="590"/>
      <c r="C748" s="590"/>
      <c r="D748" s="586"/>
      <c r="E748" s="586"/>
      <c r="F748" s="586"/>
      <c r="G748" s="586"/>
      <c r="H748" s="586"/>
      <c r="I748" s="586"/>
      <c r="J748" s="586"/>
      <c r="K748" s="586"/>
      <c r="L748" s="591"/>
      <c r="M748" s="592"/>
      <c r="N748" s="588"/>
    </row>
    <row r="749" spans="2:14">
      <c r="B749" s="590"/>
      <c r="C749" s="590"/>
      <c r="D749" s="586"/>
      <c r="E749" s="586"/>
      <c r="F749" s="586"/>
      <c r="G749" s="586"/>
      <c r="H749" s="586"/>
      <c r="I749" s="586"/>
      <c r="J749" s="586"/>
      <c r="K749" s="586"/>
      <c r="L749" s="591"/>
      <c r="M749" s="592"/>
      <c r="N749" s="588"/>
    </row>
    <row r="750" spans="2:14">
      <c r="B750" s="590"/>
      <c r="C750" s="590"/>
      <c r="D750" s="586"/>
      <c r="E750" s="586"/>
      <c r="F750" s="586"/>
      <c r="G750" s="586"/>
      <c r="H750" s="586"/>
      <c r="I750" s="586"/>
      <c r="J750" s="586"/>
      <c r="K750" s="586"/>
      <c r="L750" s="591"/>
      <c r="M750" s="592"/>
      <c r="N750" s="588"/>
    </row>
    <row r="751" spans="2:14">
      <c r="B751" s="590"/>
      <c r="C751" s="590"/>
      <c r="D751" s="586"/>
      <c r="E751" s="586"/>
      <c r="F751" s="586"/>
      <c r="G751" s="586"/>
      <c r="H751" s="586"/>
      <c r="I751" s="586"/>
      <c r="J751" s="586"/>
      <c r="K751" s="586"/>
      <c r="L751" s="591"/>
      <c r="M751" s="592"/>
      <c r="N751" s="588"/>
    </row>
    <row r="752" spans="2:14">
      <c r="B752" s="590"/>
      <c r="C752" s="590"/>
      <c r="D752" s="586"/>
      <c r="E752" s="586"/>
      <c r="F752" s="586"/>
      <c r="G752" s="586"/>
      <c r="H752" s="586"/>
      <c r="I752" s="586"/>
      <c r="J752" s="586"/>
      <c r="K752" s="586"/>
      <c r="L752" s="591"/>
      <c r="M752" s="592"/>
      <c r="N752" s="588"/>
    </row>
    <row r="753" spans="2:14">
      <c r="B753" s="590"/>
      <c r="C753" s="590"/>
      <c r="D753" s="586"/>
      <c r="E753" s="586"/>
      <c r="F753" s="586"/>
      <c r="G753" s="586"/>
      <c r="H753" s="586"/>
      <c r="I753" s="586"/>
      <c r="J753" s="586"/>
      <c r="K753" s="586"/>
      <c r="L753" s="591"/>
      <c r="M753" s="592"/>
      <c r="N753" s="588"/>
    </row>
    <row r="754" spans="2:14">
      <c r="B754" s="590"/>
      <c r="C754" s="590"/>
      <c r="D754" s="586"/>
      <c r="E754" s="586"/>
      <c r="F754" s="586"/>
      <c r="G754" s="586"/>
      <c r="H754" s="586"/>
      <c r="I754" s="586"/>
      <c r="J754" s="586"/>
      <c r="K754" s="586"/>
      <c r="L754" s="591"/>
      <c r="M754" s="592"/>
      <c r="N754" s="588"/>
    </row>
    <row r="755" spans="2:14">
      <c r="B755" s="590"/>
      <c r="C755" s="590"/>
      <c r="D755" s="586"/>
      <c r="E755" s="586"/>
      <c r="F755" s="586"/>
      <c r="G755" s="586"/>
      <c r="H755" s="586"/>
      <c r="I755" s="586"/>
      <c r="J755" s="586"/>
      <c r="K755" s="586"/>
      <c r="L755" s="591"/>
      <c r="M755" s="592"/>
      <c r="N755" s="588"/>
    </row>
    <row r="756" spans="2:14">
      <c r="B756" s="590"/>
      <c r="C756" s="590"/>
      <c r="D756" s="586"/>
      <c r="E756" s="586"/>
      <c r="F756" s="586"/>
      <c r="G756" s="586"/>
      <c r="H756" s="586"/>
      <c r="I756" s="586"/>
      <c r="J756" s="586"/>
      <c r="K756" s="586"/>
      <c r="L756" s="591"/>
      <c r="M756" s="592"/>
      <c r="N756" s="588"/>
    </row>
    <row r="757" spans="2:14">
      <c r="B757" s="590"/>
      <c r="C757" s="590"/>
      <c r="D757" s="586"/>
      <c r="E757" s="586"/>
      <c r="F757" s="586"/>
      <c r="G757" s="586"/>
      <c r="H757" s="586"/>
      <c r="I757" s="586"/>
      <c r="J757" s="586"/>
      <c r="K757" s="586"/>
      <c r="L757" s="591"/>
      <c r="M757" s="592"/>
      <c r="N757" s="588"/>
    </row>
    <row r="758" spans="2:14">
      <c r="B758" s="590"/>
      <c r="C758" s="590"/>
      <c r="D758" s="586"/>
      <c r="E758" s="586"/>
      <c r="F758" s="586"/>
      <c r="G758" s="586"/>
      <c r="H758" s="586"/>
      <c r="I758" s="586"/>
      <c r="J758" s="586"/>
      <c r="K758" s="586"/>
      <c r="L758" s="591"/>
      <c r="M758" s="592"/>
      <c r="N758" s="588"/>
    </row>
    <row r="759" spans="2:14">
      <c r="B759" s="590"/>
      <c r="C759" s="590"/>
      <c r="D759" s="586"/>
      <c r="E759" s="586"/>
      <c r="F759" s="586"/>
      <c r="G759" s="586"/>
      <c r="H759" s="586"/>
      <c r="I759" s="586"/>
      <c r="J759" s="586"/>
      <c r="K759" s="586"/>
      <c r="L759" s="591"/>
      <c r="M759" s="592"/>
      <c r="N759" s="588"/>
    </row>
    <row r="760" spans="2:14">
      <c r="B760" s="590"/>
      <c r="C760" s="590"/>
      <c r="D760" s="586"/>
      <c r="E760" s="586"/>
      <c r="F760" s="586"/>
      <c r="G760" s="586"/>
      <c r="H760" s="586"/>
      <c r="I760" s="586"/>
      <c r="J760" s="586"/>
      <c r="K760" s="586"/>
      <c r="L760" s="591"/>
      <c r="M760" s="592"/>
      <c r="N760" s="588"/>
    </row>
    <row r="761" spans="2:14">
      <c r="B761" s="590"/>
      <c r="C761" s="590"/>
      <c r="D761" s="586"/>
      <c r="E761" s="586"/>
      <c r="F761" s="586"/>
      <c r="G761" s="586"/>
      <c r="H761" s="586"/>
      <c r="I761" s="586"/>
      <c r="J761" s="586"/>
      <c r="K761" s="586"/>
      <c r="L761" s="591"/>
      <c r="M761" s="592"/>
      <c r="N761" s="588"/>
    </row>
    <row r="762" spans="2:14">
      <c r="B762" s="590"/>
      <c r="C762" s="590"/>
      <c r="D762" s="586"/>
      <c r="E762" s="586"/>
      <c r="F762" s="586"/>
      <c r="G762" s="586"/>
      <c r="H762" s="586"/>
      <c r="I762" s="586"/>
      <c r="J762" s="586"/>
      <c r="K762" s="586"/>
      <c r="L762" s="591"/>
      <c r="M762" s="592"/>
      <c r="N762" s="588"/>
    </row>
    <row r="763" spans="2:14">
      <c r="B763" s="590"/>
      <c r="C763" s="590"/>
      <c r="D763" s="586"/>
      <c r="E763" s="586"/>
      <c r="F763" s="586"/>
      <c r="G763" s="586"/>
      <c r="H763" s="586"/>
      <c r="I763" s="586"/>
      <c r="J763" s="586"/>
      <c r="K763" s="586"/>
      <c r="L763" s="591"/>
      <c r="M763" s="592"/>
      <c r="N763" s="588"/>
    </row>
    <row r="764" spans="2:14">
      <c r="B764" s="590"/>
      <c r="C764" s="590"/>
      <c r="D764" s="586"/>
      <c r="E764" s="586"/>
      <c r="F764" s="586"/>
      <c r="G764" s="586"/>
      <c r="H764" s="586"/>
      <c r="I764" s="586"/>
      <c r="J764" s="586"/>
      <c r="K764" s="586"/>
      <c r="L764" s="591"/>
      <c r="M764" s="592"/>
      <c r="N764" s="588"/>
    </row>
    <row r="765" spans="2:14">
      <c r="B765" s="590"/>
      <c r="C765" s="590"/>
      <c r="D765" s="586"/>
      <c r="E765" s="586"/>
      <c r="F765" s="586"/>
      <c r="G765" s="586"/>
      <c r="H765" s="586"/>
      <c r="I765" s="586"/>
      <c r="J765" s="586"/>
      <c r="K765" s="586"/>
      <c r="L765" s="591"/>
      <c r="M765" s="592"/>
      <c r="N765" s="588"/>
    </row>
    <row r="766" spans="2:14">
      <c r="B766" s="590"/>
      <c r="C766" s="590"/>
      <c r="D766" s="586"/>
      <c r="E766" s="586"/>
      <c r="F766" s="586"/>
      <c r="G766" s="586"/>
      <c r="H766" s="586"/>
      <c r="I766" s="586"/>
      <c r="J766" s="586"/>
      <c r="K766" s="586"/>
      <c r="L766" s="591"/>
      <c r="M766" s="592"/>
      <c r="N766" s="588"/>
    </row>
    <row r="767" spans="2:14">
      <c r="B767" s="590"/>
      <c r="C767" s="590"/>
      <c r="D767" s="586"/>
      <c r="E767" s="586"/>
      <c r="F767" s="586"/>
      <c r="G767" s="586"/>
      <c r="H767" s="586"/>
      <c r="I767" s="586"/>
      <c r="J767" s="586"/>
      <c r="K767" s="586"/>
      <c r="L767" s="591"/>
      <c r="M767" s="592"/>
      <c r="N767" s="588"/>
    </row>
    <row r="768" spans="2:14">
      <c r="B768" s="590"/>
      <c r="C768" s="590"/>
      <c r="D768" s="586"/>
      <c r="E768" s="586"/>
      <c r="F768" s="586"/>
      <c r="G768" s="586"/>
      <c r="H768" s="586"/>
      <c r="I768" s="586"/>
      <c r="J768" s="586"/>
      <c r="K768" s="586"/>
      <c r="L768" s="591"/>
      <c r="M768" s="592"/>
      <c r="N768" s="588"/>
    </row>
    <row r="769" spans="2:14">
      <c r="B769" s="590"/>
      <c r="C769" s="590"/>
      <c r="D769" s="586"/>
      <c r="E769" s="586"/>
      <c r="F769" s="586"/>
      <c r="G769" s="586"/>
      <c r="H769" s="586"/>
      <c r="I769" s="586"/>
      <c r="J769" s="586"/>
      <c r="K769" s="586"/>
      <c r="L769" s="591"/>
      <c r="M769" s="592"/>
      <c r="N769" s="588"/>
    </row>
    <row r="770" spans="2:14">
      <c r="B770" s="590"/>
      <c r="C770" s="590"/>
      <c r="D770" s="586"/>
      <c r="E770" s="586"/>
      <c r="F770" s="586"/>
      <c r="G770" s="586"/>
      <c r="H770" s="586"/>
      <c r="I770" s="586"/>
      <c r="J770" s="586"/>
      <c r="K770" s="586"/>
      <c r="L770" s="591"/>
      <c r="M770" s="592"/>
      <c r="N770" s="588"/>
    </row>
    <row r="771" spans="2:14">
      <c r="B771" s="590"/>
      <c r="C771" s="590"/>
      <c r="D771" s="586"/>
      <c r="E771" s="586"/>
      <c r="F771" s="586"/>
      <c r="G771" s="586"/>
      <c r="H771" s="586"/>
      <c r="I771" s="586"/>
      <c r="J771" s="586"/>
      <c r="K771" s="586"/>
      <c r="L771" s="591"/>
      <c r="M771" s="592"/>
      <c r="N771" s="588"/>
    </row>
    <row r="772" spans="2:14">
      <c r="B772" s="590"/>
      <c r="C772" s="590"/>
      <c r="D772" s="586"/>
      <c r="E772" s="586"/>
      <c r="F772" s="586"/>
      <c r="G772" s="586"/>
      <c r="H772" s="586"/>
      <c r="I772" s="586"/>
      <c r="J772" s="586"/>
      <c r="K772" s="586"/>
      <c r="L772" s="591"/>
      <c r="M772" s="592"/>
      <c r="N772" s="588"/>
    </row>
    <row r="773" spans="2:14">
      <c r="B773" s="590"/>
      <c r="C773" s="590"/>
      <c r="D773" s="586"/>
      <c r="E773" s="586"/>
      <c r="F773" s="586"/>
      <c r="G773" s="586"/>
      <c r="H773" s="586"/>
      <c r="I773" s="586"/>
      <c r="J773" s="586"/>
      <c r="K773" s="586"/>
      <c r="L773" s="591"/>
      <c r="M773" s="592"/>
      <c r="N773" s="588"/>
    </row>
    <row r="774" spans="2:14">
      <c r="B774" s="590"/>
      <c r="C774" s="590"/>
      <c r="D774" s="586"/>
      <c r="E774" s="586"/>
      <c r="F774" s="586"/>
      <c r="G774" s="586"/>
      <c r="H774" s="586"/>
      <c r="I774" s="586"/>
      <c r="J774" s="586"/>
      <c r="K774" s="586"/>
      <c r="L774" s="591"/>
      <c r="M774" s="592"/>
      <c r="N774" s="588"/>
    </row>
    <row r="775" spans="2:14">
      <c r="B775" s="590"/>
      <c r="C775" s="590"/>
      <c r="D775" s="586"/>
      <c r="E775" s="586"/>
      <c r="F775" s="586"/>
      <c r="G775" s="586"/>
      <c r="H775" s="586"/>
      <c r="I775" s="586"/>
      <c r="J775" s="586"/>
      <c r="K775" s="586"/>
      <c r="L775" s="591"/>
      <c r="M775" s="592"/>
      <c r="N775" s="588"/>
    </row>
    <row r="776" spans="2:14">
      <c r="B776" s="590"/>
      <c r="C776" s="590"/>
      <c r="D776" s="586"/>
      <c r="E776" s="586"/>
      <c r="F776" s="586"/>
      <c r="G776" s="586"/>
      <c r="H776" s="586"/>
      <c r="I776" s="586"/>
      <c r="J776" s="586"/>
      <c r="K776" s="586"/>
      <c r="L776" s="591"/>
      <c r="M776" s="592"/>
      <c r="N776" s="588"/>
    </row>
    <row r="777" spans="2:14">
      <c r="B777" s="590"/>
      <c r="C777" s="590"/>
      <c r="D777" s="586"/>
      <c r="E777" s="586"/>
      <c r="F777" s="586"/>
      <c r="G777" s="586"/>
      <c r="H777" s="586"/>
      <c r="I777" s="586"/>
      <c r="J777" s="586"/>
      <c r="K777" s="586"/>
      <c r="L777" s="591"/>
      <c r="M777" s="592"/>
      <c r="N777" s="588"/>
    </row>
    <row r="778" spans="2:14">
      <c r="B778" s="590"/>
      <c r="C778" s="590"/>
      <c r="D778" s="586"/>
      <c r="E778" s="586"/>
      <c r="F778" s="586"/>
      <c r="G778" s="586"/>
      <c r="H778" s="586"/>
      <c r="I778" s="586"/>
      <c r="J778" s="586"/>
      <c r="K778" s="586"/>
      <c r="L778" s="591"/>
      <c r="M778" s="592"/>
      <c r="N778" s="588"/>
    </row>
    <row r="779" spans="2:14">
      <c r="B779" s="590"/>
      <c r="C779" s="590"/>
      <c r="D779" s="586"/>
      <c r="E779" s="586"/>
      <c r="F779" s="586"/>
      <c r="G779" s="586"/>
      <c r="H779" s="586"/>
      <c r="I779" s="586"/>
      <c r="J779" s="586"/>
      <c r="K779" s="586"/>
      <c r="L779" s="591"/>
      <c r="M779" s="592"/>
      <c r="N779" s="588"/>
    </row>
    <row r="780" spans="2:14">
      <c r="B780" s="590"/>
      <c r="C780" s="590"/>
      <c r="D780" s="586"/>
      <c r="E780" s="586"/>
      <c r="F780" s="586"/>
      <c r="G780" s="586"/>
      <c r="H780" s="586"/>
      <c r="I780" s="586"/>
      <c r="J780" s="586"/>
      <c r="K780" s="586"/>
      <c r="L780" s="591"/>
      <c r="M780" s="592"/>
      <c r="N780" s="588"/>
    </row>
    <row r="781" spans="2:14">
      <c r="B781" s="590"/>
      <c r="C781" s="590"/>
      <c r="D781" s="586"/>
      <c r="E781" s="586"/>
      <c r="F781" s="586"/>
      <c r="G781" s="586"/>
      <c r="H781" s="586"/>
      <c r="I781" s="586"/>
      <c r="J781" s="586"/>
      <c r="K781" s="586"/>
      <c r="L781" s="591"/>
      <c r="M781" s="592"/>
      <c r="N781" s="588"/>
    </row>
    <row r="782" spans="2:14">
      <c r="B782" s="590"/>
      <c r="C782" s="590"/>
      <c r="D782" s="586"/>
      <c r="E782" s="586"/>
      <c r="F782" s="586"/>
      <c r="G782" s="586"/>
      <c r="H782" s="586"/>
      <c r="I782" s="586"/>
      <c r="J782" s="586"/>
      <c r="K782" s="586"/>
      <c r="L782" s="591"/>
      <c r="M782" s="592"/>
      <c r="N782" s="588"/>
    </row>
    <row r="783" spans="2:14">
      <c r="B783" s="590"/>
      <c r="C783" s="590"/>
      <c r="D783" s="586"/>
      <c r="E783" s="586"/>
      <c r="F783" s="586"/>
      <c r="G783" s="586"/>
      <c r="H783" s="586"/>
      <c r="I783" s="586"/>
      <c r="J783" s="586"/>
      <c r="K783" s="586"/>
      <c r="L783" s="591"/>
      <c r="M783" s="592"/>
      <c r="N783" s="588"/>
    </row>
    <row r="784" spans="2:14">
      <c r="B784" s="590"/>
      <c r="C784" s="590"/>
      <c r="D784" s="586"/>
      <c r="E784" s="586"/>
      <c r="F784" s="586"/>
      <c r="G784" s="586"/>
      <c r="H784" s="586"/>
      <c r="I784" s="586"/>
      <c r="J784" s="586"/>
      <c r="K784" s="586"/>
      <c r="L784" s="591"/>
      <c r="M784" s="592"/>
      <c r="N784" s="588"/>
    </row>
    <row r="785" spans="2:14">
      <c r="B785" s="590"/>
      <c r="C785" s="590"/>
      <c r="D785" s="586"/>
      <c r="E785" s="586"/>
      <c r="F785" s="586"/>
      <c r="G785" s="586"/>
      <c r="H785" s="586"/>
      <c r="I785" s="586"/>
      <c r="J785" s="586"/>
      <c r="K785" s="586"/>
      <c r="L785" s="591"/>
      <c r="M785" s="592"/>
      <c r="N785" s="588"/>
    </row>
    <row r="786" spans="2:14">
      <c r="B786" s="590"/>
      <c r="C786" s="590"/>
      <c r="D786" s="586"/>
      <c r="E786" s="586"/>
      <c r="F786" s="586"/>
      <c r="G786" s="586"/>
      <c r="H786" s="586"/>
      <c r="I786" s="586"/>
      <c r="J786" s="586"/>
      <c r="K786" s="586"/>
      <c r="L786" s="591"/>
      <c r="M786" s="592"/>
      <c r="N786" s="588"/>
    </row>
    <row r="787" spans="2:14">
      <c r="B787" s="590"/>
      <c r="C787" s="590"/>
      <c r="D787" s="586"/>
      <c r="E787" s="586"/>
      <c r="F787" s="586"/>
      <c r="G787" s="586"/>
      <c r="H787" s="586"/>
      <c r="I787" s="586"/>
      <c r="J787" s="586"/>
      <c r="K787" s="586"/>
      <c r="L787" s="591"/>
      <c r="M787" s="592"/>
      <c r="N787" s="588"/>
    </row>
    <row r="788" spans="2:14">
      <c r="B788" s="590"/>
      <c r="C788" s="590"/>
      <c r="D788" s="586"/>
      <c r="E788" s="586"/>
      <c r="F788" s="586"/>
      <c r="G788" s="586"/>
      <c r="H788" s="586"/>
      <c r="I788" s="586"/>
      <c r="J788" s="586"/>
      <c r="K788" s="586"/>
      <c r="L788" s="591"/>
      <c r="M788" s="592"/>
      <c r="N788" s="588"/>
    </row>
    <row r="789" spans="2:14">
      <c r="B789" s="590"/>
      <c r="C789" s="590"/>
      <c r="D789" s="586"/>
      <c r="E789" s="586"/>
      <c r="F789" s="586"/>
      <c r="G789" s="586"/>
      <c r="H789" s="586"/>
      <c r="I789" s="586"/>
      <c r="J789" s="586"/>
      <c r="K789" s="586"/>
      <c r="L789" s="591"/>
      <c r="M789" s="592"/>
      <c r="N789" s="588"/>
    </row>
    <row r="790" spans="2:14">
      <c r="B790" s="590"/>
      <c r="C790" s="590"/>
      <c r="D790" s="586"/>
      <c r="E790" s="586"/>
      <c r="F790" s="586"/>
      <c r="G790" s="586"/>
      <c r="H790" s="586"/>
      <c r="I790" s="586"/>
      <c r="J790" s="586"/>
      <c r="K790" s="586"/>
      <c r="L790" s="591"/>
      <c r="M790" s="592"/>
      <c r="N790" s="588"/>
    </row>
    <row r="791" spans="2:14">
      <c r="B791" s="590"/>
      <c r="C791" s="590"/>
      <c r="D791" s="586"/>
      <c r="E791" s="586"/>
      <c r="F791" s="586"/>
      <c r="G791" s="586"/>
      <c r="H791" s="586"/>
      <c r="I791" s="586"/>
      <c r="J791" s="586"/>
      <c r="K791" s="586"/>
      <c r="L791" s="591"/>
      <c r="M791" s="592"/>
      <c r="N791" s="588"/>
    </row>
    <row r="792" spans="2:14">
      <c r="B792" s="590"/>
      <c r="C792" s="590"/>
      <c r="D792" s="586"/>
      <c r="E792" s="586"/>
      <c r="F792" s="586"/>
      <c r="G792" s="586"/>
      <c r="H792" s="586"/>
      <c r="I792" s="586"/>
      <c r="J792" s="586"/>
      <c r="K792" s="586"/>
      <c r="L792" s="591"/>
      <c r="M792" s="592"/>
      <c r="N792" s="588"/>
    </row>
    <row r="793" spans="2:14">
      <c r="B793" s="590"/>
      <c r="C793" s="590"/>
      <c r="D793" s="586"/>
      <c r="E793" s="586"/>
      <c r="F793" s="586"/>
      <c r="G793" s="586"/>
      <c r="H793" s="586"/>
      <c r="I793" s="586"/>
      <c r="J793" s="586"/>
      <c r="K793" s="586"/>
      <c r="L793" s="591"/>
      <c r="M793" s="592"/>
      <c r="N793" s="588"/>
    </row>
    <row r="794" spans="2:14">
      <c r="B794" s="590"/>
      <c r="C794" s="590"/>
      <c r="D794" s="586"/>
      <c r="E794" s="586"/>
      <c r="F794" s="586"/>
      <c r="G794" s="586"/>
      <c r="H794" s="586"/>
      <c r="I794" s="586"/>
      <c r="J794" s="586"/>
      <c r="K794" s="586"/>
      <c r="L794" s="591"/>
      <c r="M794" s="592"/>
      <c r="N794" s="588"/>
    </row>
    <row r="795" spans="2:14">
      <c r="B795" s="590"/>
      <c r="C795" s="590"/>
      <c r="D795" s="586"/>
      <c r="E795" s="586"/>
      <c r="F795" s="586"/>
      <c r="G795" s="586"/>
      <c r="H795" s="586"/>
      <c r="I795" s="586"/>
      <c r="J795" s="586"/>
      <c r="K795" s="586"/>
      <c r="L795" s="591"/>
      <c r="M795" s="592"/>
      <c r="N795" s="588"/>
    </row>
    <row r="796" spans="2:14">
      <c r="B796" s="590"/>
      <c r="C796" s="590"/>
      <c r="D796" s="586"/>
      <c r="E796" s="586"/>
      <c r="F796" s="586"/>
      <c r="G796" s="586"/>
      <c r="H796" s="586"/>
      <c r="I796" s="586"/>
      <c r="J796" s="586"/>
      <c r="K796" s="586"/>
      <c r="L796" s="591"/>
      <c r="M796" s="592"/>
      <c r="N796" s="588"/>
    </row>
    <row r="797" spans="2:14">
      <c r="B797" s="590"/>
      <c r="C797" s="590"/>
      <c r="D797" s="586"/>
      <c r="E797" s="586"/>
      <c r="F797" s="586"/>
      <c r="G797" s="586"/>
      <c r="H797" s="586"/>
      <c r="I797" s="586"/>
      <c r="J797" s="586"/>
      <c r="K797" s="586"/>
      <c r="L797" s="591"/>
      <c r="M797" s="592"/>
      <c r="N797" s="588"/>
    </row>
    <row r="798" spans="2:14">
      <c r="B798" s="590"/>
      <c r="C798" s="590"/>
      <c r="D798" s="586"/>
      <c r="E798" s="586"/>
      <c r="F798" s="586"/>
      <c r="G798" s="586"/>
      <c r="H798" s="586"/>
      <c r="I798" s="586"/>
      <c r="J798" s="586"/>
      <c r="K798" s="586"/>
      <c r="L798" s="591"/>
      <c r="M798" s="592"/>
      <c r="N798" s="588"/>
    </row>
    <row r="799" spans="2:14">
      <c r="B799" s="590"/>
      <c r="C799" s="590"/>
      <c r="D799" s="586"/>
      <c r="E799" s="586"/>
      <c r="F799" s="586"/>
      <c r="G799" s="586"/>
      <c r="H799" s="586"/>
      <c r="I799" s="586"/>
      <c r="J799" s="586"/>
      <c r="K799" s="586"/>
      <c r="L799" s="591"/>
      <c r="M799" s="592"/>
      <c r="N799" s="588"/>
    </row>
    <row r="800" spans="2:14">
      <c r="B800" s="590"/>
      <c r="C800" s="590"/>
      <c r="D800" s="586"/>
      <c r="E800" s="586"/>
      <c r="F800" s="586"/>
      <c r="G800" s="586"/>
      <c r="H800" s="586"/>
      <c r="I800" s="586"/>
      <c r="J800" s="586"/>
      <c r="K800" s="586"/>
      <c r="L800" s="591"/>
      <c r="M800" s="592"/>
      <c r="N800" s="588"/>
    </row>
    <row r="801" spans="2:14">
      <c r="B801" s="590"/>
      <c r="C801" s="590"/>
      <c r="D801" s="586"/>
      <c r="E801" s="586"/>
      <c r="F801" s="586"/>
      <c r="G801" s="586"/>
      <c r="H801" s="586"/>
      <c r="I801" s="586"/>
      <c r="J801" s="586"/>
      <c r="K801" s="586"/>
      <c r="L801" s="591"/>
      <c r="M801" s="592"/>
      <c r="N801" s="588"/>
    </row>
    <row r="802" spans="2:14">
      <c r="B802" s="590"/>
      <c r="C802" s="590"/>
      <c r="D802" s="586"/>
      <c r="E802" s="586"/>
      <c r="F802" s="586"/>
      <c r="G802" s="586"/>
      <c r="H802" s="586"/>
      <c r="I802" s="586"/>
      <c r="J802" s="586"/>
      <c r="K802" s="586"/>
      <c r="L802" s="591"/>
      <c r="M802" s="592"/>
      <c r="N802" s="588"/>
    </row>
    <row r="803" spans="2:14">
      <c r="B803" s="590"/>
      <c r="C803" s="590"/>
      <c r="D803" s="586"/>
      <c r="E803" s="586"/>
      <c r="F803" s="586"/>
      <c r="G803" s="586"/>
      <c r="H803" s="586"/>
      <c r="I803" s="586"/>
      <c r="J803" s="586"/>
      <c r="K803" s="586"/>
      <c r="L803" s="591"/>
      <c r="M803" s="592"/>
      <c r="N803" s="588"/>
    </row>
    <row r="804" spans="2:14">
      <c r="B804" s="590"/>
      <c r="C804" s="590"/>
      <c r="D804" s="586"/>
      <c r="E804" s="586"/>
      <c r="F804" s="586"/>
      <c r="G804" s="586"/>
      <c r="H804" s="586"/>
      <c r="I804" s="586"/>
      <c r="J804" s="586"/>
      <c r="K804" s="586"/>
      <c r="L804" s="591"/>
      <c r="M804" s="592"/>
      <c r="N804" s="588"/>
    </row>
    <row r="805" spans="2:14">
      <c r="B805" s="590"/>
      <c r="C805" s="590"/>
      <c r="D805" s="586"/>
      <c r="E805" s="586"/>
      <c r="F805" s="586"/>
      <c r="G805" s="586"/>
      <c r="H805" s="586"/>
      <c r="I805" s="586"/>
      <c r="J805" s="586"/>
      <c r="K805" s="586"/>
      <c r="L805" s="591"/>
      <c r="M805" s="592"/>
      <c r="N805" s="588"/>
    </row>
    <row r="806" spans="2:14">
      <c r="B806" s="590"/>
      <c r="C806" s="590"/>
      <c r="D806" s="586"/>
      <c r="E806" s="586"/>
      <c r="F806" s="586"/>
      <c r="G806" s="586"/>
      <c r="H806" s="586"/>
      <c r="I806" s="586"/>
      <c r="J806" s="586"/>
      <c r="K806" s="586"/>
      <c r="L806" s="591"/>
      <c r="M806" s="592"/>
      <c r="N806" s="588"/>
    </row>
    <row r="807" spans="2:14">
      <c r="B807" s="590"/>
      <c r="C807" s="590"/>
      <c r="D807" s="586"/>
      <c r="E807" s="586"/>
      <c r="F807" s="586"/>
      <c r="G807" s="586"/>
      <c r="H807" s="586"/>
      <c r="I807" s="586"/>
      <c r="J807" s="586"/>
      <c r="K807" s="586"/>
      <c r="L807" s="591"/>
      <c r="M807" s="592"/>
      <c r="N807" s="588"/>
    </row>
    <row r="808" spans="2:14">
      <c r="B808" s="590"/>
      <c r="C808" s="590"/>
      <c r="D808" s="586"/>
      <c r="E808" s="586"/>
      <c r="F808" s="586"/>
      <c r="G808" s="586"/>
      <c r="H808" s="586"/>
      <c r="I808" s="586"/>
      <c r="J808" s="586"/>
      <c r="K808" s="586"/>
      <c r="L808" s="591"/>
      <c r="M808" s="592"/>
      <c r="N808" s="588"/>
    </row>
    <row r="809" spans="2:14">
      <c r="B809" s="590"/>
      <c r="C809" s="590"/>
      <c r="D809" s="586"/>
      <c r="E809" s="586"/>
      <c r="F809" s="586"/>
      <c r="G809" s="586"/>
      <c r="H809" s="586"/>
      <c r="I809" s="586"/>
      <c r="J809" s="586"/>
      <c r="K809" s="586"/>
      <c r="L809" s="591"/>
      <c r="M809" s="592"/>
      <c r="N809" s="588"/>
    </row>
    <row r="810" spans="2:14">
      <c r="B810" s="590"/>
      <c r="C810" s="590"/>
      <c r="D810" s="586"/>
      <c r="E810" s="586"/>
      <c r="F810" s="586"/>
      <c r="G810" s="586"/>
      <c r="H810" s="586"/>
      <c r="I810" s="586"/>
      <c r="J810" s="586"/>
      <c r="K810" s="586"/>
      <c r="L810" s="591"/>
      <c r="M810" s="592"/>
      <c r="N810" s="588"/>
    </row>
    <row r="811" spans="2:14">
      <c r="B811" s="590"/>
      <c r="C811" s="590"/>
      <c r="D811" s="586"/>
      <c r="E811" s="586"/>
      <c r="F811" s="586"/>
      <c r="G811" s="586"/>
      <c r="H811" s="586"/>
      <c r="I811" s="586"/>
      <c r="J811" s="586"/>
      <c r="K811" s="586"/>
      <c r="L811" s="591"/>
      <c r="M811" s="592"/>
      <c r="N811" s="588"/>
    </row>
    <row r="812" spans="2:14">
      <c r="B812" s="590"/>
      <c r="C812" s="590"/>
      <c r="D812" s="586"/>
      <c r="E812" s="586"/>
      <c r="F812" s="586"/>
      <c r="G812" s="586"/>
      <c r="H812" s="586"/>
      <c r="I812" s="586"/>
      <c r="J812" s="586"/>
      <c r="K812" s="586"/>
      <c r="L812" s="591"/>
      <c r="M812" s="592"/>
      <c r="N812" s="588"/>
    </row>
    <row r="813" spans="2:14">
      <c r="B813" s="590"/>
      <c r="C813" s="590"/>
      <c r="D813" s="586"/>
      <c r="E813" s="586"/>
      <c r="F813" s="586"/>
      <c r="G813" s="586"/>
      <c r="H813" s="586"/>
      <c r="I813" s="586"/>
      <c r="J813" s="586"/>
      <c r="K813" s="586"/>
      <c r="L813" s="591"/>
      <c r="M813" s="592"/>
      <c r="N813" s="588"/>
    </row>
    <row r="814" spans="2:14">
      <c r="B814" s="590"/>
      <c r="C814" s="590"/>
      <c r="D814" s="586"/>
      <c r="E814" s="586"/>
      <c r="F814" s="586"/>
      <c r="G814" s="586"/>
      <c r="H814" s="586"/>
      <c r="I814" s="586"/>
      <c r="J814" s="586"/>
      <c r="K814" s="586"/>
      <c r="L814" s="591"/>
      <c r="M814" s="592"/>
      <c r="N814" s="588"/>
    </row>
    <row r="815" spans="2:14">
      <c r="B815" s="590"/>
      <c r="C815" s="590"/>
      <c r="D815" s="586"/>
      <c r="E815" s="586"/>
      <c r="F815" s="586"/>
      <c r="G815" s="586"/>
      <c r="H815" s="586"/>
      <c r="I815" s="586"/>
      <c r="J815" s="586"/>
      <c r="K815" s="586"/>
      <c r="L815" s="591"/>
      <c r="M815" s="592"/>
      <c r="N815" s="588"/>
    </row>
    <row r="816" spans="2:14">
      <c r="B816" s="590"/>
      <c r="C816" s="590"/>
      <c r="D816" s="586"/>
      <c r="E816" s="586"/>
      <c r="F816" s="586"/>
      <c r="G816" s="586"/>
      <c r="H816" s="586"/>
      <c r="I816" s="586"/>
      <c r="J816" s="586"/>
      <c r="K816" s="586"/>
      <c r="L816" s="591"/>
      <c r="M816" s="592"/>
      <c r="N816" s="588"/>
    </row>
    <row r="817" spans="2:14">
      <c r="B817" s="590"/>
      <c r="C817" s="590"/>
      <c r="D817" s="586"/>
      <c r="E817" s="586"/>
      <c r="F817" s="586"/>
      <c r="G817" s="586"/>
      <c r="H817" s="586"/>
      <c r="I817" s="586"/>
      <c r="J817" s="586"/>
      <c r="K817" s="586"/>
      <c r="L817" s="591"/>
      <c r="M817" s="592"/>
      <c r="N817" s="588"/>
    </row>
    <row r="818" spans="2:14">
      <c r="B818" s="590"/>
      <c r="C818" s="590"/>
      <c r="D818" s="586"/>
      <c r="E818" s="586"/>
      <c r="F818" s="586"/>
      <c r="G818" s="586"/>
      <c r="H818" s="586"/>
      <c r="I818" s="586"/>
      <c r="J818" s="586"/>
      <c r="K818" s="586"/>
      <c r="L818" s="591"/>
      <c r="M818" s="592"/>
      <c r="N818" s="588"/>
    </row>
    <row r="819" spans="2:14">
      <c r="B819" s="590"/>
      <c r="C819" s="590"/>
      <c r="D819" s="586"/>
      <c r="E819" s="586"/>
      <c r="F819" s="586"/>
      <c r="G819" s="586"/>
      <c r="H819" s="586"/>
      <c r="I819" s="586"/>
      <c r="J819" s="586"/>
      <c r="K819" s="586"/>
      <c r="L819" s="591"/>
      <c r="M819" s="592"/>
      <c r="N819" s="588"/>
    </row>
    <row r="820" spans="2:14">
      <c r="B820" s="590"/>
      <c r="C820" s="590"/>
      <c r="D820" s="586"/>
      <c r="E820" s="586"/>
      <c r="F820" s="586"/>
      <c r="G820" s="586"/>
      <c r="H820" s="586"/>
      <c r="I820" s="586"/>
      <c r="J820" s="586"/>
      <c r="K820" s="586"/>
      <c r="L820" s="591"/>
      <c r="M820" s="592"/>
      <c r="N820" s="588"/>
    </row>
    <row r="821" spans="2:14">
      <c r="B821" s="590"/>
      <c r="C821" s="590"/>
      <c r="D821" s="586"/>
      <c r="E821" s="586"/>
      <c r="F821" s="586"/>
      <c r="G821" s="586"/>
      <c r="H821" s="586"/>
      <c r="I821" s="586"/>
      <c r="J821" s="586"/>
      <c r="K821" s="586"/>
      <c r="L821" s="591"/>
      <c r="M821" s="592"/>
      <c r="N821" s="588"/>
    </row>
    <row r="822" spans="2:14">
      <c r="B822" s="590"/>
      <c r="C822" s="590"/>
      <c r="D822" s="586"/>
      <c r="E822" s="586"/>
      <c r="F822" s="586"/>
      <c r="G822" s="586"/>
      <c r="H822" s="586"/>
      <c r="I822" s="586"/>
      <c r="J822" s="586"/>
      <c r="K822" s="586"/>
      <c r="L822" s="591"/>
      <c r="M822" s="592"/>
      <c r="N822" s="588"/>
    </row>
    <row r="823" spans="2:14">
      <c r="B823" s="590"/>
      <c r="C823" s="590"/>
      <c r="D823" s="586"/>
      <c r="E823" s="586"/>
      <c r="F823" s="586"/>
      <c r="G823" s="586"/>
      <c r="H823" s="586"/>
      <c r="I823" s="586"/>
      <c r="J823" s="586"/>
      <c r="K823" s="586"/>
      <c r="L823" s="591"/>
      <c r="M823" s="592"/>
      <c r="N823" s="588"/>
    </row>
    <row r="824" spans="2:14">
      <c r="B824" s="590"/>
      <c r="C824" s="590"/>
      <c r="D824" s="586"/>
      <c r="E824" s="586"/>
      <c r="F824" s="586"/>
      <c r="G824" s="586"/>
      <c r="H824" s="586"/>
      <c r="I824" s="586"/>
      <c r="J824" s="586"/>
      <c r="K824" s="586"/>
      <c r="L824" s="591"/>
      <c r="M824" s="592"/>
      <c r="N824" s="588"/>
    </row>
    <row r="825" spans="2:14">
      <c r="B825" s="590"/>
      <c r="C825" s="590"/>
      <c r="D825" s="586"/>
      <c r="E825" s="586"/>
      <c r="F825" s="586"/>
      <c r="G825" s="586"/>
      <c r="H825" s="586"/>
      <c r="I825" s="586"/>
      <c r="J825" s="586"/>
      <c r="K825" s="586"/>
      <c r="L825" s="591"/>
      <c r="M825" s="592"/>
      <c r="N825" s="588"/>
    </row>
    <row r="826" spans="2:14">
      <c r="B826" s="590"/>
      <c r="C826" s="590"/>
      <c r="D826" s="586"/>
      <c r="E826" s="586"/>
      <c r="F826" s="586"/>
      <c r="G826" s="586"/>
      <c r="H826" s="586"/>
      <c r="I826" s="586"/>
      <c r="J826" s="586"/>
      <c r="K826" s="586"/>
      <c r="L826" s="591"/>
      <c r="M826" s="592"/>
      <c r="N826" s="588"/>
    </row>
    <row r="827" spans="2:14">
      <c r="B827" s="590"/>
      <c r="C827" s="590"/>
      <c r="D827" s="586"/>
      <c r="E827" s="586"/>
      <c r="F827" s="586"/>
      <c r="G827" s="586"/>
      <c r="H827" s="586"/>
      <c r="I827" s="586"/>
      <c r="J827" s="586"/>
      <c r="K827" s="586"/>
      <c r="L827" s="591"/>
      <c r="M827" s="592"/>
      <c r="N827" s="588"/>
    </row>
    <row r="828" spans="2:14">
      <c r="B828" s="590"/>
      <c r="C828" s="590"/>
      <c r="D828" s="586"/>
      <c r="E828" s="586"/>
      <c r="F828" s="586"/>
      <c r="G828" s="586"/>
      <c r="H828" s="586"/>
      <c r="I828" s="586"/>
      <c r="J828" s="586"/>
      <c r="K828" s="586"/>
      <c r="L828" s="591"/>
      <c r="M828" s="592"/>
      <c r="N828" s="588"/>
    </row>
    <row r="829" spans="2:14">
      <c r="B829" s="590"/>
      <c r="C829" s="590"/>
      <c r="D829" s="586"/>
      <c r="E829" s="586"/>
      <c r="F829" s="586"/>
      <c r="G829" s="586"/>
      <c r="H829" s="586"/>
      <c r="I829" s="586"/>
      <c r="J829" s="586"/>
      <c r="K829" s="586"/>
      <c r="L829" s="591"/>
      <c r="M829" s="592"/>
      <c r="N829" s="588"/>
    </row>
    <row r="830" spans="2:14">
      <c r="B830" s="590"/>
      <c r="C830" s="590"/>
      <c r="D830" s="586"/>
      <c r="E830" s="586"/>
      <c r="F830" s="586"/>
      <c r="G830" s="586"/>
      <c r="H830" s="586"/>
      <c r="I830" s="586"/>
      <c r="J830" s="586"/>
      <c r="K830" s="586"/>
      <c r="L830" s="591"/>
      <c r="M830" s="592"/>
      <c r="N830" s="588"/>
    </row>
    <row r="831" spans="2:14">
      <c r="B831" s="590"/>
      <c r="C831" s="590"/>
      <c r="D831" s="586"/>
      <c r="E831" s="586"/>
      <c r="F831" s="586"/>
      <c r="G831" s="586"/>
      <c r="H831" s="586"/>
      <c r="I831" s="586"/>
      <c r="J831" s="586"/>
      <c r="K831" s="586"/>
      <c r="L831" s="591"/>
      <c r="M831" s="592"/>
      <c r="N831" s="588"/>
    </row>
    <row r="832" spans="2:14">
      <c r="B832" s="590"/>
      <c r="C832" s="590"/>
      <c r="D832" s="586"/>
      <c r="E832" s="586"/>
      <c r="F832" s="586"/>
      <c r="G832" s="586"/>
      <c r="H832" s="586"/>
      <c r="I832" s="586"/>
      <c r="J832" s="586"/>
      <c r="K832" s="586"/>
      <c r="L832" s="591"/>
      <c r="M832" s="592"/>
      <c r="N832" s="588"/>
    </row>
    <row r="833" spans="2:14">
      <c r="B833" s="590"/>
      <c r="C833" s="590"/>
      <c r="D833" s="586"/>
      <c r="E833" s="586"/>
      <c r="F833" s="586"/>
      <c r="G833" s="586"/>
      <c r="H833" s="586"/>
      <c r="I833" s="586"/>
      <c r="J833" s="586"/>
      <c r="K833" s="586"/>
      <c r="L833" s="591"/>
      <c r="M833" s="592"/>
      <c r="N833" s="588"/>
    </row>
    <row r="834" spans="2:14">
      <c r="B834" s="590"/>
      <c r="C834" s="590"/>
      <c r="D834" s="586"/>
      <c r="E834" s="586"/>
      <c r="F834" s="586"/>
      <c r="G834" s="586"/>
      <c r="H834" s="586"/>
      <c r="I834" s="586"/>
      <c r="J834" s="586"/>
      <c r="K834" s="586"/>
      <c r="L834" s="591"/>
      <c r="M834" s="592"/>
      <c r="N834" s="588"/>
    </row>
    <row r="835" spans="2:14">
      <c r="B835" s="590"/>
      <c r="C835" s="590"/>
      <c r="D835" s="586"/>
      <c r="E835" s="586"/>
      <c r="F835" s="586"/>
      <c r="G835" s="586"/>
      <c r="H835" s="586"/>
      <c r="I835" s="586"/>
      <c r="J835" s="586"/>
      <c r="K835" s="586"/>
      <c r="L835" s="591"/>
      <c r="M835" s="592"/>
      <c r="N835" s="588"/>
    </row>
    <row r="836" spans="2:14">
      <c r="B836" s="590"/>
      <c r="C836" s="590"/>
      <c r="D836" s="586"/>
      <c r="E836" s="586"/>
      <c r="F836" s="586"/>
      <c r="G836" s="586"/>
      <c r="H836" s="586"/>
      <c r="I836" s="586"/>
      <c r="J836" s="586"/>
      <c r="K836" s="586"/>
      <c r="L836" s="591"/>
      <c r="M836" s="592"/>
      <c r="N836" s="588"/>
    </row>
    <row r="837" spans="2:14">
      <c r="B837" s="590"/>
      <c r="C837" s="590"/>
      <c r="D837" s="586"/>
      <c r="E837" s="586"/>
      <c r="F837" s="586"/>
      <c r="G837" s="586"/>
      <c r="H837" s="586"/>
      <c r="I837" s="586"/>
      <c r="J837" s="586"/>
      <c r="K837" s="586"/>
      <c r="L837" s="591"/>
      <c r="M837" s="592"/>
      <c r="N837" s="588"/>
    </row>
    <row r="838" spans="2:14">
      <c r="B838" s="590"/>
      <c r="C838" s="590"/>
      <c r="D838" s="586"/>
      <c r="E838" s="586"/>
      <c r="F838" s="586"/>
      <c r="G838" s="586"/>
      <c r="H838" s="586"/>
      <c r="I838" s="586"/>
      <c r="J838" s="586"/>
      <c r="K838" s="586"/>
      <c r="L838" s="591"/>
      <c r="M838" s="592"/>
      <c r="N838" s="588"/>
    </row>
    <row r="839" spans="2:14">
      <c r="B839" s="590"/>
      <c r="C839" s="590"/>
      <c r="D839" s="586"/>
      <c r="E839" s="586"/>
      <c r="F839" s="586"/>
      <c r="G839" s="586"/>
      <c r="H839" s="586"/>
      <c r="I839" s="586"/>
      <c r="J839" s="586"/>
      <c r="K839" s="586"/>
      <c r="L839" s="591"/>
      <c r="M839" s="592"/>
      <c r="N839" s="588"/>
    </row>
    <row r="840" spans="2:14">
      <c r="B840" s="590"/>
      <c r="C840" s="590"/>
      <c r="D840" s="586"/>
      <c r="E840" s="586"/>
      <c r="F840" s="586"/>
      <c r="G840" s="586"/>
      <c r="H840" s="586"/>
      <c r="I840" s="586"/>
      <c r="J840" s="586"/>
      <c r="K840" s="586"/>
      <c r="L840" s="591"/>
      <c r="M840" s="592"/>
      <c r="N840" s="588"/>
    </row>
    <row r="841" spans="2:14">
      <c r="B841" s="590"/>
      <c r="C841" s="590"/>
      <c r="D841" s="586"/>
      <c r="E841" s="586"/>
      <c r="F841" s="586"/>
      <c r="G841" s="586"/>
      <c r="H841" s="586"/>
      <c r="I841" s="586"/>
      <c r="J841" s="586"/>
      <c r="K841" s="586"/>
      <c r="L841" s="591"/>
      <c r="M841" s="592"/>
      <c r="N841" s="588"/>
    </row>
    <row r="842" spans="2:14">
      <c r="B842" s="590"/>
      <c r="C842" s="590"/>
      <c r="D842" s="586"/>
      <c r="E842" s="586"/>
      <c r="F842" s="586"/>
      <c r="G842" s="586"/>
      <c r="H842" s="586"/>
      <c r="I842" s="586"/>
      <c r="J842" s="586"/>
      <c r="K842" s="586"/>
      <c r="L842" s="591"/>
      <c r="M842" s="592"/>
      <c r="N842" s="588"/>
    </row>
    <row r="843" spans="2:14">
      <c r="B843" s="590"/>
      <c r="C843" s="590"/>
      <c r="D843" s="586"/>
      <c r="E843" s="586"/>
      <c r="F843" s="586"/>
      <c r="G843" s="586"/>
      <c r="H843" s="586"/>
      <c r="I843" s="586"/>
      <c r="J843" s="586"/>
      <c r="K843" s="586"/>
      <c r="L843" s="591"/>
      <c r="M843" s="592"/>
      <c r="N843" s="588"/>
    </row>
    <row r="844" spans="2:14">
      <c r="B844" s="590"/>
      <c r="C844" s="590"/>
      <c r="D844" s="586"/>
      <c r="E844" s="586"/>
      <c r="F844" s="586"/>
      <c r="G844" s="586"/>
      <c r="H844" s="586"/>
      <c r="I844" s="586"/>
      <c r="J844" s="586"/>
      <c r="K844" s="586"/>
      <c r="L844" s="591"/>
      <c r="M844" s="592"/>
      <c r="N844" s="588"/>
    </row>
    <row r="845" spans="2:14">
      <c r="B845" s="590"/>
      <c r="C845" s="590"/>
      <c r="D845" s="586"/>
      <c r="E845" s="586"/>
      <c r="F845" s="586"/>
      <c r="G845" s="586"/>
      <c r="H845" s="586"/>
      <c r="I845" s="586"/>
      <c r="J845" s="586"/>
      <c r="K845" s="586"/>
      <c r="L845" s="591"/>
      <c r="M845" s="592"/>
      <c r="N845" s="588"/>
    </row>
    <row r="846" spans="2:14">
      <c r="B846" s="590"/>
      <c r="C846" s="590"/>
      <c r="D846" s="586"/>
      <c r="E846" s="586"/>
      <c r="F846" s="586"/>
      <c r="G846" s="586"/>
      <c r="H846" s="586"/>
      <c r="I846" s="586"/>
      <c r="J846" s="586"/>
      <c r="K846" s="586"/>
      <c r="L846" s="591"/>
      <c r="M846" s="592"/>
      <c r="N846" s="588"/>
    </row>
    <row r="847" spans="2:14">
      <c r="B847" s="590"/>
      <c r="C847" s="590"/>
      <c r="D847" s="586"/>
      <c r="E847" s="586"/>
      <c r="F847" s="586"/>
      <c r="G847" s="586"/>
      <c r="H847" s="586"/>
      <c r="I847" s="586"/>
      <c r="J847" s="586"/>
      <c r="K847" s="586"/>
      <c r="L847" s="591"/>
      <c r="M847" s="592"/>
      <c r="N847" s="588"/>
    </row>
    <row r="848" spans="2:14">
      <c r="B848" s="590"/>
      <c r="C848" s="590"/>
      <c r="D848" s="586"/>
      <c r="E848" s="586"/>
      <c r="F848" s="586"/>
      <c r="G848" s="586"/>
      <c r="H848" s="586"/>
      <c r="I848" s="586"/>
      <c r="J848" s="586"/>
      <c r="K848" s="586"/>
      <c r="L848" s="591"/>
      <c r="M848" s="592"/>
      <c r="N848" s="588"/>
    </row>
    <row r="849" spans="2:14">
      <c r="B849" s="590"/>
      <c r="C849" s="590"/>
      <c r="D849" s="586"/>
      <c r="E849" s="586"/>
      <c r="F849" s="586"/>
      <c r="G849" s="586"/>
      <c r="H849" s="586"/>
      <c r="I849" s="586"/>
      <c r="J849" s="586"/>
      <c r="K849" s="586"/>
      <c r="L849" s="591"/>
      <c r="M849" s="592"/>
      <c r="N849" s="588"/>
    </row>
    <row r="850" spans="2:14">
      <c r="B850" s="590"/>
      <c r="C850" s="590"/>
      <c r="D850" s="586"/>
      <c r="E850" s="586"/>
      <c r="F850" s="586"/>
      <c r="G850" s="586"/>
      <c r="H850" s="586"/>
      <c r="I850" s="586"/>
      <c r="J850" s="586"/>
      <c r="K850" s="586"/>
      <c r="L850" s="591"/>
      <c r="M850" s="592"/>
      <c r="N850" s="588"/>
    </row>
    <row r="851" spans="2:14">
      <c r="B851" s="590"/>
      <c r="C851" s="590"/>
      <c r="D851" s="586"/>
      <c r="E851" s="586"/>
      <c r="F851" s="586"/>
      <c r="G851" s="586"/>
      <c r="H851" s="586"/>
      <c r="I851" s="586"/>
      <c r="J851" s="586"/>
      <c r="K851" s="586"/>
      <c r="L851" s="591"/>
      <c r="M851" s="592"/>
      <c r="N851" s="588"/>
    </row>
    <row r="852" spans="2:14">
      <c r="B852" s="590"/>
      <c r="C852" s="590"/>
      <c r="D852" s="586"/>
      <c r="E852" s="586"/>
      <c r="F852" s="586"/>
      <c r="G852" s="586"/>
      <c r="H852" s="586"/>
      <c r="I852" s="586"/>
      <c r="J852" s="586"/>
      <c r="K852" s="586"/>
      <c r="L852" s="591"/>
      <c r="M852" s="592"/>
      <c r="N852" s="588"/>
    </row>
    <row r="853" spans="2:14">
      <c r="B853" s="590"/>
      <c r="C853" s="590"/>
      <c r="D853" s="586"/>
      <c r="E853" s="586"/>
      <c r="F853" s="586"/>
      <c r="G853" s="586"/>
      <c r="H853" s="586"/>
      <c r="I853" s="586"/>
      <c r="J853" s="586"/>
      <c r="K853" s="586"/>
      <c r="L853" s="591"/>
      <c r="M853" s="592"/>
      <c r="N853" s="588"/>
    </row>
    <row r="854" spans="2:14">
      <c r="B854" s="590"/>
      <c r="C854" s="590"/>
      <c r="D854" s="586"/>
      <c r="E854" s="586"/>
      <c r="F854" s="586"/>
      <c r="G854" s="586"/>
      <c r="H854" s="586"/>
      <c r="I854" s="586"/>
      <c r="J854" s="586"/>
      <c r="K854" s="586"/>
      <c r="L854" s="591"/>
      <c r="M854" s="592"/>
      <c r="N854" s="588"/>
    </row>
    <row r="855" spans="2:14">
      <c r="B855" s="590"/>
      <c r="C855" s="590"/>
      <c r="D855" s="586"/>
      <c r="E855" s="586"/>
      <c r="F855" s="586"/>
      <c r="G855" s="586"/>
      <c r="H855" s="586"/>
      <c r="I855" s="586"/>
      <c r="J855" s="586"/>
      <c r="K855" s="586"/>
      <c r="L855" s="591"/>
      <c r="M855" s="592"/>
      <c r="N855" s="588"/>
    </row>
    <row r="856" spans="2:14">
      <c r="B856" s="590"/>
      <c r="C856" s="590"/>
      <c r="D856" s="586"/>
      <c r="E856" s="586"/>
      <c r="F856" s="586"/>
      <c r="G856" s="586"/>
      <c r="H856" s="586"/>
      <c r="I856" s="586"/>
      <c r="J856" s="586"/>
      <c r="K856" s="586"/>
      <c r="L856" s="591"/>
      <c r="M856" s="592"/>
      <c r="N856" s="588"/>
    </row>
    <row r="857" spans="2:14">
      <c r="B857" s="590"/>
      <c r="C857" s="590"/>
      <c r="D857" s="586"/>
      <c r="E857" s="586"/>
      <c r="F857" s="586"/>
      <c r="G857" s="586"/>
      <c r="H857" s="586"/>
      <c r="I857" s="586"/>
      <c r="J857" s="586"/>
      <c r="K857" s="586"/>
      <c r="L857" s="591"/>
      <c r="M857" s="592"/>
      <c r="N857" s="588"/>
    </row>
    <row r="858" spans="2:14">
      <c r="B858" s="590"/>
      <c r="C858" s="590"/>
      <c r="D858" s="586"/>
      <c r="E858" s="586"/>
      <c r="F858" s="586"/>
      <c r="G858" s="586"/>
      <c r="H858" s="586"/>
      <c r="I858" s="586"/>
      <c r="J858" s="586"/>
      <c r="K858" s="586"/>
      <c r="L858" s="591"/>
      <c r="M858" s="592"/>
      <c r="N858" s="588"/>
    </row>
    <row r="859" spans="2:14">
      <c r="B859" s="590"/>
      <c r="C859" s="590"/>
      <c r="D859" s="586"/>
      <c r="E859" s="586"/>
      <c r="F859" s="586"/>
      <c r="G859" s="586"/>
      <c r="H859" s="586"/>
      <c r="I859" s="586"/>
      <c r="J859" s="586"/>
      <c r="K859" s="586"/>
      <c r="L859" s="591"/>
      <c r="M859" s="592"/>
      <c r="N859" s="588"/>
    </row>
    <row r="860" spans="2:14">
      <c r="B860" s="590"/>
      <c r="C860" s="590"/>
      <c r="D860" s="586"/>
      <c r="E860" s="586"/>
      <c r="F860" s="586"/>
      <c r="G860" s="586"/>
      <c r="H860" s="586"/>
      <c r="I860" s="586"/>
      <c r="J860" s="586"/>
      <c r="K860" s="586"/>
      <c r="L860" s="591"/>
      <c r="M860" s="592"/>
      <c r="N860" s="588"/>
    </row>
    <row r="861" spans="2:14">
      <c r="B861" s="590"/>
      <c r="C861" s="590"/>
      <c r="D861" s="586"/>
      <c r="E861" s="586"/>
      <c r="F861" s="586"/>
      <c r="G861" s="586"/>
      <c r="H861" s="586"/>
      <c r="I861" s="586"/>
      <c r="J861" s="586"/>
      <c r="K861" s="586"/>
      <c r="L861" s="591"/>
      <c r="M861" s="592"/>
      <c r="N861" s="588"/>
    </row>
    <row r="862" spans="2:14">
      <c r="B862" s="590"/>
      <c r="C862" s="590"/>
      <c r="D862" s="586"/>
      <c r="E862" s="586"/>
      <c r="F862" s="586"/>
      <c r="G862" s="586"/>
      <c r="H862" s="586"/>
      <c r="I862" s="586"/>
      <c r="J862" s="586"/>
      <c r="K862" s="586"/>
      <c r="L862" s="591"/>
      <c r="M862" s="592"/>
      <c r="N862" s="588"/>
    </row>
    <row r="863" spans="2:14">
      <c r="B863" s="590"/>
      <c r="C863" s="590"/>
      <c r="D863" s="586"/>
      <c r="E863" s="586"/>
      <c r="F863" s="586"/>
      <c r="G863" s="586"/>
      <c r="H863" s="586"/>
      <c r="I863" s="586"/>
      <c r="J863" s="586"/>
      <c r="K863" s="586"/>
      <c r="L863" s="591"/>
      <c r="M863" s="592"/>
      <c r="N863" s="588"/>
    </row>
    <row r="864" spans="2:14">
      <c r="B864" s="590"/>
      <c r="C864" s="590"/>
      <c r="D864" s="586"/>
      <c r="E864" s="586"/>
      <c r="F864" s="586"/>
      <c r="G864" s="586"/>
      <c r="H864" s="586"/>
      <c r="I864" s="586"/>
      <c r="J864" s="586"/>
      <c r="K864" s="586"/>
      <c r="L864" s="591"/>
      <c r="M864" s="592"/>
      <c r="N864" s="588"/>
    </row>
    <row r="865" spans="2:14">
      <c r="B865" s="590"/>
      <c r="C865" s="590"/>
      <c r="D865" s="586"/>
      <c r="E865" s="586"/>
      <c r="F865" s="586"/>
      <c r="G865" s="586"/>
      <c r="H865" s="586"/>
      <c r="I865" s="586"/>
      <c r="J865" s="586"/>
      <c r="K865" s="586"/>
      <c r="L865" s="591"/>
      <c r="M865" s="592"/>
      <c r="N865" s="588"/>
    </row>
    <row r="866" spans="2:14">
      <c r="B866" s="590"/>
      <c r="C866" s="590"/>
      <c r="D866" s="586"/>
      <c r="E866" s="586"/>
      <c r="F866" s="586"/>
      <c r="G866" s="586"/>
      <c r="H866" s="586"/>
      <c r="I866" s="586"/>
      <c r="J866" s="586"/>
      <c r="K866" s="586"/>
      <c r="L866" s="591"/>
      <c r="M866" s="592"/>
      <c r="N866" s="588"/>
    </row>
    <row r="867" spans="2:14">
      <c r="B867" s="590"/>
      <c r="C867" s="590"/>
      <c r="D867" s="586"/>
      <c r="E867" s="586"/>
      <c r="F867" s="586"/>
      <c r="G867" s="586"/>
      <c r="H867" s="586"/>
      <c r="I867" s="586"/>
      <c r="J867" s="586"/>
      <c r="K867" s="586"/>
      <c r="L867" s="591"/>
      <c r="M867" s="592"/>
      <c r="N867" s="588"/>
    </row>
    <row r="868" spans="2:14">
      <c r="B868" s="590"/>
      <c r="C868" s="590"/>
      <c r="D868" s="586"/>
      <c r="E868" s="586"/>
      <c r="F868" s="586"/>
      <c r="G868" s="586"/>
      <c r="H868" s="586"/>
      <c r="I868" s="586"/>
      <c r="J868" s="586"/>
      <c r="K868" s="586"/>
      <c r="L868" s="591"/>
      <c r="M868" s="592"/>
      <c r="N868" s="588"/>
    </row>
    <row r="869" spans="2:14">
      <c r="B869" s="590"/>
      <c r="C869" s="590"/>
      <c r="D869" s="586"/>
      <c r="E869" s="586"/>
      <c r="F869" s="586"/>
      <c r="G869" s="586"/>
      <c r="H869" s="586"/>
      <c r="I869" s="586"/>
      <c r="J869" s="586"/>
      <c r="K869" s="586"/>
      <c r="L869" s="591"/>
      <c r="M869" s="592"/>
      <c r="N869" s="588"/>
    </row>
    <row r="870" spans="2:14">
      <c r="B870" s="590"/>
      <c r="C870" s="590"/>
      <c r="D870" s="586"/>
      <c r="E870" s="586"/>
      <c r="F870" s="586"/>
      <c r="G870" s="586"/>
      <c r="H870" s="586"/>
      <c r="I870" s="586"/>
      <c r="J870" s="586"/>
      <c r="K870" s="586"/>
      <c r="L870" s="591"/>
      <c r="M870" s="592"/>
      <c r="N870" s="588"/>
    </row>
    <row r="871" spans="2:14">
      <c r="B871" s="590"/>
      <c r="C871" s="590"/>
      <c r="D871" s="586"/>
      <c r="E871" s="586"/>
      <c r="F871" s="586"/>
      <c r="G871" s="586"/>
      <c r="H871" s="586"/>
      <c r="I871" s="586"/>
      <c r="J871" s="586"/>
      <c r="K871" s="586"/>
      <c r="L871" s="591"/>
      <c r="M871" s="592"/>
      <c r="N871" s="588"/>
    </row>
    <row r="872" spans="2:14">
      <c r="B872" s="590"/>
      <c r="C872" s="590"/>
      <c r="D872" s="586"/>
      <c r="E872" s="586"/>
      <c r="F872" s="586"/>
      <c r="G872" s="586"/>
      <c r="H872" s="586"/>
      <c r="I872" s="586"/>
      <c r="J872" s="586"/>
      <c r="K872" s="586"/>
      <c r="L872" s="591"/>
      <c r="M872" s="592"/>
      <c r="N872" s="588"/>
    </row>
    <row r="873" spans="2:14">
      <c r="B873" s="590"/>
      <c r="C873" s="590"/>
      <c r="D873" s="586"/>
      <c r="E873" s="586"/>
      <c r="F873" s="586"/>
      <c r="G873" s="586"/>
      <c r="H873" s="586"/>
      <c r="I873" s="586"/>
      <c r="J873" s="586"/>
      <c r="K873" s="586"/>
      <c r="L873" s="591"/>
      <c r="M873" s="592"/>
      <c r="N873" s="588"/>
    </row>
    <row r="874" spans="2:14">
      <c r="B874" s="590"/>
      <c r="C874" s="590"/>
      <c r="D874" s="586"/>
      <c r="E874" s="586"/>
      <c r="F874" s="586"/>
      <c r="G874" s="586"/>
      <c r="H874" s="586"/>
      <c r="I874" s="586"/>
      <c r="J874" s="586"/>
      <c r="K874" s="586"/>
      <c r="L874" s="591"/>
      <c r="M874" s="592"/>
      <c r="N874" s="588"/>
    </row>
    <row r="875" spans="2:14">
      <c r="B875" s="590"/>
      <c r="C875" s="590"/>
      <c r="D875" s="586"/>
      <c r="E875" s="586"/>
      <c r="F875" s="586"/>
      <c r="G875" s="586"/>
      <c r="H875" s="586"/>
      <c r="I875" s="586"/>
      <c r="J875" s="586"/>
      <c r="K875" s="586"/>
      <c r="L875" s="591"/>
      <c r="M875" s="592"/>
      <c r="N875" s="588"/>
    </row>
    <row r="876" spans="2:14">
      <c r="B876" s="590"/>
      <c r="C876" s="590"/>
      <c r="D876" s="586"/>
      <c r="E876" s="586"/>
      <c r="F876" s="586"/>
      <c r="G876" s="586"/>
      <c r="H876" s="586"/>
      <c r="I876" s="586"/>
      <c r="J876" s="586"/>
      <c r="K876" s="586"/>
      <c r="L876" s="591"/>
      <c r="M876" s="592"/>
      <c r="N876" s="588"/>
    </row>
    <row r="877" spans="2:14">
      <c r="B877" s="590"/>
      <c r="C877" s="590"/>
      <c r="D877" s="586"/>
      <c r="E877" s="586"/>
      <c r="F877" s="586"/>
      <c r="G877" s="586"/>
      <c r="H877" s="586"/>
      <c r="I877" s="586"/>
      <c r="J877" s="586"/>
      <c r="K877" s="586"/>
      <c r="L877" s="591"/>
      <c r="M877" s="592"/>
      <c r="N877" s="588"/>
    </row>
    <row r="878" spans="2:14">
      <c r="B878" s="590"/>
      <c r="C878" s="590"/>
      <c r="D878" s="586"/>
      <c r="E878" s="586"/>
      <c r="F878" s="586"/>
      <c r="G878" s="586"/>
      <c r="H878" s="586"/>
      <c r="I878" s="586"/>
      <c r="J878" s="586"/>
      <c r="K878" s="586"/>
      <c r="L878" s="591"/>
      <c r="M878" s="592"/>
      <c r="N878" s="588"/>
    </row>
    <row r="879" spans="2:14">
      <c r="B879" s="590"/>
      <c r="C879" s="590"/>
      <c r="D879" s="586"/>
      <c r="E879" s="586"/>
      <c r="F879" s="586"/>
      <c r="G879" s="586"/>
      <c r="H879" s="586"/>
      <c r="I879" s="586"/>
      <c r="J879" s="586"/>
      <c r="K879" s="586"/>
      <c r="L879" s="591"/>
      <c r="M879" s="592"/>
      <c r="N879" s="588"/>
    </row>
    <row r="880" spans="2:14">
      <c r="B880" s="590"/>
      <c r="C880" s="590"/>
      <c r="D880" s="586"/>
      <c r="E880" s="586"/>
      <c r="F880" s="586"/>
      <c r="G880" s="586"/>
      <c r="H880" s="586"/>
      <c r="I880" s="586"/>
      <c r="J880" s="586"/>
      <c r="K880" s="586"/>
      <c r="L880" s="591"/>
      <c r="M880" s="592"/>
      <c r="N880" s="588"/>
    </row>
    <row r="881" spans="2:14">
      <c r="B881" s="590"/>
      <c r="C881" s="590"/>
      <c r="D881" s="586"/>
      <c r="E881" s="586"/>
      <c r="F881" s="586"/>
      <c r="G881" s="586"/>
      <c r="H881" s="586"/>
      <c r="I881" s="586"/>
      <c r="J881" s="586"/>
      <c r="K881" s="586"/>
      <c r="L881" s="591"/>
      <c r="M881" s="592"/>
      <c r="N881" s="588"/>
    </row>
    <row r="882" spans="2:14">
      <c r="B882" s="590"/>
      <c r="C882" s="590"/>
      <c r="D882" s="586"/>
      <c r="E882" s="586"/>
      <c r="F882" s="586"/>
      <c r="G882" s="586"/>
      <c r="H882" s="586"/>
      <c r="I882" s="586"/>
      <c r="J882" s="586"/>
      <c r="K882" s="586"/>
      <c r="L882" s="591"/>
      <c r="M882" s="592"/>
      <c r="N882" s="588"/>
    </row>
    <row r="883" spans="2:14">
      <c r="B883" s="590"/>
      <c r="C883" s="590"/>
      <c r="D883" s="586"/>
      <c r="E883" s="586"/>
      <c r="F883" s="586"/>
      <c r="G883" s="586"/>
      <c r="H883" s="586"/>
      <c r="I883" s="586"/>
      <c r="J883" s="586"/>
      <c r="K883" s="586"/>
      <c r="L883" s="591"/>
      <c r="M883" s="592"/>
      <c r="N883" s="588"/>
    </row>
    <row r="884" spans="2:14">
      <c r="B884" s="590"/>
      <c r="C884" s="590"/>
      <c r="D884" s="586"/>
      <c r="E884" s="586"/>
      <c r="F884" s="586"/>
      <c r="G884" s="586"/>
      <c r="H884" s="586"/>
      <c r="I884" s="586"/>
      <c r="J884" s="586"/>
      <c r="K884" s="586"/>
      <c r="L884" s="591"/>
      <c r="M884" s="592"/>
      <c r="N884" s="588"/>
    </row>
    <row r="885" spans="2:14">
      <c r="B885" s="590"/>
      <c r="C885" s="590"/>
      <c r="D885" s="586"/>
      <c r="E885" s="586"/>
      <c r="F885" s="586"/>
      <c r="G885" s="586"/>
      <c r="H885" s="586"/>
      <c r="I885" s="586"/>
      <c r="J885" s="586"/>
      <c r="K885" s="586"/>
      <c r="L885" s="591"/>
      <c r="M885" s="592"/>
      <c r="N885" s="588"/>
    </row>
    <row r="886" spans="2:14">
      <c r="B886" s="590"/>
      <c r="C886" s="590"/>
      <c r="D886" s="586"/>
      <c r="E886" s="586"/>
      <c r="F886" s="586"/>
      <c r="G886" s="586"/>
      <c r="H886" s="586"/>
      <c r="I886" s="586"/>
      <c r="J886" s="586"/>
      <c r="K886" s="586"/>
      <c r="L886" s="591"/>
      <c r="M886" s="592"/>
      <c r="N886" s="588"/>
    </row>
    <row r="887" spans="2:14">
      <c r="B887" s="590"/>
      <c r="C887" s="590"/>
      <c r="D887" s="586"/>
      <c r="E887" s="586"/>
      <c r="F887" s="586"/>
      <c r="G887" s="586"/>
      <c r="H887" s="586"/>
      <c r="I887" s="586"/>
      <c r="J887" s="586"/>
      <c r="K887" s="586"/>
      <c r="L887" s="591"/>
      <c r="M887" s="592"/>
      <c r="N887" s="588"/>
    </row>
    <row r="888" spans="2:14">
      <c r="B888" s="590"/>
      <c r="C888" s="590"/>
      <c r="D888" s="586"/>
      <c r="E888" s="586"/>
      <c r="F888" s="586"/>
      <c r="G888" s="586"/>
      <c r="H888" s="586"/>
      <c r="I888" s="586"/>
      <c r="J888" s="586"/>
      <c r="K888" s="586"/>
      <c r="L888" s="591"/>
      <c r="M888" s="592"/>
      <c r="N888" s="588"/>
    </row>
    <row r="889" spans="2:14">
      <c r="B889" s="590"/>
      <c r="C889" s="590"/>
      <c r="D889" s="586"/>
      <c r="E889" s="586"/>
      <c r="F889" s="586"/>
      <c r="G889" s="586"/>
      <c r="H889" s="586"/>
      <c r="I889" s="586"/>
      <c r="J889" s="586"/>
      <c r="K889" s="586"/>
      <c r="L889" s="591"/>
      <c r="M889" s="592"/>
      <c r="N889" s="588"/>
    </row>
    <row r="890" spans="2:14">
      <c r="B890" s="590"/>
      <c r="C890" s="590"/>
      <c r="D890" s="586"/>
      <c r="E890" s="586"/>
      <c r="F890" s="586"/>
      <c r="G890" s="586"/>
      <c r="H890" s="586"/>
      <c r="I890" s="586"/>
      <c r="J890" s="586"/>
      <c r="K890" s="586"/>
      <c r="L890" s="591"/>
      <c r="M890" s="592"/>
      <c r="N890" s="588"/>
    </row>
    <row r="891" spans="2:14">
      <c r="B891" s="590"/>
      <c r="C891" s="590"/>
      <c r="D891" s="586"/>
      <c r="E891" s="586"/>
      <c r="F891" s="586"/>
      <c r="G891" s="586"/>
      <c r="H891" s="586"/>
      <c r="I891" s="586"/>
      <c r="J891" s="586"/>
      <c r="K891" s="586"/>
      <c r="L891" s="591"/>
      <c r="M891" s="592"/>
      <c r="N891" s="588"/>
    </row>
    <row r="892" spans="2:14">
      <c r="B892" s="590"/>
      <c r="C892" s="590"/>
      <c r="D892" s="586"/>
      <c r="E892" s="586"/>
      <c r="F892" s="586"/>
      <c r="G892" s="586"/>
      <c r="H892" s="586"/>
      <c r="I892" s="586"/>
      <c r="J892" s="586"/>
      <c r="K892" s="586"/>
      <c r="L892" s="591"/>
      <c r="M892" s="592"/>
      <c r="N892" s="588"/>
    </row>
    <row r="893" spans="2:14">
      <c r="B893" s="590"/>
      <c r="C893" s="590"/>
      <c r="D893" s="586"/>
      <c r="E893" s="586"/>
      <c r="F893" s="586"/>
      <c r="G893" s="586"/>
      <c r="H893" s="586"/>
      <c r="I893" s="586"/>
      <c r="J893" s="586"/>
      <c r="K893" s="586"/>
      <c r="L893" s="591"/>
      <c r="M893" s="592"/>
      <c r="N893" s="588"/>
    </row>
    <row r="894" spans="2:14">
      <c r="B894" s="590"/>
      <c r="C894" s="590"/>
      <c r="D894" s="586"/>
      <c r="E894" s="586"/>
      <c r="F894" s="586"/>
      <c r="G894" s="586"/>
      <c r="H894" s="586"/>
      <c r="I894" s="586"/>
      <c r="J894" s="586"/>
      <c r="K894" s="586"/>
      <c r="L894" s="591"/>
      <c r="M894" s="592"/>
      <c r="N894" s="588"/>
    </row>
    <row r="895" spans="2:14">
      <c r="B895" s="590"/>
      <c r="C895" s="590"/>
      <c r="D895" s="586"/>
      <c r="E895" s="586"/>
      <c r="F895" s="586"/>
      <c r="G895" s="586"/>
      <c r="H895" s="586"/>
      <c r="I895" s="586"/>
      <c r="J895" s="586"/>
      <c r="K895" s="586"/>
      <c r="L895" s="591"/>
      <c r="M895" s="592"/>
      <c r="N895" s="588"/>
    </row>
    <row r="896" spans="2:14">
      <c r="B896" s="590"/>
      <c r="C896" s="590"/>
      <c r="D896" s="586"/>
      <c r="E896" s="586"/>
      <c r="F896" s="586"/>
      <c r="G896" s="586"/>
      <c r="H896" s="586"/>
      <c r="I896" s="586"/>
      <c r="J896" s="586"/>
      <c r="K896" s="586"/>
      <c r="L896" s="591"/>
      <c r="M896" s="592"/>
      <c r="N896" s="588"/>
    </row>
    <row r="897" spans="2:14">
      <c r="B897" s="590"/>
      <c r="C897" s="590"/>
      <c r="D897" s="586"/>
      <c r="E897" s="586"/>
      <c r="F897" s="586"/>
      <c r="G897" s="586"/>
      <c r="H897" s="586"/>
      <c r="I897" s="586"/>
      <c r="J897" s="586"/>
      <c r="K897" s="586"/>
      <c r="L897" s="591"/>
      <c r="M897" s="592"/>
      <c r="N897" s="588"/>
    </row>
    <row r="898" spans="2:14">
      <c r="B898" s="590"/>
      <c r="C898" s="590"/>
      <c r="D898" s="586"/>
      <c r="E898" s="586"/>
      <c r="F898" s="586"/>
      <c r="G898" s="586"/>
      <c r="H898" s="586"/>
      <c r="I898" s="586"/>
      <c r="J898" s="586"/>
      <c r="K898" s="586"/>
      <c r="L898" s="591"/>
      <c r="M898" s="592"/>
      <c r="N898" s="588"/>
    </row>
    <row r="899" spans="2:14">
      <c r="B899" s="590"/>
      <c r="C899" s="590"/>
      <c r="D899" s="586"/>
      <c r="E899" s="586"/>
      <c r="F899" s="586"/>
      <c r="G899" s="586"/>
      <c r="H899" s="586"/>
      <c r="I899" s="586"/>
      <c r="J899" s="586"/>
      <c r="K899" s="586"/>
      <c r="L899" s="591"/>
      <c r="M899" s="592"/>
      <c r="N899" s="588"/>
    </row>
    <row r="900" spans="2:14">
      <c r="B900" s="590"/>
      <c r="C900" s="590"/>
      <c r="D900" s="586"/>
      <c r="E900" s="586"/>
      <c r="F900" s="586"/>
      <c r="G900" s="586"/>
      <c r="H900" s="586"/>
      <c r="I900" s="586"/>
      <c r="J900" s="586"/>
      <c r="K900" s="586"/>
      <c r="L900" s="591"/>
      <c r="M900" s="592"/>
      <c r="N900" s="588"/>
    </row>
    <row r="901" spans="2:14">
      <c r="B901" s="590"/>
      <c r="C901" s="590"/>
      <c r="D901" s="586"/>
      <c r="E901" s="586"/>
      <c r="F901" s="586"/>
      <c r="G901" s="586"/>
      <c r="H901" s="586"/>
      <c r="I901" s="586"/>
      <c r="J901" s="586"/>
      <c r="K901" s="586"/>
      <c r="L901" s="591"/>
      <c r="M901" s="592"/>
      <c r="N901" s="588"/>
    </row>
    <row r="902" spans="2:14">
      <c r="B902" s="590"/>
      <c r="C902" s="590"/>
      <c r="D902" s="586"/>
      <c r="E902" s="586"/>
      <c r="F902" s="586"/>
      <c r="G902" s="586"/>
      <c r="H902" s="586"/>
      <c r="I902" s="586"/>
      <c r="J902" s="586"/>
      <c r="K902" s="586"/>
      <c r="L902" s="591"/>
      <c r="M902" s="592"/>
      <c r="N902" s="588"/>
    </row>
    <row r="903" spans="2:14">
      <c r="B903" s="590"/>
      <c r="C903" s="590"/>
      <c r="D903" s="586"/>
      <c r="E903" s="586"/>
      <c r="F903" s="586"/>
      <c r="G903" s="586"/>
      <c r="H903" s="586"/>
      <c r="I903" s="586"/>
      <c r="J903" s="586"/>
      <c r="K903" s="586"/>
      <c r="L903" s="591"/>
      <c r="M903" s="592"/>
      <c r="N903" s="588"/>
    </row>
    <row r="904" spans="2:14">
      <c r="B904" s="590"/>
      <c r="C904" s="590"/>
      <c r="D904" s="586"/>
      <c r="E904" s="586"/>
      <c r="F904" s="586"/>
      <c r="G904" s="586"/>
      <c r="H904" s="586"/>
      <c r="I904" s="586"/>
      <c r="J904" s="586"/>
      <c r="K904" s="586"/>
      <c r="L904" s="591"/>
      <c r="M904" s="592"/>
      <c r="N904" s="588"/>
    </row>
    <row r="905" spans="2:14">
      <c r="B905" s="590"/>
      <c r="C905" s="590"/>
      <c r="D905" s="586"/>
      <c r="E905" s="586"/>
      <c r="F905" s="586"/>
      <c r="G905" s="586"/>
      <c r="H905" s="586"/>
      <c r="I905" s="586"/>
      <c r="J905" s="586"/>
      <c r="K905" s="586"/>
      <c r="L905" s="591"/>
      <c r="M905" s="592"/>
      <c r="N905" s="588"/>
    </row>
    <row r="906" spans="2:14">
      <c r="B906" s="590"/>
      <c r="C906" s="590"/>
      <c r="D906" s="586"/>
      <c r="E906" s="586"/>
      <c r="F906" s="586"/>
      <c r="G906" s="586"/>
      <c r="H906" s="586"/>
      <c r="I906" s="586"/>
      <c r="J906" s="586"/>
      <c r="K906" s="586"/>
      <c r="L906" s="591"/>
      <c r="M906" s="592"/>
      <c r="N906" s="588"/>
    </row>
    <row r="907" spans="2:14">
      <c r="B907" s="590"/>
      <c r="C907" s="590"/>
      <c r="D907" s="586"/>
      <c r="E907" s="586"/>
      <c r="F907" s="586"/>
      <c r="G907" s="586"/>
      <c r="H907" s="586"/>
      <c r="I907" s="586"/>
      <c r="J907" s="586"/>
      <c r="K907" s="586"/>
      <c r="L907" s="591"/>
      <c r="M907" s="592"/>
      <c r="N907" s="588"/>
    </row>
    <row r="908" spans="2:14">
      <c r="B908" s="590"/>
      <c r="C908" s="590"/>
      <c r="D908" s="586"/>
      <c r="E908" s="586"/>
      <c r="F908" s="586"/>
      <c r="G908" s="586"/>
      <c r="H908" s="586"/>
      <c r="I908" s="586"/>
      <c r="J908" s="586"/>
      <c r="K908" s="586"/>
      <c r="L908" s="591"/>
      <c r="M908" s="592"/>
      <c r="N908" s="588"/>
    </row>
    <row r="909" spans="2:14">
      <c r="B909" s="590"/>
      <c r="C909" s="590"/>
      <c r="D909" s="586"/>
      <c r="E909" s="586"/>
      <c r="F909" s="586"/>
      <c r="G909" s="586"/>
      <c r="H909" s="586"/>
      <c r="I909" s="586"/>
      <c r="J909" s="586"/>
      <c r="K909" s="586"/>
      <c r="L909" s="591"/>
      <c r="M909" s="592"/>
      <c r="N909" s="588"/>
    </row>
    <row r="910" spans="2:14">
      <c r="B910" s="590"/>
      <c r="C910" s="590"/>
      <c r="D910" s="586"/>
      <c r="E910" s="586"/>
      <c r="F910" s="586"/>
      <c r="G910" s="586"/>
      <c r="H910" s="586"/>
      <c r="I910" s="586"/>
      <c r="J910" s="586"/>
      <c r="K910" s="586"/>
      <c r="L910" s="591"/>
      <c r="M910" s="592"/>
      <c r="N910" s="588"/>
    </row>
    <row r="911" spans="2:14">
      <c r="B911" s="590"/>
      <c r="C911" s="590"/>
      <c r="D911" s="586"/>
      <c r="E911" s="586"/>
      <c r="F911" s="586"/>
      <c r="G911" s="586"/>
      <c r="H911" s="586"/>
      <c r="I911" s="586"/>
      <c r="J911" s="586"/>
      <c r="K911" s="586"/>
      <c r="L911" s="591"/>
      <c r="M911" s="592"/>
      <c r="N911" s="588"/>
    </row>
    <row r="912" spans="2:14">
      <c r="B912" s="590"/>
      <c r="C912" s="590"/>
      <c r="D912" s="586"/>
      <c r="E912" s="586"/>
      <c r="F912" s="586"/>
      <c r="G912" s="586"/>
      <c r="H912" s="586"/>
      <c r="I912" s="586"/>
      <c r="J912" s="586"/>
      <c r="K912" s="586"/>
      <c r="L912" s="591"/>
      <c r="M912" s="592"/>
      <c r="N912" s="588"/>
    </row>
    <row r="913" spans="2:14">
      <c r="B913" s="590"/>
      <c r="C913" s="590"/>
      <c r="D913" s="586"/>
      <c r="E913" s="586"/>
      <c r="F913" s="586"/>
      <c r="G913" s="586"/>
      <c r="H913" s="586"/>
      <c r="I913" s="586"/>
      <c r="J913" s="586"/>
      <c r="K913" s="586"/>
      <c r="L913" s="591"/>
      <c r="M913" s="592"/>
      <c r="N913" s="588"/>
    </row>
    <row r="914" spans="2:14">
      <c r="B914" s="590"/>
      <c r="C914" s="590"/>
      <c r="D914" s="586"/>
      <c r="E914" s="586"/>
      <c r="F914" s="586"/>
      <c r="G914" s="586"/>
      <c r="H914" s="586"/>
      <c r="I914" s="586"/>
      <c r="J914" s="586"/>
      <c r="K914" s="586"/>
      <c r="L914" s="591"/>
      <c r="M914" s="592"/>
      <c r="N914" s="588"/>
    </row>
    <row r="915" spans="2:14">
      <c r="B915" s="590"/>
      <c r="C915" s="590"/>
      <c r="D915" s="586"/>
      <c r="E915" s="586"/>
      <c r="F915" s="586"/>
      <c r="G915" s="586"/>
      <c r="H915" s="586"/>
      <c r="I915" s="586"/>
      <c r="J915" s="586"/>
      <c r="K915" s="586"/>
      <c r="L915" s="591"/>
      <c r="M915" s="592"/>
      <c r="N915" s="588"/>
    </row>
    <row r="916" spans="2:14">
      <c r="B916" s="590"/>
      <c r="C916" s="590"/>
      <c r="D916" s="586"/>
      <c r="E916" s="586"/>
      <c r="F916" s="586"/>
      <c r="G916" s="586"/>
      <c r="H916" s="586"/>
      <c r="I916" s="586"/>
      <c r="J916" s="586"/>
      <c r="K916" s="586"/>
      <c r="L916" s="591"/>
      <c r="M916" s="592"/>
      <c r="N916" s="588"/>
    </row>
    <row r="917" spans="2:14">
      <c r="B917" s="590"/>
      <c r="C917" s="590"/>
      <c r="D917" s="586"/>
      <c r="E917" s="586"/>
      <c r="F917" s="586"/>
      <c r="G917" s="586"/>
      <c r="H917" s="586"/>
      <c r="I917" s="586"/>
      <c r="J917" s="586"/>
      <c r="K917" s="586"/>
      <c r="L917" s="591"/>
      <c r="M917" s="592"/>
      <c r="N917" s="588"/>
    </row>
    <row r="918" spans="2:14">
      <c r="B918" s="590"/>
      <c r="C918" s="590"/>
      <c r="D918" s="586"/>
      <c r="E918" s="586"/>
      <c r="F918" s="586"/>
      <c r="G918" s="586"/>
      <c r="H918" s="586"/>
      <c r="I918" s="586"/>
      <c r="J918" s="586"/>
      <c r="K918" s="586"/>
      <c r="L918" s="591"/>
      <c r="M918" s="592"/>
      <c r="N918" s="588"/>
    </row>
    <row r="919" spans="2:14">
      <c r="B919" s="590"/>
      <c r="C919" s="590"/>
      <c r="D919" s="586"/>
      <c r="E919" s="586"/>
      <c r="F919" s="586"/>
      <c r="G919" s="586"/>
      <c r="H919" s="586"/>
      <c r="I919" s="586"/>
      <c r="J919" s="586"/>
      <c r="K919" s="586"/>
      <c r="L919" s="591"/>
      <c r="M919" s="592"/>
      <c r="N919" s="588"/>
    </row>
    <row r="920" spans="2:14">
      <c r="B920" s="590"/>
      <c r="C920" s="590"/>
      <c r="D920" s="586"/>
      <c r="E920" s="586"/>
      <c r="F920" s="586"/>
      <c r="G920" s="586"/>
      <c r="H920" s="586"/>
      <c r="I920" s="586"/>
      <c r="J920" s="586"/>
      <c r="K920" s="586"/>
      <c r="L920" s="591"/>
      <c r="M920" s="592"/>
      <c r="N920" s="588"/>
    </row>
    <row r="921" spans="2:14">
      <c r="B921" s="590"/>
      <c r="C921" s="590"/>
      <c r="D921" s="586"/>
      <c r="E921" s="586"/>
      <c r="F921" s="586"/>
      <c r="G921" s="586"/>
      <c r="H921" s="586"/>
      <c r="I921" s="586"/>
      <c r="J921" s="586"/>
      <c r="K921" s="586"/>
      <c r="L921" s="591"/>
      <c r="M921" s="592"/>
      <c r="N921" s="588"/>
    </row>
    <row r="922" spans="2:14">
      <c r="B922" s="590"/>
      <c r="C922" s="590"/>
      <c r="D922" s="586"/>
      <c r="E922" s="586"/>
      <c r="F922" s="586"/>
      <c r="G922" s="586"/>
      <c r="H922" s="586"/>
      <c r="I922" s="586"/>
      <c r="J922" s="586"/>
      <c r="K922" s="586"/>
      <c r="L922" s="591"/>
      <c r="M922" s="592"/>
      <c r="N922" s="588"/>
    </row>
    <row r="923" spans="2:14">
      <c r="B923" s="590"/>
      <c r="C923" s="590"/>
      <c r="D923" s="586"/>
      <c r="E923" s="586"/>
      <c r="F923" s="586"/>
      <c r="G923" s="586"/>
      <c r="H923" s="586"/>
      <c r="I923" s="586"/>
      <c r="J923" s="586"/>
      <c r="K923" s="586"/>
      <c r="L923" s="591"/>
      <c r="M923" s="592"/>
      <c r="N923" s="588"/>
    </row>
    <row r="924" spans="2:14">
      <c r="B924" s="590"/>
      <c r="C924" s="590"/>
      <c r="D924" s="586"/>
      <c r="E924" s="586"/>
      <c r="F924" s="586"/>
      <c r="G924" s="586"/>
      <c r="H924" s="586"/>
      <c r="I924" s="586"/>
      <c r="J924" s="586"/>
      <c r="K924" s="586"/>
      <c r="L924" s="591"/>
      <c r="M924" s="592"/>
      <c r="N924" s="588"/>
    </row>
    <row r="925" spans="2:14">
      <c r="B925" s="590"/>
      <c r="C925" s="590"/>
      <c r="D925" s="586"/>
      <c r="E925" s="586"/>
      <c r="F925" s="586"/>
      <c r="G925" s="586"/>
      <c r="H925" s="586"/>
      <c r="I925" s="586"/>
      <c r="J925" s="586"/>
      <c r="K925" s="586"/>
      <c r="L925" s="591"/>
      <c r="M925" s="592"/>
      <c r="N925" s="588"/>
    </row>
    <row r="926" spans="2:14">
      <c r="B926" s="590"/>
      <c r="C926" s="590"/>
      <c r="D926" s="586"/>
      <c r="E926" s="586"/>
      <c r="F926" s="586"/>
      <c r="G926" s="586"/>
      <c r="H926" s="586"/>
      <c r="I926" s="586"/>
      <c r="J926" s="586"/>
      <c r="K926" s="586"/>
      <c r="L926" s="591"/>
      <c r="M926" s="592"/>
      <c r="N926" s="588"/>
    </row>
    <row r="927" spans="2:14">
      <c r="B927" s="590"/>
      <c r="C927" s="590"/>
      <c r="D927" s="586"/>
      <c r="E927" s="586"/>
      <c r="F927" s="586"/>
      <c r="G927" s="586"/>
      <c r="H927" s="586"/>
      <c r="I927" s="586"/>
      <c r="J927" s="586"/>
      <c r="K927" s="586"/>
      <c r="L927" s="591"/>
      <c r="M927" s="592"/>
      <c r="N927" s="588"/>
    </row>
    <row r="928" spans="2:14">
      <c r="B928" s="590"/>
      <c r="C928" s="590"/>
      <c r="D928" s="586"/>
      <c r="E928" s="586"/>
      <c r="F928" s="586"/>
      <c r="G928" s="586"/>
      <c r="H928" s="586"/>
      <c r="I928" s="586"/>
      <c r="J928" s="586"/>
      <c r="K928" s="586"/>
      <c r="L928" s="591"/>
      <c r="M928" s="592"/>
      <c r="N928" s="588"/>
    </row>
    <row r="929" spans="2:14">
      <c r="B929" s="590"/>
      <c r="C929" s="590"/>
      <c r="D929" s="586"/>
      <c r="E929" s="586"/>
      <c r="F929" s="586"/>
      <c r="G929" s="586"/>
      <c r="H929" s="586"/>
      <c r="I929" s="586"/>
      <c r="J929" s="586"/>
      <c r="K929" s="586"/>
      <c r="L929" s="591"/>
      <c r="M929" s="592"/>
      <c r="N929" s="588"/>
    </row>
    <row r="930" spans="2:14">
      <c r="B930" s="590"/>
      <c r="C930" s="590"/>
      <c r="D930" s="586"/>
      <c r="E930" s="586"/>
      <c r="F930" s="586"/>
      <c r="G930" s="586"/>
      <c r="H930" s="586"/>
      <c r="I930" s="586"/>
      <c r="J930" s="586"/>
      <c r="K930" s="586"/>
      <c r="L930" s="591"/>
      <c r="M930" s="592"/>
      <c r="N930" s="588"/>
    </row>
    <row r="931" spans="2:14">
      <c r="B931" s="590"/>
      <c r="C931" s="590"/>
      <c r="D931" s="586"/>
      <c r="E931" s="586"/>
      <c r="F931" s="586"/>
      <c r="G931" s="586"/>
      <c r="H931" s="586"/>
      <c r="I931" s="586"/>
      <c r="J931" s="586"/>
      <c r="K931" s="586"/>
      <c r="L931" s="591"/>
      <c r="M931" s="592"/>
      <c r="N931" s="588"/>
    </row>
    <row r="932" spans="2:14">
      <c r="B932" s="590"/>
      <c r="C932" s="590"/>
      <c r="D932" s="586"/>
      <c r="E932" s="586"/>
      <c r="F932" s="586"/>
      <c r="G932" s="586"/>
      <c r="H932" s="586"/>
      <c r="I932" s="586"/>
      <c r="J932" s="586"/>
      <c r="K932" s="586"/>
      <c r="L932" s="591"/>
      <c r="M932" s="592"/>
      <c r="N932" s="588"/>
    </row>
    <row r="933" spans="2:14">
      <c r="B933" s="590"/>
      <c r="C933" s="590"/>
      <c r="D933" s="586"/>
      <c r="E933" s="586"/>
      <c r="F933" s="586"/>
      <c r="G933" s="586"/>
      <c r="H933" s="586"/>
      <c r="I933" s="586"/>
      <c r="J933" s="586"/>
      <c r="K933" s="586"/>
      <c r="L933" s="591"/>
      <c r="M933" s="592"/>
      <c r="N933" s="588"/>
    </row>
    <row r="934" spans="2:14">
      <c r="B934" s="590"/>
      <c r="C934" s="590"/>
      <c r="D934" s="586"/>
      <c r="E934" s="586"/>
      <c r="F934" s="586"/>
      <c r="G934" s="586"/>
      <c r="H934" s="586"/>
      <c r="I934" s="586"/>
      <c r="J934" s="586"/>
      <c r="K934" s="586"/>
      <c r="L934" s="591"/>
      <c r="M934" s="592"/>
      <c r="N934" s="588"/>
    </row>
    <row r="935" spans="2:14">
      <c r="B935" s="590"/>
      <c r="C935" s="590"/>
      <c r="D935" s="586"/>
      <c r="E935" s="586"/>
      <c r="F935" s="586"/>
      <c r="G935" s="586"/>
      <c r="H935" s="586"/>
      <c r="I935" s="586"/>
      <c r="J935" s="586"/>
      <c r="K935" s="586"/>
      <c r="L935" s="591"/>
      <c r="M935" s="592"/>
      <c r="N935" s="588"/>
    </row>
    <row r="936" spans="2:14">
      <c r="B936" s="590"/>
      <c r="C936" s="590"/>
      <c r="D936" s="586"/>
      <c r="E936" s="586"/>
      <c r="F936" s="586"/>
      <c r="G936" s="586"/>
      <c r="H936" s="586"/>
      <c r="I936" s="586"/>
      <c r="J936" s="586"/>
      <c r="K936" s="586"/>
      <c r="L936" s="591"/>
      <c r="M936" s="592"/>
      <c r="N936" s="588"/>
    </row>
    <row r="937" spans="2:14">
      <c r="B937" s="590"/>
      <c r="C937" s="590"/>
      <c r="D937" s="586"/>
      <c r="E937" s="586"/>
      <c r="F937" s="586"/>
      <c r="G937" s="586"/>
      <c r="H937" s="586"/>
      <c r="I937" s="586"/>
      <c r="J937" s="586"/>
      <c r="K937" s="586"/>
      <c r="L937" s="591"/>
      <c r="M937" s="592"/>
      <c r="N937" s="588"/>
    </row>
    <row r="938" spans="2:14">
      <c r="B938" s="590"/>
      <c r="C938" s="590"/>
      <c r="D938" s="586"/>
      <c r="E938" s="586"/>
      <c r="F938" s="586"/>
      <c r="G938" s="586"/>
      <c r="H938" s="586"/>
      <c r="I938" s="586"/>
      <c r="J938" s="586"/>
      <c r="K938" s="586"/>
      <c r="L938" s="591"/>
      <c r="M938" s="592"/>
      <c r="N938" s="588"/>
    </row>
    <row r="939" spans="2:14">
      <c r="B939" s="590"/>
      <c r="C939" s="590"/>
      <c r="D939" s="586"/>
      <c r="E939" s="586"/>
      <c r="F939" s="586"/>
      <c r="G939" s="586"/>
      <c r="H939" s="586"/>
      <c r="I939" s="586"/>
      <c r="J939" s="586"/>
      <c r="K939" s="586"/>
      <c r="L939" s="591"/>
      <c r="M939" s="592"/>
      <c r="N939" s="588"/>
    </row>
    <row r="940" spans="2:14">
      <c r="B940" s="590"/>
      <c r="C940" s="590"/>
      <c r="D940" s="586"/>
      <c r="E940" s="586"/>
      <c r="F940" s="586"/>
      <c r="G940" s="586"/>
      <c r="H940" s="586"/>
      <c r="I940" s="586"/>
      <c r="J940" s="586"/>
      <c r="K940" s="586"/>
      <c r="L940" s="591"/>
      <c r="M940" s="592"/>
      <c r="N940" s="588"/>
    </row>
    <row r="941" spans="2:14">
      <c r="B941" s="590"/>
      <c r="C941" s="590"/>
      <c r="D941" s="586"/>
      <c r="E941" s="586"/>
      <c r="F941" s="586"/>
      <c r="G941" s="586"/>
      <c r="H941" s="586"/>
      <c r="I941" s="586"/>
      <c r="J941" s="586"/>
      <c r="K941" s="586"/>
      <c r="L941" s="591"/>
      <c r="M941" s="592"/>
      <c r="N941" s="588"/>
    </row>
    <row r="942" spans="2:14">
      <c r="B942" s="590"/>
      <c r="C942" s="590"/>
      <c r="D942" s="586"/>
      <c r="E942" s="586"/>
      <c r="F942" s="586"/>
      <c r="G942" s="586"/>
      <c r="H942" s="586"/>
      <c r="I942" s="586"/>
      <c r="J942" s="586"/>
      <c r="K942" s="586"/>
      <c r="L942" s="591"/>
      <c r="M942" s="592"/>
      <c r="N942" s="588"/>
    </row>
    <row r="943" spans="2:14">
      <c r="B943" s="590"/>
      <c r="C943" s="590"/>
      <c r="D943" s="586"/>
      <c r="E943" s="586"/>
      <c r="F943" s="586"/>
      <c r="G943" s="586"/>
      <c r="H943" s="586"/>
      <c r="I943" s="586"/>
      <c r="J943" s="586"/>
      <c r="K943" s="586"/>
      <c r="L943" s="591"/>
      <c r="M943" s="592"/>
      <c r="N943" s="588"/>
    </row>
    <row r="944" spans="2:14">
      <c r="B944" s="590"/>
      <c r="C944" s="590"/>
      <c r="D944" s="586"/>
      <c r="E944" s="586"/>
      <c r="F944" s="586"/>
      <c r="G944" s="586"/>
      <c r="H944" s="586"/>
      <c r="I944" s="586"/>
      <c r="J944" s="586"/>
      <c r="K944" s="586"/>
      <c r="L944" s="591"/>
      <c r="M944" s="592"/>
      <c r="N944" s="588"/>
    </row>
    <row r="945" spans="2:14">
      <c r="B945" s="590"/>
      <c r="C945" s="590"/>
      <c r="D945" s="586"/>
      <c r="E945" s="586"/>
      <c r="F945" s="586"/>
      <c r="G945" s="586"/>
      <c r="H945" s="586"/>
      <c r="I945" s="586"/>
      <c r="J945" s="586"/>
      <c r="K945" s="586"/>
      <c r="L945" s="591"/>
      <c r="M945" s="592"/>
      <c r="N945" s="588"/>
    </row>
    <row r="946" spans="2:14">
      <c r="B946" s="590"/>
      <c r="C946" s="590"/>
      <c r="D946" s="586"/>
      <c r="E946" s="586"/>
      <c r="F946" s="586"/>
      <c r="G946" s="586"/>
      <c r="H946" s="586"/>
      <c r="I946" s="586"/>
      <c r="J946" s="586"/>
      <c r="K946" s="586"/>
      <c r="L946" s="591"/>
      <c r="M946" s="592"/>
      <c r="N946" s="588"/>
    </row>
    <row r="947" spans="2:14">
      <c r="B947" s="590"/>
      <c r="C947" s="590"/>
      <c r="D947" s="586"/>
      <c r="E947" s="586"/>
      <c r="F947" s="586"/>
      <c r="G947" s="586"/>
      <c r="H947" s="586"/>
      <c r="I947" s="586"/>
      <c r="J947" s="586"/>
      <c r="K947" s="586"/>
      <c r="L947" s="591"/>
      <c r="M947" s="592"/>
      <c r="N947" s="588"/>
    </row>
    <row r="948" spans="2:14">
      <c r="B948" s="590"/>
      <c r="C948" s="590"/>
      <c r="D948" s="586"/>
      <c r="E948" s="586"/>
      <c r="F948" s="586"/>
      <c r="G948" s="586"/>
      <c r="H948" s="586"/>
      <c r="I948" s="586"/>
      <c r="J948" s="586"/>
      <c r="K948" s="586"/>
      <c r="L948" s="591"/>
      <c r="M948" s="592"/>
      <c r="N948" s="588"/>
    </row>
    <row r="949" spans="2:14">
      <c r="B949" s="590"/>
      <c r="C949" s="590"/>
      <c r="D949" s="586"/>
      <c r="E949" s="586"/>
      <c r="F949" s="586"/>
      <c r="G949" s="586"/>
      <c r="H949" s="586"/>
      <c r="I949" s="586"/>
      <c r="J949" s="586"/>
      <c r="K949" s="586"/>
      <c r="L949" s="591"/>
      <c r="M949" s="592"/>
      <c r="N949" s="588"/>
    </row>
    <row r="950" spans="2:14">
      <c r="B950" s="590"/>
      <c r="C950" s="590"/>
      <c r="D950" s="586"/>
      <c r="E950" s="586"/>
      <c r="F950" s="586"/>
      <c r="G950" s="586"/>
      <c r="H950" s="586"/>
      <c r="I950" s="586"/>
      <c r="J950" s="586"/>
      <c r="K950" s="586"/>
      <c r="L950" s="591"/>
      <c r="M950" s="592"/>
      <c r="N950" s="588"/>
    </row>
    <row r="951" spans="2:14">
      <c r="B951" s="590"/>
      <c r="C951" s="590"/>
      <c r="D951" s="586"/>
      <c r="E951" s="586"/>
      <c r="F951" s="586"/>
      <c r="G951" s="586"/>
      <c r="H951" s="586"/>
      <c r="I951" s="586"/>
      <c r="J951" s="586"/>
      <c r="K951" s="586"/>
      <c r="L951" s="591"/>
      <c r="M951" s="592"/>
      <c r="N951" s="588"/>
    </row>
    <row r="952" spans="2:14">
      <c r="B952" s="590"/>
      <c r="C952" s="590"/>
      <c r="D952" s="586"/>
      <c r="E952" s="586"/>
      <c r="F952" s="586"/>
      <c r="G952" s="586"/>
      <c r="H952" s="586"/>
      <c r="I952" s="586"/>
      <c r="J952" s="586"/>
      <c r="K952" s="586"/>
      <c r="L952" s="591"/>
      <c r="M952" s="592"/>
      <c r="N952" s="588"/>
    </row>
    <row r="953" spans="2:14">
      <c r="B953" s="590"/>
      <c r="C953" s="590"/>
      <c r="D953" s="586"/>
      <c r="E953" s="586"/>
      <c r="F953" s="586"/>
      <c r="G953" s="586"/>
      <c r="H953" s="586"/>
      <c r="I953" s="586"/>
      <c r="J953" s="586"/>
      <c r="K953" s="586"/>
      <c r="L953" s="591"/>
      <c r="M953" s="592"/>
      <c r="N953" s="588"/>
    </row>
    <row r="954" spans="2:14">
      <c r="B954" s="590"/>
      <c r="C954" s="590"/>
      <c r="D954" s="586"/>
      <c r="E954" s="586"/>
      <c r="F954" s="586"/>
      <c r="G954" s="586"/>
      <c r="H954" s="586"/>
      <c r="I954" s="586"/>
      <c r="J954" s="586"/>
      <c r="K954" s="586"/>
      <c r="L954" s="591"/>
      <c r="M954" s="592"/>
      <c r="N954" s="588"/>
    </row>
    <row r="955" spans="2:14">
      <c r="B955" s="590"/>
      <c r="C955" s="590"/>
      <c r="D955" s="586"/>
      <c r="E955" s="586"/>
      <c r="F955" s="586"/>
      <c r="G955" s="586"/>
      <c r="H955" s="586"/>
      <c r="I955" s="586"/>
      <c r="J955" s="586"/>
      <c r="K955" s="586"/>
      <c r="L955" s="591"/>
      <c r="M955" s="592"/>
      <c r="N955" s="588"/>
    </row>
    <row r="956" spans="2:14">
      <c r="B956" s="590"/>
      <c r="C956" s="590"/>
      <c r="D956" s="586"/>
      <c r="E956" s="586"/>
      <c r="F956" s="586"/>
      <c r="G956" s="586"/>
      <c r="H956" s="586"/>
      <c r="I956" s="586"/>
      <c r="J956" s="586"/>
      <c r="K956" s="586"/>
      <c r="L956" s="591"/>
      <c r="M956" s="592"/>
      <c r="N956" s="588"/>
    </row>
    <row r="957" spans="2:14">
      <c r="B957" s="590"/>
      <c r="C957" s="590"/>
      <c r="D957" s="586"/>
      <c r="E957" s="586"/>
      <c r="F957" s="586"/>
      <c r="G957" s="586"/>
      <c r="H957" s="586"/>
      <c r="I957" s="586"/>
      <c r="J957" s="586"/>
      <c r="K957" s="586"/>
      <c r="L957" s="591"/>
      <c r="M957" s="592"/>
      <c r="N957" s="588"/>
    </row>
    <row r="958" spans="2:14">
      <c r="B958" s="590"/>
      <c r="C958" s="590"/>
      <c r="D958" s="586"/>
      <c r="E958" s="586"/>
      <c r="F958" s="586"/>
      <c r="G958" s="586"/>
      <c r="H958" s="586"/>
      <c r="I958" s="586"/>
      <c r="J958" s="586"/>
      <c r="K958" s="586"/>
      <c r="L958" s="591"/>
      <c r="M958" s="592"/>
      <c r="N958" s="588"/>
    </row>
    <row r="959" spans="2:14">
      <c r="B959" s="590"/>
      <c r="C959" s="590"/>
      <c r="D959" s="586"/>
      <c r="E959" s="586"/>
      <c r="F959" s="586"/>
      <c r="G959" s="586"/>
      <c r="H959" s="586"/>
      <c r="I959" s="586"/>
      <c r="J959" s="586"/>
      <c r="K959" s="586"/>
      <c r="L959" s="591"/>
      <c r="M959" s="592"/>
      <c r="N959" s="588"/>
    </row>
    <row r="960" spans="2:14">
      <c r="B960" s="590"/>
      <c r="C960" s="590"/>
      <c r="D960" s="586"/>
      <c r="E960" s="586"/>
      <c r="F960" s="586"/>
      <c r="G960" s="586"/>
      <c r="H960" s="586"/>
      <c r="I960" s="586"/>
      <c r="J960" s="586"/>
      <c r="K960" s="586"/>
      <c r="L960" s="591"/>
      <c r="M960" s="592"/>
      <c r="N960" s="588"/>
    </row>
    <row r="961" spans="2:14">
      <c r="B961" s="590"/>
      <c r="C961" s="590"/>
      <c r="D961" s="586"/>
      <c r="E961" s="586"/>
      <c r="F961" s="586"/>
      <c r="G961" s="586"/>
      <c r="H961" s="586"/>
      <c r="I961" s="586"/>
      <c r="J961" s="586"/>
      <c r="K961" s="586"/>
      <c r="L961" s="591"/>
      <c r="M961" s="592"/>
      <c r="N961" s="588"/>
    </row>
    <row r="962" spans="2:14">
      <c r="B962" s="590"/>
      <c r="C962" s="590"/>
      <c r="D962" s="586"/>
      <c r="E962" s="586"/>
      <c r="F962" s="586"/>
      <c r="G962" s="586"/>
      <c r="H962" s="586"/>
      <c r="I962" s="586"/>
      <c r="J962" s="586"/>
      <c r="K962" s="586"/>
      <c r="L962" s="591"/>
      <c r="M962" s="592"/>
      <c r="N962" s="588"/>
    </row>
    <row r="963" spans="2:14">
      <c r="B963" s="590"/>
      <c r="C963" s="590"/>
      <c r="D963" s="586"/>
      <c r="E963" s="586"/>
      <c r="F963" s="586"/>
      <c r="G963" s="586"/>
      <c r="H963" s="586"/>
      <c r="I963" s="586"/>
      <c r="J963" s="586"/>
      <c r="K963" s="586"/>
      <c r="L963" s="591"/>
      <c r="M963" s="592"/>
      <c r="N963" s="588"/>
    </row>
    <row r="964" spans="2:14">
      <c r="B964" s="590"/>
      <c r="C964" s="590"/>
      <c r="D964" s="586"/>
      <c r="E964" s="586"/>
      <c r="F964" s="586"/>
      <c r="G964" s="586"/>
      <c r="H964" s="586"/>
      <c r="I964" s="586"/>
      <c r="J964" s="586"/>
      <c r="K964" s="586"/>
      <c r="L964" s="591"/>
      <c r="M964" s="592"/>
      <c r="N964" s="588"/>
    </row>
    <row r="965" spans="2:14">
      <c r="B965" s="590"/>
      <c r="C965" s="590"/>
      <c r="D965" s="586"/>
      <c r="E965" s="586"/>
      <c r="F965" s="586"/>
      <c r="G965" s="586"/>
      <c r="H965" s="586"/>
      <c r="I965" s="586"/>
      <c r="J965" s="586"/>
      <c r="K965" s="586"/>
      <c r="L965" s="591"/>
      <c r="M965" s="592"/>
      <c r="N965" s="588"/>
    </row>
    <row r="966" spans="2:14">
      <c r="B966" s="590"/>
      <c r="C966" s="590"/>
      <c r="D966" s="586"/>
      <c r="E966" s="586"/>
      <c r="F966" s="586"/>
      <c r="G966" s="586"/>
      <c r="H966" s="586"/>
      <c r="I966" s="586"/>
      <c r="J966" s="586"/>
      <c r="K966" s="586"/>
      <c r="L966" s="591"/>
      <c r="M966" s="592"/>
      <c r="N966" s="588"/>
    </row>
    <row r="967" spans="2:14">
      <c r="B967" s="590"/>
      <c r="C967" s="590"/>
      <c r="D967" s="586"/>
      <c r="E967" s="586"/>
      <c r="F967" s="586"/>
      <c r="G967" s="586"/>
      <c r="H967" s="586"/>
      <c r="I967" s="586"/>
      <c r="J967" s="586"/>
      <c r="K967" s="586"/>
      <c r="L967" s="591"/>
      <c r="M967" s="592"/>
      <c r="N967" s="588"/>
    </row>
    <row r="968" spans="2:14">
      <c r="B968" s="590"/>
      <c r="C968" s="590"/>
      <c r="D968" s="586"/>
      <c r="E968" s="586"/>
      <c r="F968" s="586"/>
      <c r="G968" s="586"/>
      <c r="H968" s="586"/>
      <c r="I968" s="586"/>
      <c r="J968" s="586"/>
      <c r="K968" s="586"/>
      <c r="L968" s="591"/>
      <c r="M968" s="592"/>
      <c r="N968" s="588"/>
    </row>
    <row r="969" spans="2:14">
      <c r="B969" s="590"/>
      <c r="C969" s="590"/>
      <c r="D969" s="586"/>
      <c r="E969" s="586"/>
      <c r="F969" s="586"/>
      <c r="G969" s="586"/>
      <c r="H969" s="586"/>
      <c r="I969" s="586"/>
      <c r="J969" s="586"/>
      <c r="K969" s="586"/>
      <c r="L969" s="591"/>
      <c r="M969" s="592"/>
      <c r="N969" s="588"/>
    </row>
    <row r="970" spans="2:14">
      <c r="B970" s="590"/>
      <c r="C970" s="590"/>
      <c r="D970" s="586"/>
      <c r="E970" s="586"/>
      <c r="F970" s="586"/>
      <c r="G970" s="586"/>
      <c r="H970" s="586"/>
      <c r="I970" s="586"/>
      <c r="J970" s="586"/>
      <c r="K970" s="586"/>
      <c r="L970" s="591"/>
      <c r="M970" s="592"/>
      <c r="N970" s="588"/>
    </row>
    <row r="971" spans="2:14">
      <c r="B971" s="590"/>
      <c r="C971" s="590"/>
      <c r="D971" s="586"/>
      <c r="E971" s="586"/>
      <c r="F971" s="586"/>
      <c r="G971" s="586"/>
      <c r="H971" s="586"/>
      <c r="I971" s="586"/>
      <c r="J971" s="586"/>
      <c r="K971" s="586"/>
      <c r="L971" s="591"/>
      <c r="M971" s="592"/>
      <c r="N971" s="588"/>
    </row>
    <row r="972" spans="2:14">
      <c r="B972" s="590"/>
      <c r="C972" s="590"/>
      <c r="D972" s="586"/>
      <c r="E972" s="586"/>
      <c r="F972" s="586"/>
      <c r="G972" s="586"/>
      <c r="H972" s="586"/>
      <c r="I972" s="586"/>
      <c r="J972" s="586"/>
      <c r="K972" s="586"/>
      <c r="L972" s="591"/>
      <c r="M972" s="592"/>
      <c r="N972" s="588"/>
    </row>
    <row r="973" spans="2:14">
      <c r="B973" s="590"/>
      <c r="C973" s="590"/>
      <c r="D973" s="586"/>
      <c r="E973" s="586"/>
      <c r="F973" s="586"/>
      <c r="G973" s="586"/>
      <c r="H973" s="586"/>
      <c r="I973" s="586"/>
      <c r="J973" s="586"/>
      <c r="K973" s="586"/>
      <c r="L973" s="591"/>
      <c r="M973" s="592"/>
      <c r="N973" s="588"/>
    </row>
    <row r="974" spans="2:14">
      <c r="B974" s="590"/>
      <c r="C974" s="590"/>
      <c r="D974" s="586"/>
      <c r="E974" s="586"/>
      <c r="F974" s="586"/>
      <c r="G974" s="586"/>
      <c r="H974" s="586"/>
      <c r="I974" s="586"/>
      <c r="J974" s="586"/>
      <c r="K974" s="586"/>
      <c r="L974" s="591"/>
      <c r="M974" s="592"/>
      <c r="N974" s="588"/>
    </row>
    <row r="975" spans="2:14">
      <c r="B975" s="590"/>
      <c r="C975" s="590"/>
      <c r="D975" s="586"/>
      <c r="E975" s="586"/>
      <c r="F975" s="586"/>
      <c r="G975" s="586"/>
      <c r="H975" s="586"/>
      <c r="I975" s="586"/>
      <c r="J975" s="586"/>
      <c r="K975" s="586"/>
      <c r="L975" s="591"/>
      <c r="M975" s="592"/>
      <c r="N975" s="588"/>
    </row>
    <row r="976" spans="2:14">
      <c r="B976" s="590"/>
      <c r="C976" s="590"/>
      <c r="D976" s="586"/>
      <c r="E976" s="586"/>
      <c r="F976" s="586"/>
      <c r="G976" s="586"/>
      <c r="H976" s="586"/>
      <c r="I976" s="586"/>
      <c r="J976" s="586"/>
      <c r="K976" s="586"/>
      <c r="L976" s="591"/>
      <c r="M976" s="592"/>
      <c r="N976" s="588"/>
    </row>
    <row r="977" spans="2:14">
      <c r="B977" s="590"/>
      <c r="C977" s="590"/>
      <c r="D977" s="586"/>
      <c r="E977" s="586"/>
      <c r="F977" s="586"/>
      <c r="G977" s="586"/>
      <c r="H977" s="586"/>
      <c r="I977" s="586"/>
      <c r="J977" s="586"/>
      <c r="K977" s="586"/>
      <c r="L977" s="591"/>
      <c r="M977" s="592"/>
      <c r="N977" s="588"/>
    </row>
    <row r="978" spans="2:14">
      <c r="B978" s="590"/>
      <c r="C978" s="590"/>
      <c r="D978" s="586"/>
      <c r="E978" s="586"/>
      <c r="F978" s="586"/>
      <c r="G978" s="586"/>
      <c r="H978" s="586"/>
      <c r="I978" s="586"/>
      <c r="J978" s="586"/>
      <c r="K978" s="586"/>
      <c r="L978" s="591"/>
      <c r="M978" s="592"/>
      <c r="N978" s="588"/>
    </row>
    <row r="979" spans="2:14">
      <c r="B979" s="590"/>
      <c r="C979" s="590"/>
      <c r="D979" s="586"/>
      <c r="E979" s="586"/>
      <c r="F979" s="586"/>
      <c r="G979" s="586"/>
      <c r="H979" s="586"/>
      <c r="I979" s="586"/>
      <c r="J979" s="586"/>
      <c r="K979" s="586"/>
      <c r="L979" s="591"/>
      <c r="M979" s="592"/>
      <c r="N979" s="588"/>
    </row>
    <row r="980" spans="2:14">
      <c r="B980" s="590"/>
      <c r="C980" s="590"/>
      <c r="D980" s="586"/>
      <c r="E980" s="586"/>
      <c r="F980" s="586"/>
      <c r="G980" s="586"/>
      <c r="H980" s="586"/>
      <c r="I980" s="586"/>
      <c r="J980" s="586"/>
      <c r="K980" s="586"/>
      <c r="L980" s="591"/>
      <c r="M980" s="592"/>
      <c r="N980" s="588"/>
    </row>
    <row r="981" spans="2:14">
      <c r="B981" s="590"/>
      <c r="C981" s="590"/>
      <c r="D981" s="586"/>
      <c r="E981" s="586"/>
      <c r="F981" s="586"/>
      <c r="G981" s="586"/>
      <c r="H981" s="586"/>
      <c r="I981" s="586"/>
      <c r="J981" s="586"/>
      <c r="K981" s="586"/>
      <c r="L981" s="591"/>
      <c r="M981" s="592"/>
      <c r="N981" s="588"/>
    </row>
    <row r="982" spans="2:14">
      <c r="B982" s="590"/>
      <c r="C982" s="590"/>
      <c r="D982" s="586"/>
      <c r="E982" s="586"/>
      <c r="F982" s="586"/>
      <c r="G982" s="586"/>
      <c r="H982" s="586"/>
      <c r="I982" s="586"/>
      <c r="J982" s="586"/>
      <c r="K982" s="586"/>
      <c r="L982" s="591"/>
      <c r="M982" s="592"/>
      <c r="N982" s="588"/>
    </row>
    <row r="983" spans="2:14">
      <c r="B983" s="590"/>
      <c r="C983" s="590"/>
      <c r="D983" s="586"/>
      <c r="E983" s="586"/>
      <c r="F983" s="586"/>
      <c r="G983" s="586"/>
      <c r="H983" s="586"/>
      <c r="I983" s="586"/>
      <c r="J983" s="586"/>
      <c r="K983" s="586"/>
      <c r="L983" s="591"/>
      <c r="M983" s="592"/>
      <c r="N983" s="588"/>
    </row>
    <row r="984" spans="2:14">
      <c r="B984" s="590"/>
      <c r="C984" s="590"/>
      <c r="D984" s="586"/>
      <c r="E984" s="586"/>
      <c r="F984" s="586"/>
      <c r="G984" s="586"/>
      <c r="H984" s="586"/>
      <c r="I984" s="586"/>
      <c r="J984" s="586"/>
      <c r="K984" s="586"/>
      <c r="L984" s="591"/>
      <c r="M984" s="592"/>
      <c r="N984" s="588"/>
    </row>
    <row r="985" spans="2:14">
      <c r="B985" s="590"/>
      <c r="C985" s="590"/>
      <c r="D985" s="586"/>
      <c r="E985" s="586"/>
      <c r="F985" s="586"/>
      <c r="G985" s="586"/>
      <c r="H985" s="586"/>
      <c r="I985" s="586"/>
      <c r="J985" s="586"/>
      <c r="K985" s="586"/>
      <c r="L985" s="591"/>
      <c r="M985" s="592"/>
      <c r="N985" s="588"/>
    </row>
    <row r="986" spans="2:14">
      <c r="B986" s="590"/>
      <c r="C986" s="590"/>
      <c r="D986" s="586"/>
      <c r="E986" s="586"/>
      <c r="F986" s="586"/>
      <c r="G986" s="586"/>
      <c r="H986" s="586"/>
      <c r="I986" s="586"/>
      <c r="J986" s="586"/>
      <c r="K986" s="586"/>
      <c r="L986" s="591"/>
      <c r="M986" s="592"/>
      <c r="N986" s="588"/>
    </row>
    <row r="987" spans="2:14">
      <c r="B987" s="590"/>
      <c r="C987" s="590"/>
      <c r="D987" s="586"/>
      <c r="E987" s="586"/>
      <c r="F987" s="586"/>
      <c r="G987" s="586"/>
      <c r="H987" s="586"/>
      <c r="I987" s="586"/>
      <c r="J987" s="586"/>
      <c r="K987" s="586"/>
      <c r="L987" s="591"/>
      <c r="M987" s="592"/>
      <c r="N987" s="588"/>
    </row>
    <row r="988" spans="2:14">
      <c r="B988" s="590"/>
      <c r="C988" s="590"/>
      <c r="D988" s="586"/>
      <c r="E988" s="586"/>
      <c r="F988" s="586"/>
      <c r="G988" s="586"/>
      <c r="H988" s="586"/>
      <c r="I988" s="586"/>
      <c r="J988" s="586"/>
      <c r="K988" s="586"/>
      <c r="L988" s="591"/>
      <c r="M988" s="592"/>
      <c r="N988" s="588"/>
    </row>
    <row r="989" spans="2:14">
      <c r="B989" s="590"/>
      <c r="C989" s="590"/>
      <c r="D989" s="586"/>
      <c r="E989" s="586"/>
      <c r="F989" s="586"/>
      <c r="G989" s="586"/>
      <c r="H989" s="586"/>
      <c r="I989" s="586"/>
      <c r="J989" s="586"/>
      <c r="K989" s="586"/>
      <c r="L989" s="591"/>
      <c r="M989" s="592"/>
      <c r="N989" s="588"/>
    </row>
    <row r="990" spans="2:14">
      <c r="B990" s="590"/>
      <c r="C990" s="590"/>
      <c r="D990" s="586"/>
      <c r="E990" s="586"/>
      <c r="F990" s="586"/>
      <c r="G990" s="586"/>
      <c r="H990" s="586"/>
      <c r="I990" s="586"/>
      <c r="J990" s="586"/>
      <c r="K990" s="586"/>
      <c r="L990" s="591"/>
      <c r="M990" s="592"/>
      <c r="N990" s="588"/>
    </row>
    <row r="991" spans="2:14">
      <c r="B991" s="590"/>
      <c r="C991" s="590"/>
      <c r="D991" s="586"/>
      <c r="E991" s="586"/>
      <c r="F991" s="586"/>
      <c r="G991" s="586"/>
      <c r="H991" s="586"/>
      <c r="I991" s="586"/>
      <c r="J991" s="586"/>
      <c r="K991" s="586"/>
      <c r="L991" s="591"/>
      <c r="M991" s="592"/>
      <c r="N991" s="588"/>
    </row>
    <row r="992" spans="2:14">
      <c r="B992" s="590"/>
      <c r="C992" s="590"/>
      <c r="D992" s="586"/>
      <c r="E992" s="586"/>
      <c r="F992" s="586"/>
      <c r="G992" s="586"/>
      <c r="H992" s="586"/>
      <c r="I992" s="586"/>
      <c r="J992" s="586"/>
      <c r="K992" s="586"/>
      <c r="L992" s="591"/>
      <c r="M992" s="592"/>
      <c r="N992" s="588"/>
    </row>
    <row r="993" spans="2:14">
      <c r="B993" s="590"/>
      <c r="C993" s="590"/>
      <c r="D993" s="586"/>
      <c r="E993" s="586"/>
      <c r="F993" s="586"/>
      <c r="G993" s="586"/>
      <c r="H993" s="586"/>
      <c r="I993" s="586"/>
      <c r="J993" s="586"/>
      <c r="K993" s="586"/>
      <c r="L993" s="591"/>
      <c r="M993" s="592"/>
      <c r="N993" s="588"/>
    </row>
    <row r="994" spans="2:14">
      <c r="B994" s="590"/>
      <c r="C994" s="590"/>
      <c r="D994" s="586"/>
      <c r="E994" s="586"/>
      <c r="F994" s="586"/>
      <c r="G994" s="586"/>
      <c r="H994" s="586"/>
      <c r="I994" s="586"/>
      <c r="J994" s="586"/>
      <c r="K994" s="586"/>
      <c r="L994" s="591"/>
      <c r="M994" s="592"/>
      <c r="N994" s="588"/>
    </row>
    <row r="995" spans="2:14">
      <c r="B995" s="590"/>
      <c r="C995" s="590"/>
      <c r="D995" s="586"/>
      <c r="E995" s="586"/>
      <c r="F995" s="586"/>
      <c r="G995" s="586"/>
      <c r="H995" s="586"/>
      <c r="I995" s="586"/>
      <c r="J995" s="586"/>
      <c r="K995" s="586"/>
      <c r="L995" s="591"/>
      <c r="M995" s="592"/>
      <c r="N995" s="588"/>
    </row>
    <row r="996" spans="2:14">
      <c r="B996" s="590"/>
      <c r="C996" s="590"/>
      <c r="D996" s="586"/>
      <c r="E996" s="586"/>
      <c r="F996" s="586"/>
      <c r="G996" s="586"/>
      <c r="H996" s="586"/>
      <c r="I996" s="586"/>
      <c r="J996" s="586"/>
      <c r="K996" s="586"/>
      <c r="L996" s="591"/>
      <c r="M996" s="592"/>
      <c r="N996" s="588"/>
    </row>
    <row r="997" spans="2:14">
      <c r="B997" s="590"/>
      <c r="C997" s="590"/>
      <c r="D997" s="586"/>
      <c r="E997" s="586"/>
      <c r="F997" s="586"/>
      <c r="G997" s="586"/>
      <c r="H997" s="586"/>
      <c r="I997" s="586"/>
      <c r="J997" s="586"/>
      <c r="K997" s="586"/>
      <c r="L997" s="591"/>
      <c r="M997" s="592"/>
      <c r="N997" s="588"/>
    </row>
    <row r="998" spans="2:14">
      <c r="B998" s="590"/>
      <c r="C998" s="590"/>
      <c r="D998" s="586"/>
      <c r="E998" s="586"/>
      <c r="F998" s="586"/>
      <c r="G998" s="586"/>
      <c r="H998" s="586"/>
      <c r="I998" s="586"/>
      <c r="J998" s="586"/>
      <c r="K998" s="586"/>
      <c r="L998" s="591"/>
      <c r="M998" s="592"/>
      <c r="N998" s="588"/>
    </row>
    <row r="999" spans="2:14">
      <c r="B999" s="590"/>
      <c r="C999" s="590"/>
      <c r="D999" s="586"/>
      <c r="E999" s="586"/>
      <c r="F999" s="586"/>
      <c r="G999" s="586"/>
      <c r="H999" s="586"/>
      <c r="I999" s="586"/>
      <c r="J999" s="586"/>
      <c r="K999" s="586"/>
      <c r="L999" s="591"/>
      <c r="M999" s="592"/>
      <c r="N999" s="588"/>
    </row>
    <row r="1000" spans="2:14">
      <c r="B1000" s="590"/>
      <c r="C1000" s="590"/>
      <c r="D1000" s="586"/>
      <c r="E1000" s="586"/>
      <c r="F1000" s="586"/>
      <c r="G1000" s="586"/>
      <c r="H1000" s="586"/>
      <c r="I1000" s="586"/>
      <c r="J1000" s="586"/>
      <c r="K1000" s="586"/>
      <c r="L1000" s="591"/>
      <c r="M1000" s="592"/>
      <c r="N1000" s="588"/>
    </row>
    <row r="1001" spans="2:14">
      <c r="B1001" s="590"/>
      <c r="C1001" s="590"/>
      <c r="D1001" s="586"/>
      <c r="E1001" s="586"/>
      <c r="F1001" s="586"/>
      <c r="G1001" s="586"/>
      <c r="H1001" s="586"/>
      <c r="I1001" s="586"/>
      <c r="J1001" s="586"/>
      <c r="K1001" s="586"/>
      <c r="L1001" s="591"/>
      <c r="M1001" s="592"/>
      <c r="N1001" s="588"/>
    </row>
    <row r="1002" spans="2:14">
      <c r="B1002" s="590"/>
      <c r="C1002" s="590"/>
      <c r="D1002" s="586"/>
      <c r="E1002" s="586"/>
      <c r="F1002" s="586"/>
      <c r="G1002" s="586"/>
      <c r="H1002" s="586"/>
      <c r="I1002" s="586"/>
      <c r="J1002" s="586"/>
      <c r="K1002" s="586"/>
      <c r="L1002" s="591"/>
      <c r="M1002" s="592"/>
      <c r="N1002" s="588"/>
    </row>
    <row r="1003" spans="2:14">
      <c r="B1003" s="590"/>
      <c r="C1003" s="590"/>
      <c r="D1003" s="586"/>
      <c r="E1003" s="586"/>
      <c r="F1003" s="586"/>
      <c r="G1003" s="586"/>
      <c r="H1003" s="586"/>
      <c r="I1003" s="586"/>
      <c r="J1003" s="586"/>
      <c r="K1003" s="586"/>
      <c r="L1003" s="591"/>
      <c r="M1003" s="592"/>
      <c r="N1003" s="588"/>
    </row>
    <row r="1004" spans="2:14">
      <c r="B1004" s="590"/>
      <c r="C1004" s="590"/>
      <c r="D1004" s="586"/>
      <c r="E1004" s="586"/>
      <c r="F1004" s="586"/>
      <c r="G1004" s="586"/>
      <c r="H1004" s="586"/>
      <c r="I1004" s="586"/>
      <c r="J1004" s="586"/>
      <c r="K1004" s="586"/>
      <c r="L1004" s="591"/>
      <c r="M1004" s="592"/>
      <c r="N1004" s="588"/>
    </row>
    <row r="1005" spans="2:14">
      <c r="B1005" s="590"/>
      <c r="C1005" s="590"/>
      <c r="D1005" s="586"/>
      <c r="E1005" s="586"/>
      <c r="F1005" s="586"/>
      <c r="G1005" s="586"/>
      <c r="H1005" s="586"/>
      <c r="I1005" s="586"/>
      <c r="J1005" s="586"/>
      <c r="K1005" s="586"/>
      <c r="L1005" s="591"/>
      <c r="M1005" s="592"/>
      <c r="N1005" s="588"/>
    </row>
    <row r="1006" spans="2:14">
      <c r="B1006" s="590"/>
      <c r="C1006" s="590"/>
      <c r="D1006" s="586"/>
      <c r="E1006" s="586"/>
      <c r="F1006" s="586"/>
      <c r="G1006" s="586"/>
      <c r="H1006" s="586"/>
      <c r="I1006" s="586"/>
      <c r="J1006" s="586"/>
      <c r="K1006" s="586"/>
      <c r="L1006" s="591"/>
      <c r="M1006" s="592"/>
      <c r="N1006" s="588"/>
    </row>
    <row r="1007" spans="2:14">
      <c r="B1007" s="590"/>
      <c r="C1007" s="590"/>
      <c r="D1007" s="586"/>
      <c r="E1007" s="586"/>
      <c r="F1007" s="586"/>
      <c r="G1007" s="586"/>
      <c r="H1007" s="586"/>
      <c r="I1007" s="586"/>
      <c r="J1007" s="586"/>
      <c r="K1007" s="586"/>
      <c r="L1007" s="591"/>
      <c r="M1007" s="592"/>
      <c r="N1007" s="588"/>
    </row>
    <row r="1008" spans="2:14">
      <c r="B1008" s="590"/>
      <c r="C1008" s="590"/>
      <c r="D1008" s="586"/>
      <c r="E1008" s="586"/>
      <c r="F1008" s="586"/>
      <c r="G1008" s="586"/>
      <c r="H1008" s="586"/>
      <c r="I1008" s="586"/>
      <c r="J1008" s="586"/>
      <c r="K1008" s="586"/>
      <c r="L1008" s="591"/>
      <c r="M1008" s="592"/>
      <c r="N1008" s="588"/>
    </row>
    <row r="1009" spans="2:14">
      <c r="B1009" s="590"/>
      <c r="C1009" s="590"/>
      <c r="D1009" s="586"/>
      <c r="E1009" s="586"/>
      <c r="F1009" s="586"/>
      <c r="G1009" s="586"/>
      <c r="H1009" s="586"/>
      <c r="I1009" s="586"/>
      <c r="J1009" s="586"/>
      <c r="K1009" s="586"/>
      <c r="L1009" s="591"/>
      <c r="M1009" s="592"/>
      <c r="N1009" s="588"/>
    </row>
    <row r="1010" spans="2:14">
      <c r="B1010" s="590"/>
      <c r="C1010" s="590"/>
      <c r="D1010" s="586"/>
      <c r="E1010" s="586"/>
      <c r="F1010" s="586"/>
      <c r="G1010" s="586"/>
      <c r="H1010" s="586"/>
      <c r="I1010" s="586"/>
      <c r="J1010" s="586"/>
      <c r="K1010" s="586"/>
      <c r="L1010" s="591"/>
      <c r="M1010" s="592"/>
      <c r="N1010" s="588"/>
    </row>
    <row r="1011" spans="2:14">
      <c r="B1011" s="590"/>
      <c r="C1011" s="590"/>
      <c r="D1011" s="586"/>
      <c r="E1011" s="586"/>
      <c r="F1011" s="586"/>
      <c r="G1011" s="586"/>
      <c r="H1011" s="586"/>
      <c r="I1011" s="586"/>
      <c r="J1011" s="586"/>
      <c r="K1011" s="586"/>
      <c r="L1011" s="591"/>
      <c r="M1011" s="592"/>
      <c r="N1011" s="588"/>
    </row>
    <row r="1012" spans="2:14">
      <c r="B1012" s="590"/>
      <c r="C1012" s="590"/>
      <c r="D1012" s="586"/>
      <c r="E1012" s="586"/>
      <c r="F1012" s="586"/>
      <c r="G1012" s="586"/>
      <c r="H1012" s="586"/>
      <c r="I1012" s="586"/>
      <c r="J1012" s="586"/>
      <c r="K1012" s="586"/>
      <c r="L1012" s="591"/>
      <c r="M1012" s="592"/>
      <c r="N1012" s="588"/>
    </row>
    <row r="1013" spans="2:14">
      <c r="B1013" s="590"/>
      <c r="C1013" s="590"/>
      <c r="D1013" s="586"/>
      <c r="E1013" s="586"/>
      <c r="F1013" s="586"/>
      <c r="G1013" s="586"/>
      <c r="H1013" s="586"/>
      <c r="I1013" s="586"/>
      <c r="J1013" s="586"/>
      <c r="K1013" s="586"/>
      <c r="L1013" s="591"/>
      <c r="M1013" s="592"/>
      <c r="N1013" s="588"/>
    </row>
    <row r="1014" spans="2:14">
      <c r="B1014" s="590"/>
      <c r="C1014" s="590"/>
      <c r="D1014" s="586"/>
      <c r="E1014" s="586"/>
      <c r="F1014" s="586"/>
      <c r="G1014" s="586"/>
      <c r="H1014" s="586"/>
      <c r="I1014" s="586"/>
      <c r="J1014" s="586"/>
      <c r="K1014" s="586"/>
      <c r="L1014" s="591"/>
      <c r="M1014" s="592"/>
      <c r="N1014" s="588"/>
    </row>
    <row r="1015" spans="2:14">
      <c r="B1015" s="590"/>
      <c r="C1015" s="590"/>
      <c r="D1015" s="586"/>
      <c r="E1015" s="586"/>
      <c r="F1015" s="586"/>
      <c r="G1015" s="586"/>
      <c r="H1015" s="586"/>
      <c r="I1015" s="586"/>
      <c r="J1015" s="586"/>
      <c r="K1015" s="586"/>
      <c r="L1015" s="591"/>
      <c r="M1015" s="592"/>
      <c r="N1015" s="588"/>
    </row>
    <row r="1016" spans="2:14">
      <c r="B1016" s="590"/>
      <c r="C1016" s="590"/>
      <c r="D1016" s="586"/>
      <c r="E1016" s="586"/>
      <c r="F1016" s="586"/>
      <c r="G1016" s="586"/>
      <c r="H1016" s="586"/>
      <c r="I1016" s="586"/>
      <c r="J1016" s="586"/>
      <c r="K1016" s="586"/>
      <c r="L1016" s="591"/>
      <c r="M1016" s="592"/>
      <c r="N1016" s="588"/>
    </row>
    <row r="1017" spans="2:14">
      <c r="B1017" s="590"/>
      <c r="C1017" s="590"/>
      <c r="D1017" s="586"/>
      <c r="E1017" s="586"/>
      <c r="F1017" s="586"/>
      <c r="G1017" s="586"/>
      <c r="H1017" s="586"/>
      <c r="I1017" s="586"/>
      <c r="J1017" s="586"/>
      <c r="K1017" s="586"/>
      <c r="L1017" s="591"/>
      <c r="M1017" s="592"/>
      <c r="N1017" s="588"/>
    </row>
    <row r="1018" spans="2:14">
      <c r="B1018" s="590"/>
      <c r="C1018" s="590"/>
      <c r="D1018" s="586"/>
      <c r="E1018" s="586"/>
      <c r="F1018" s="586"/>
      <c r="G1018" s="586"/>
      <c r="H1018" s="586"/>
      <c r="I1018" s="586"/>
      <c r="J1018" s="586"/>
      <c r="K1018" s="586"/>
      <c r="L1018" s="591"/>
      <c r="M1018" s="592"/>
      <c r="N1018" s="588"/>
    </row>
    <row r="1019" spans="2:14">
      <c r="B1019" s="590"/>
      <c r="C1019" s="590"/>
      <c r="D1019" s="586"/>
      <c r="E1019" s="586"/>
      <c r="F1019" s="586"/>
      <c r="G1019" s="586"/>
      <c r="H1019" s="586"/>
      <c r="I1019" s="586"/>
      <c r="J1019" s="586"/>
      <c r="K1019" s="586"/>
      <c r="L1019" s="591"/>
      <c r="M1019" s="592"/>
      <c r="N1019" s="588"/>
    </row>
    <row r="1020" spans="2:14">
      <c r="B1020" s="590"/>
      <c r="C1020" s="590"/>
      <c r="D1020" s="586"/>
      <c r="E1020" s="586"/>
      <c r="F1020" s="586"/>
      <c r="G1020" s="586"/>
      <c r="H1020" s="586"/>
      <c r="I1020" s="586"/>
      <c r="J1020" s="586"/>
      <c r="K1020" s="586"/>
      <c r="L1020" s="591"/>
      <c r="M1020" s="592"/>
      <c r="N1020" s="588"/>
    </row>
    <row r="1021" spans="2:14">
      <c r="B1021" s="590"/>
      <c r="C1021" s="590"/>
      <c r="D1021" s="586"/>
      <c r="E1021" s="586"/>
      <c r="F1021" s="586"/>
      <c r="G1021" s="586"/>
      <c r="H1021" s="586"/>
      <c r="I1021" s="586"/>
      <c r="J1021" s="586"/>
      <c r="K1021" s="586"/>
      <c r="L1021" s="591"/>
      <c r="M1021" s="592"/>
      <c r="N1021" s="588"/>
    </row>
    <row r="1022" spans="2:14">
      <c r="B1022" s="590"/>
      <c r="C1022" s="590"/>
      <c r="D1022" s="586"/>
      <c r="E1022" s="586"/>
      <c r="F1022" s="586"/>
      <c r="G1022" s="586"/>
      <c r="H1022" s="586"/>
      <c r="I1022" s="586"/>
      <c r="J1022" s="586"/>
      <c r="K1022" s="586"/>
      <c r="L1022" s="591"/>
      <c r="M1022" s="592"/>
      <c r="N1022" s="588"/>
    </row>
    <row r="1023" spans="2:14">
      <c r="B1023" s="590"/>
      <c r="C1023" s="590"/>
      <c r="D1023" s="586"/>
      <c r="E1023" s="586"/>
      <c r="F1023" s="586"/>
      <c r="G1023" s="586"/>
      <c r="H1023" s="586"/>
      <c r="I1023" s="586"/>
      <c r="J1023" s="586"/>
      <c r="K1023" s="586"/>
      <c r="L1023" s="591"/>
      <c r="M1023" s="592"/>
      <c r="N1023" s="588"/>
    </row>
    <row r="1024" spans="2:14">
      <c r="B1024" s="590"/>
      <c r="C1024" s="590"/>
      <c r="D1024" s="586"/>
      <c r="E1024" s="586"/>
      <c r="F1024" s="586"/>
      <c r="G1024" s="586"/>
      <c r="H1024" s="586"/>
      <c r="I1024" s="586"/>
      <c r="J1024" s="586"/>
      <c r="K1024" s="586"/>
      <c r="L1024" s="591"/>
      <c r="M1024" s="592"/>
      <c r="N1024" s="588"/>
    </row>
    <row r="1025" spans="2:14">
      <c r="B1025" s="590"/>
      <c r="C1025" s="590"/>
      <c r="D1025" s="586"/>
      <c r="E1025" s="586"/>
      <c r="F1025" s="586"/>
      <c r="G1025" s="586"/>
      <c r="H1025" s="586"/>
      <c r="I1025" s="586"/>
      <c r="J1025" s="586"/>
      <c r="K1025" s="586"/>
      <c r="L1025" s="591"/>
      <c r="M1025" s="592"/>
      <c r="N1025" s="588"/>
    </row>
    <row r="1026" spans="2:14">
      <c r="B1026" s="590"/>
      <c r="C1026" s="590"/>
      <c r="D1026" s="586"/>
      <c r="E1026" s="586"/>
      <c r="F1026" s="586"/>
      <c r="G1026" s="586"/>
      <c r="H1026" s="586"/>
      <c r="I1026" s="586"/>
      <c r="J1026" s="586"/>
      <c r="K1026" s="586"/>
      <c r="L1026" s="591"/>
      <c r="M1026" s="592"/>
      <c r="N1026" s="588"/>
    </row>
    <row r="1027" spans="2:14">
      <c r="B1027" s="590"/>
      <c r="C1027" s="590"/>
      <c r="D1027" s="586"/>
      <c r="E1027" s="586"/>
      <c r="F1027" s="586"/>
      <c r="G1027" s="586"/>
      <c r="H1027" s="586"/>
      <c r="I1027" s="586"/>
      <c r="J1027" s="586"/>
      <c r="K1027" s="586"/>
      <c r="L1027" s="591"/>
      <c r="M1027" s="592"/>
      <c r="N1027" s="588"/>
    </row>
    <row r="1028" spans="2:14">
      <c r="B1028" s="590"/>
      <c r="C1028" s="590"/>
      <c r="D1028" s="586"/>
      <c r="E1028" s="586"/>
      <c r="F1028" s="586"/>
      <c r="G1028" s="586"/>
      <c r="H1028" s="586"/>
      <c r="I1028" s="586"/>
      <c r="J1028" s="586"/>
      <c r="K1028" s="586"/>
      <c r="L1028" s="591"/>
      <c r="M1028" s="592"/>
      <c r="N1028" s="588"/>
    </row>
    <row r="1029" spans="2:14">
      <c r="B1029" s="590"/>
      <c r="C1029" s="590"/>
      <c r="D1029" s="586"/>
      <c r="E1029" s="586"/>
      <c r="F1029" s="586"/>
      <c r="G1029" s="586"/>
      <c r="H1029" s="586"/>
      <c r="I1029" s="586"/>
      <c r="J1029" s="586"/>
      <c r="K1029" s="586"/>
      <c r="L1029" s="591"/>
      <c r="M1029" s="592"/>
      <c r="N1029" s="588"/>
    </row>
    <row r="1030" spans="2:14">
      <c r="B1030" s="590"/>
      <c r="C1030" s="590"/>
      <c r="D1030" s="586"/>
      <c r="E1030" s="586"/>
      <c r="F1030" s="586"/>
      <c r="G1030" s="586"/>
      <c r="H1030" s="586"/>
      <c r="I1030" s="586"/>
      <c r="J1030" s="586"/>
      <c r="K1030" s="586"/>
      <c r="L1030" s="591"/>
      <c r="M1030" s="592"/>
      <c r="N1030" s="588"/>
    </row>
    <row r="1031" spans="2:14">
      <c r="B1031" s="590"/>
      <c r="C1031" s="590"/>
      <c r="D1031" s="586"/>
      <c r="E1031" s="586"/>
      <c r="F1031" s="586"/>
      <c r="G1031" s="586"/>
      <c r="H1031" s="586"/>
      <c r="I1031" s="586"/>
      <c r="J1031" s="586"/>
      <c r="K1031" s="586"/>
      <c r="L1031" s="591"/>
      <c r="M1031" s="592"/>
      <c r="N1031" s="588"/>
    </row>
    <row r="1032" spans="2:14">
      <c r="B1032" s="590"/>
      <c r="C1032" s="590"/>
      <c r="D1032" s="586"/>
      <c r="E1032" s="586"/>
      <c r="F1032" s="586"/>
      <c r="G1032" s="586"/>
      <c r="H1032" s="586"/>
      <c r="I1032" s="586"/>
      <c r="J1032" s="586"/>
      <c r="K1032" s="586"/>
      <c r="L1032" s="591"/>
      <c r="M1032" s="592"/>
      <c r="N1032" s="588"/>
    </row>
    <row r="1033" spans="2:14">
      <c r="B1033" s="590"/>
      <c r="C1033" s="590"/>
      <c r="D1033" s="586"/>
      <c r="E1033" s="586"/>
      <c r="F1033" s="586"/>
      <c r="G1033" s="586"/>
      <c r="H1033" s="586"/>
      <c r="I1033" s="586"/>
      <c r="J1033" s="586"/>
      <c r="K1033" s="586"/>
      <c r="L1033" s="591"/>
      <c r="M1033" s="592"/>
      <c r="N1033" s="588"/>
    </row>
    <row r="1034" spans="2:14">
      <c r="B1034" s="590"/>
      <c r="C1034" s="590"/>
      <c r="D1034" s="586"/>
      <c r="E1034" s="586"/>
      <c r="F1034" s="586"/>
      <c r="G1034" s="586"/>
      <c r="H1034" s="586"/>
      <c r="I1034" s="586"/>
      <c r="J1034" s="586"/>
      <c r="K1034" s="586"/>
      <c r="L1034" s="591"/>
      <c r="M1034" s="592"/>
      <c r="N1034" s="588"/>
    </row>
    <row r="1035" spans="2:14">
      <c r="B1035" s="590"/>
      <c r="C1035" s="590"/>
      <c r="D1035" s="586"/>
      <c r="E1035" s="586"/>
      <c r="F1035" s="586"/>
      <c r="G1035" s="586"/>
      <c r="H1035" s="586"/>
      <c r="I1035" s="586"/>
      <c r="J1035" s="586"/>
      <c r="K1035" s="586"/>
      <c r="L1035" s="591"/>
      <c r="M1035" s="592"/>
      <c r="N1035" s="588"/>
    </row>
    <row r="1036" spans="2:14">
      <c r="B1036" s="590"/>
      <c r="C1036" s="590"/>
      <c r="D1036" s="586"/>
      <c r="E1036" s="586"/>
      <c r="F1036" s="586"/>
      <c r="G1036" s="586"/>
      <c r="H1036" s="586"/>
      <c r="I1036" s="586"/>
      <c r="J1036" s="586"/>
      <c r="K1036" s="586"/>
      <c r="L1036" s="591"/>
      <c r="M1036" s="592"/>
      <c r="N1036" s="588"/>
    </row>
    <row r="1037" spans="2:14">
      <c r="B1037" s="590"/>
      <c r="C1037" s="590"/>
      <c r="D1037" s="586"/>
      <c r="E1037" s="586"/>
      <c r="F1037" s="586"/>
      <c r="G1037" s="586"/>
      <c r="H1037" s="586"/>
      <c r="I1037" s="586"/>
      <c r="J1037" s="586"/>
      <c r="K1037" s="586"/>
      <c r="L1037" s="591"/>
      <c r="M1037" s="592"/>
      <c r="N1037" s="588"/>
    </row>
    <row r="1038" spans="2:14">
      <c r="B1038" s="590"/>
      <c r="C1038" s="590"/>
      <c r="D1038" s="586"/>
      <c r="E1038" s="586"/>
      <c r="F1038" s="586"/>
      <c r="G1038" s="586"/>
      <c r="H1038" s="586"/>
      <c r="I1038" s="586"/>
      <c r="J1038" s="586"/>
      <c r="K1038" s="586"/>
      <c r="L1038" s="591"/>
      <c r="M1038" s="592"/>
      <c r="N1038" s="588"/>
    </row>
    <row r="1039" spans="2:14">
      <c r="B1039" s="590"/>
      <c r="C1039" s="590"/>
      <c r="D1039" s="586"/>
      <c r="E1039" s="586"/>
      <c r="F1039" s="586"/>
      <c r="G1039" s="586"/>
      <c r="H1039" s="586"/>
      <c r="I1039" s="586"/>
      <c r="J1039" s="586"/>
      <c r="K1039" s="586"/>
      <c r="L1039" s="591"/>
      <c r="M1039" s="592"/>
      <c r="N1039" s="588"/>
    </row>
    <row r="1040" spans="2:14">
      <c r="B1040" s="590"/>
      <c r="C1040" s="590"/>
      <c r="D1040" s="586"/>
      <c r="E1040" s="586"/>
      <c r="F1040" s="586"/>
      <c r="G1040" s="586"/>
      <c r="H1040" s="586"/>
      <c r="I1040" s="586"/>
      <c r="J1040" s="586"/>
      <c r="K1040" s="586"/>
      <c r="L1040" s="591"/>
      <c r="M1040" s="592"/>
      <c r="N1040" s="588"/>
    </row>
    <row r="1041" spans="2:14">
      <c r="B1041" s="590"/>
      <c r="C1041" s="590"/>
      <c r="D1041" s="586"/>
      <c r="E1041" s="586"/>
      <c r="F1041" s="586"/>
      <c r="G1041" s="586"/>
      <c r="H1041" s="586"/>
      <c r="I1041" s="586"/>
      <c r="J1041" s="586"/>
      <c r="K1041" s="586"/>
      <c r="L1041" s="591"/>
      <c r="M1041" s="592"/>
      <c r="N1041" s="588"/>
    </row>
    <row r="1042" spans="2:14">
      <c r="B1042" s="590"/>
      <c r="C1042" s="590"/>
      <c r="D1042" s="586"/>
      <c r="E1042" s="586"/>
      <c r="F1042" s="586"/>
      <c r="G1042" s="586"/>
      <c r="H1042" s="586"/>
      <c r="I1042" s="586"/>
      <c r="J1042" s="586"/>
      <c r="K1042" s="586"/>
      <c r="L1042" s="591"/>
      <c r="M1042" s="592"/>
      <c r="N1042" s="588"/>
    </row>
    <row r="1043" spans="2:14">
      <c r="B1043" s="590"/>
      <c r="C1043" s="590"/>
      <c r="D1043" s="586"/>
      <c r="E1043" s="586"/>
      <c r="F1043" s="586"/>
      <c r="G1043" s="586"/>
      <c r="H1043" s="586"/>
      <c r="I1043" s="586"/>
      <c r="J1043" s="586"/>
      <c r="K1043" s="586"/>
      <c r="L1043" s="591"/>
      <c r="M1043" s="592"/>
      <c r="N1043" s="588"/>
    </row>
    <row r="1044" spans="2:14">
      <c r="B1044" s="590"/>
      <c r="C1044" s="590"/>
      <c r="D1044" s="586"/>
      <c r="E1044" s="586"/>
      <c r="F1044" s="586"/>
      <c r="G1044" s="586"/>
      <c r="H1044" s="586"/>
      <c r="I1044" s="586"/>
      <c r="J1044" s="586"/>
      <c r="K1044" s="586"/>
      <c r="L1044" s="591"/>
      <c r="M1044" s="592"/>
      <c r="N1044" s="588"/>
    </row>
    <row r="1045" spans="2:14">
      <c r="B1045" s="590"/>
      <c r="C1045" s="590"/>
      <c r="D1045" s="586"/>
      <c r="E1045" s="586"/>
      <c r="F1045" s="586"/>
      <c r="G1045" s="586"/>
      <c r="H1045" s="586"/>
      <c r="I1045" s="586"/>
      <c r="J1045" s="586"/>
      <c r="K1045" s="586"/>
      <c r="L1045" s="591"/>
      <c r="M1045" s="592"/>
      <c r="N1045" s="588"/>
    </row>
    <row r="1046" spans="2:14">
      <c r="B1046" s="590"/>
      <c r="C1046" s="590"/>
      <c r="D1046" s="586"/>
      <c r="E1046" s="586"/>
      <c r="F1046" s="586"/>
      <c r="G1046" s="586"/>
      <c r="H1046" s="586"/>
      <c r="I1046" s="586"/>
      <c r="J1046" s="586"/>
      <c r="K1046" s="586"/>
      <c r="L1046" s="591"/>
      <c r="M1046" s="592"/>
      <c r="N1046" s="588"/>
    </row>
    <row r="1047" spans="2:14">
      <c r="B1047" s="590"/>
      <c r="C1047" s="590"/>
      <c r="D1047" s="586"/>
      <c r="E1047" s="586"/>
      <c r="F1047" s="586"/>
      <c r="G1047" s="586"/>
      <c r="H1047" s="586"/>
      <c r="I1047" s="586"/>
      <c r="J1047" s="586"/>
      <c r="K1047" s="586"/>
      <c r="L1047" s="591"/>
      <c r="M1047" s="592"/>
      <c r="N1047" s="588"/>
    </row>
    <row r="1048" spans="2:14">
      <c r="B1048" s="590"/>
      <c r="C1048" s="590"/>
      <c r="D1048" s="586"/>
      <c r="E1048" s="586"/>
      <c r="F1048" s="586"/>
      <c r="G1048" s="586"/>
      <c r="H1048" s="586"/>
      <c r="I1048" s="586"/>
      <c r="J1048" s="586"/>
      <c r="K1048" s="586"/>
      <c r="L1048" s="591"/>
      <c r="M1048" s="592"/>
      <c r="N1048" s="588"/>
    </row>
    <row r="1049" spans="2:14">
      <c r="B1049" s="590"/>
      <c r="C1049" s="590"/>
      <c r="D1049" s="586"/>
      <c r="E1049" s="586"/>
      <c r="F1049" s="586"/>
      <c r="G1049" s="586"/>
      <c r="H1049" s="586"/>
      <c r="I1049" s="586"/>
      <c r="J1049" s="586"/>
      <c r="K1049" s="586"/>
      <c r="L1049" s="591"/>
      <c r="M1049" s="592"/>
      <c r="N1049" s="588"/>
    </row>
    <row r="1050" spans="2:14">
      <c r="B1050" s="590"/>
      <c r="C1050" s="590"/>
      <c r="D1050" s="586"/>
      <c r="E1050" s="586"/>
      <c r="F1050" s="586"/>
      <c r="G1050" s="586"/>
      <c r="H1050" s="586"/>
      <c r="I1050" s="586"/>
      <c r="J1050" s="586"/>
      <c r="K1050" s="586"/>
      <c r="L1050" s="591"/>
      <c r="M1050" s="592"/>
      <c r="N1050" s="588"/>
    </row>
    <row r="1051" spans="2:14">
      <c r="B1051" s="590"/>
      <c r="C1051" s="590"/>
      <c r="D1051" s="586"/>
      <c r="E1051" s="586"/>
      <c r="F1051" s="586"/>
      <c r="G1051" s="586"/>
      <c r="H1051" s="586"/>
      <c r="I1051" s="586"/>
      <c r="J1051" s="586"/>
      <c r="K1051" s="586"/>
      <c r="L1051" s="591"/>
      <c r="M1051" s="592"/>
      <c r="N1051" s="588"/>
    </row>
    <row r="1052" spans="2:14">
      <c r="B1052" s="590"/>
      <c r="C1052" s="590"/>
      <c r="D1052" s="586"/>
      <c r="E1052" s="586"/>
      <c r="F1052" s="586"/>
      <c r="G1052" s="586"/>
      <c r="H1052" s="586"/>
      <c r="I1052" s="586"/>
      <c r="J1052" s="586"/>
      <c r="K1052" s="586"/>
      <c r="L1052" s="591"/>
      <c r="M1052" s="592"/>
      <c r="N1052" s="588"/>
    </row>
    <row r="1053" spans="2:14">
      <c r="B1053" s="590"/>
      <c r="C1053" s="590"/>
      <c r="D1053" s="586"/>
      <c r="E1053" s="586"/>
      <c r="F1053" s="586"/>
      <c r="G1053" s="586"/>
      <c r="H1053" s="586"/>
      <c r="I1053" s="586"/>
      <c r="J1053" s="586"/>
      <c r="K1053" s="586"/>
      <c r="L1053" s="591"/>
      <c r="M1053" s="592"/>
      <c r="N1053" s="588"/>
    </row>
    <row r="1054" spans="2:14">
      <c r="B1054" s="590"/>
      <c r="C1054" s="590"/>
      <c r="D1054" s="586"/>
      <c r="E1054" s="586"/>
      <c r="F1054" s="586"/>
      <c r="G1054" s="586"/>
      <c r="H1054" s="586"/>
      <c r="I1054" s="586"/>
      <c r="J1054" s="586"/>
      <c r="K1054" s="586"/>
      <c r="L1054" s="591"/>
      <c r="M1054" s="592"/>
      <c r="N1054" s="588"/>
    </row>
    <row r="1055" spans="2:14">
      <c r="B1055" s="590"/>
      <c r="C1055" s="590"/>
      <c r="D1055" s="586"/>
      <c r="E1055" s="586"/>
      <c r="F1055" s="586"/>
      <c r="G1055" s="586"/>
      <c r="H1055" s="586"/>
      <c r="I1055" s="586"/>
      <c r="J1055" s="586"/>
      <c r="K1055" s="586"/>
      <c r="L1055" s="591"/>
      <c r="M1055" s="592"/>
      <c r="N1055" s="588"/>
    </row>
    <row r="1056" spans="2:14">
      <c r="B1056" s="590"/>
      <c r="C1056" s="590"/>
      <c r="D1056" s="586"/>
      <c r="E1056" s="586"/>
      <c r="F1056" s="586"/>
      <c r="G1056" s="586"/>
      <c r="H1056" s="586"/>
      <c r="I1056" s="586"/>
      <c r="J1056" s="586"/>
      <c r="K1056" s="586"/>
      <c r="L1056" s="591"/>
      <c r="M1056" s="592"/>
      <c r="N1056" s="588"/>
    </row>
    <row r="1057" spans="2:14">
      <c r="B1057" s="590"/>
      <c r="C1057" s="590"/>
      <c r="D1057" s="586"/>
      <c r="E1057" s="586"/>
      <c r="F1057" s="586"/>
      <c r="G1057" s="586"/>
      <c r="H1057" s="586"/>
      <c r="I1057" s="586"/>
      <c r="J1057" s="586"/>
      <c r="K1057" s="586"/>
      <c r="L1057" s="591"/>
      <c r="M1057" s="592"/>
      <c r="N1057" s="588"/>
    </row>
    <row r="1058" spans="2:14">
      <c r="B1058" s="590"/>
      <c r="C1058" s="590"/>
      <c r="D1058" s="586"/>
      <c r="E1058" s="586"/>
      <c r="F1058" s="586"/>
      <c r="G1058" s="586"/>
      <c r="H1058" s="586"/>
      <c r="I1058" s="586"/>
      <c r="J1058" s="586"/>
      <c r="K1058" s="586"/>
      <c r="L1058" s="591"/>
      <c r="M1058" s="592"/>
      <c r="N1058" s="588"/>
    </row>
    <row r="1059" spans="2:14">
      <c r="B1059" s="590"/>
      <c r="C1059" s="590"/>
      <c r="D1059" s="586"/>
      <c r="E1059" s="586"/>
      <c r="F1059" s="586"/>
      <c r="G1059" s="586"/>
      <c r="H1059" s="586"/>
      <c r="I1059" s="586"/>
      <c r="J1059" s="586"/>
      <c r="K1059" s="586"/>
      <c r="L1059" s="591"/>
      <c r="M1059" s="592"/>
      <c r="N1059" s="588"/>
    </row>
    <row r="1060" spans="2:14">
      <c r="B1060" s="590"/>
      <c r="C1060" s="590"/>
      <c r="D1060" s="586"/>
      <c r="E1060" s="586"/>
      <c r="F1060" s="586"/>
      <c r="G1060" s="586"/>
      <c r="H1060" s="586"/>
      <c r="I1060" s="586"/>
      <c r="J1060" s="586"/>
      <c r="K1060" s="586"/>
      <c r="L1060" s="591"/>
      <c r="M1060" s="592"/>
      <c r="N1060" s="588"/>
    </row>
    <row r="1061" spans="2:14">
      <c r="B1061" s="590"/>
      <c r="C1061" s="590"/>
      <c r="D1061" s="586"/>
      <c r="E1061" s="586"/>
      <c r="F1061" s="586"/>
      <c r="G1061" s="586"/>
      <c r="H1061" s="586"/>
      <c r="I1061" s="586"/>
      <c r="J1061" s="586"/>
      <c r="K1061" s="586"/>
      <c r="L1061" s="591"/>
      <c r="M1061" s="592"/>
      <c r="N1061" s="588"/>
    </row>
    <row r="1062" spans="2:14">
      <c r="B1062" s="590"/>
      <c r="C1062" s="590"/>
      <c r="D1062" s="586"/>
      <c r="E1062" s="586"/>
      <c r="F1062" s="586"/>
      <c r="G1062" s="586"/>
      <c r="H1062" s="586"/>
      <c r="I1062" s="586"/>
      <c r="J1062" s="586"/>
      <c r="K1062" s="586"/>
      <c r="L1062" s="591"/>
      <c r="M1062" s="592"/>
      <c r="N1062" s="588"/>
    </row>
    <row r="1063" spans="2:14">
      <c r="B1063" s="590"/>
      <c r="C1063" s="590"/>
      <c r="D1063" s="586"/>
      <c r="E1063" s="586"/>
      <c r="F1063" s="586"/>
      <c r="G1063" s="586"/>
      <c r="H1063" s="586"/>
      <c r="I1063" s="586"/>
      <c r="J1063" s="586"/>
      <c r="K1063" s="586"/>
      <c r="L1063" s="591"/>
      <c r="M1063" s="592"/>
      <c r="N1063" s="588"/>
    </row>
    <row r="1064" spans="2:14">
      <c r="B1064" s="590"/>
      <c r="C1064" s="590"/>
      <c r="D1064" s="586"/>
      <c r="E1064" s="586"/>
      <c r="F1064" s="586"/>
      <c r="G1064" s="586"/>
      <c r="H1064" s="586"/>
      <c r="I1064" s="586"/>
      <c r="J1064" s="586"/>
      <c r="K1064" s="586"/>
      <c r="L1064" s="591"/>
      <c r="M1064" s="592"/>
      <c r="N1064" s="588"/>
    </row>
    <row r="1065" spans="2:14">
      <c r="B1065" s="590"/>
      <c r="C1065" s="590"/>
      <c r="D1065" s="586"/>
      <c r="E1065" s="586"/>
      <c r="F1065" s="586"/>
      <c r="G1065" s="586"/>
      <c r="H1065" s="586"/>
      <c r="I1065" s="586"/>
      <c r="J1065" s="586"/>
      <c r="K1065" s="586"/>
      <c r="L1065" s="591"/>
      <c r="M1065" s="592"/>
      <c r="N1065" s="588"/>
    </row>
    <row r="1066" spans="2:14">
      <c r="B1066" s="590"/>
      <c r="C1066" s="590"/>
      <c r="D1066" s="586"/>
      <c r="E1066" s="586"/>
      <c r="F1066" s="586"/>
      <c r="G1066" s="586"/>
      <c r="H1066" s="586"/>
      <c r="I1066" s="586"/>
      <c r="J1066" s="586"/>
      <c r="K1066" s="586"/>
      <c r="L1066" s="591"/>
      <c r="M1066" s="592"/>
      <c r="N1066" s="588"/>
    </row>
    <row r="1067" spans="2:14">
      <c r="B1067" s="590"/>
      <c r="C1067" s="590"/>
      <c r="D1067" s="586"/>
      <c r="E1067" s="586"/>
      <c r="F1067" s="586"/>
      <c r="G1067" s="586"/>
      <c r="H1067" s="586"/>
      <c r="I1067" s="586"/>
      <c r="J1067" s="586"/>
      <c r="K1067" s="586"/>
      <c r="L1067" s="591"/>
      <c r="M1067" s="592"/>
      <c r="N1067" s="588"/>
    </row>
    <row r="1068" spans="2:14">
      <c r="B1068" s="590"/>
      <c r="C1068" s="590"/>
      <c r="D1068" s="586"/>
      <c r="E1068" s="586"/>
      <c r="F1068" s="586"/>
      <c r="G1068" s="586"/>
      <c r="H1068" s="586"/>
      <c r="I1068" s="586"/>
      <c r="J1068" s="586"/>
      <c r="K1068" s="586"/>
      <c r="L1068" s="591"/>
      <c r="M1068" s="592"/>
      <c r="N1068" s="588"/>
    </row>
    <row r="1069" spans="2:14">
      <c r="B1069" s="590"/>
      <c r="C1069" s="590"/>
      <c r="D1069" s="586"/>
      <c r="E1069" s="586"/>
      <c r="F1069" s="586"/>
      <c r="G1069" s="586"/>
      <c r="H1069" s="586"/>
      <c r="I1069" s="586"/>
      <c r="J1069" s="586"/>
      <c r="K1069" s="586"/>
      <c r="L1069" s="591"/>
      <c r="M1069" s="592"/>
      <c r="N1069" s="588"/>
    </row>
    <row r="1070" spans="2:14">
      <c r="B1070" s="590"/>
      <c r="C1070" s="590"/>
      <c r="D1070" s="586"/>
      <c r="E1070" s="586"/>
      <c r="F1070" s="586"/>
      <c r="G1070" s="586"/>
      <c r="H1070" s="586"/>
      <c r="I1070" s="586"/>
      <c r="J1070" s="586"/>
      <c r="K1070" s="586"/>
      <c r="L1070" s="591"/>
      <c r="M1070" s="592"/>
      <c r="N1070" s="588"/>
    </row>
    <row r="1071" spans="2:14">
      <c r="B1071" s="590"/>
      <c r="C1071" s="590"/>
      <c r="D1071" s="586"/>
      <c r="E1071" s="586"/>
      <c r="F1071" s="586"/>
      <c r="G1071" s="586"/>
      <c r="H1071" s="586"/>
      <c r="I1071" s="586"/>
      <c r="J1071" s="586"/>
      <c r="K1071" s="586"/>
      <c r="L1071" s="591"/>
      <c r="M1071" s="592"/>
      <c r="N1071" s="588"/>
    </row>
    <row r="1072" spans="2:14">
      <c r="B1072" s="590"/>
      <c r="C1072" s="590"/>
      <c r="D1072" s="586"/>
      <c r="E1072" s="586"/>
      <c r="F1072" s="586"/>
      <c r="G1072" s="586"/>
      <c r="H1072" s="586"/>
      <c r="I1072" s="586"/>
      <c r="J1072" s="586"/>
      <c r="K1072" s="586"/>
      <c r="L1072" s="591"/>
      <c r="M1072" s="592"/>
      <c r="N1072" s="588"/>
    </row>
    <row r="1073" spans="2:14">
      <c r="B1073" s="590"/>
      <c r="C1073" s="590"/>
      <c r="D1073" s="586"/>
      <c r="E1073" s="586"/>
      <c r="F1073" s="586"/>
      <c r="G1073" s="586"/>
      <c r="H1073" s="586"/>
      <c r="I1073" s="586"/>
      <c r="J1073" s="586"/>
      <c r="K1073" s="586"/>
      <c r="L1073" s="591"/>
      <c r="M1073" s="592"/>
      <c r="N1073" s="588"/>
    </row>
    <row r="1074" spans="2:14">
      <c r="B1074" s="590"/>
      <c r="C1074" s="590"/>
      <c r="D1074" s="586"/>
      <c r="E1074" s="586"/>
      <c r="F1074" s="586"/>
      <c r="G1074" s="586"/>
      <c r="H1074" s="586"/>
      <c r="I1074" s="586"/>
      <c r="J1074" s="586"/>
      <c r="K1074" s="586"/>
      <c r="L1074" s="591"/>
      <c r="M1074" s="592"/>
      <c r="N1074" s="588"/>
    </row>
    <row r="1075" spans="2:14">
      <c r="B1075" s="590"/>
      <c r="C1075" s="590"/>
      <c r="D1075" s="586"/>
      <c r="E1075" s="586"/>
      <c r="F1075" s="586"/>
      <c r="G1075" s="586"/>
      <c r="H1075" s="586"/>
      <c r="I1075" s="586"/>
      <c r="J1075" s="586"/>
      <c r="K1075" s="586"/>
      <c r="L1075" s="591"/>
      <c r="M1075" s="592"/>
      <c r="N1075" s="588"/>
    </row>
    <row r="1076" spans="2:14">
      <c r="B1076" s="590"/>
      <c r="C1076" s="590"/>
      <c r="D1076" s="586"/>
      <c r="E1076" s="586"/>
      <c r="F1076" s="586"/>
      <c r="G1076" s="586"/>
      <c r="H1076" s="586"/>
      <c r="I1076" s="586"/>
      <c r="J1076" s="586"/>
      <c r="K1076" s="586"/>
      <c r="L1076" s="591"/>
      <c r="M1076" s="592"/>
      <c r="N1076" s="588"/>
    </row>
    <row r="1077" spans="2:14">
      <c r="B1077" s="590"/>
      <c r="C1077" s="590"/>
      <c r="D1077" s="586"/>
      <c r="E1077" s="586"/>
      <c r="F1077" s="586"/>
      <c r="G1077" s="586"/>
      <c r="H1077" s="586"/>
      <c r="I1077" s="586"/>
      <c r="J1077" s="586"/>
      <c r="K1077" s="586"/>
      <c r="L1077" s="591"/>
      <c r="M1077" s="592"/>
      <c r="N1077" s="588"/>
    </row>
    <row r="1078" spans="2:14">
      <c r="B1078" s="590"/>
      <c r="C1078" s="590"/>
      <c r="D1078" s="586"/>
      <c r="E1078" s="586"/>
      <c r="F1078" s="586"/>
      <c r="G1078" s="586"/>
      <c r="H1078" s="586"/>
      <c r="I1078" s="586"/>
      <c r="J1078" s="586"/>
      <c r="K1078" s="586"/>
      <c r="L1078" s="591"/>
      <c r="M1078" s="592"/>
      <c r="N1078" s="588"/>
    </row>
    <row r="1079" spans="2:14">
      <c r="B1079" s="590"/>
      <c r="C1079" s="590"/>
      <c r="D1079" s="586"/>
      <c r="E1079" s="586"/>
      <c r="F1079" s="586"/>
      <c r="G1079" s="586"/>
      <c r="H1079" s="586"/>
      <c r="I1079" s="586"/>
      <c r="J1079" s="586"/>
      <c r="K1079" s="586"/>
      <c r="L1079" s="591"/>
      <c r="M1079" s="592"/>
      <c r="N1079" s="588"/>
    </row>
    <row r="1080" spans="2:14">
      <c r="B1080" s="590"/>
      <c r="C1080" s="590"/>
      <c r="D1080" s="586"/>
      <c r="E1080" s="586"/>
      <c r="F1080" s="586"/>
      <c r="G1080" s="586"/>
      <c r="H1080" s="586"/>
      <c r="I1080" s="586"/>
      <c r="J1080" s="586"/>
      <c r="K1080" s="586"/>
      <c r="L1080" s="591"/>
      <c r="M1080" s="592"/>
      <c r="N1080" s="588"/>
    </row>
    <row r="1081" spans="2:14">
      <c r="B1081" s="590"/>
      <c r="C1081" s="590"/>
      <c r="D1081" s="586"/>
      <c r="E1081" s="586"/>
      <c r="F1081" s="586"/>
      <c r="G1081" s="586"/>
      <c r="H1081" s="586"/>
      <c r="I1081" s="586"/>
      <c r="J1081" s="586"/>
      <c r="K1081" s="586"/>
      <c r="L1081" s="591"/>
      <c r="M1081" s="592"/>
      <c r="N1081" s="588"/>
    </row>
    <row r="1082" spans="2:14">
      <c r="B1082" s="590"/>
      <c r="C1082" s="590"/>
      <c r="D1082" s="586"/>
      <c r="E1082" s="586"/>
      <c r="F1082" s="586"/>
      <c r="G1082" s="586"/>
      <c r="H1082" s="586"/>
      <c r="I1082" s="586"/>
      <c r="J1082" s="586"/>
      <c r="K1082" s="586"/>
      <c r="L1082" s="591"/>
      <c r="M1082" s="592"/>
      <c r="N1082" s="588"/>
    </row>
    <row r="1083" spans="2:14">
      <c r="B1083" s="590"/>
      <c r="C1083" s="590"/>
      <c r="D1083" s="586"/>
      <c r="E1083" s="586"/>
      <c r="F1083" s="586"/>
      <c r="G1083" s="586"/>
      <c r="H1083" s="586"/>
      <c r="I1083" s="586"/>
      <c r="J1083" s="586"/>
      <c r="K1083" s="586"/>
      <c r="L1083" s="591"/>
      <c r="M1083" s="592"/>
      <c r="N1083" s="588"/>
    </row>
    <row r="1084" spans="2:14">
      <c r="B1084" s="590"/>
      <c r="C1084" s="590"/>
      <c r="D1084" s="586"/>
      <c r="E1084" s="586"/>
      <c r="F1084" s="586"/>
      <c r="G1084" s="586"/>
      <c r="H1084" s="586"/>
      <c r="I1084" s="586"/>
      <c r="J1084" s="586"/>
      <c r="K1084" s="586"/>
      <c r="L1084" s="591"/>
      <c r="M1084" s="592"/>
      <c r="N1084" s="588"/>
    </row>
    <row r="1085" spans="2:14">
      <c r="B1085" s="590"/>
      <c r="C1085" s="590"/>
      <c r="D1085" s="586"/>
      <c r="E1085" s="586"/>
      <c r="F1085" s="586"/>
      <c r="G1085" s="586"/>
      <c r="H1085" s="586"/>
      <c r="I1085" s="586"/>
      <c r="J1085" s="586"/>
      <c r="K1085" s="586"/>
      <c r="L1085" s="591"/>
      <c r="M1085" s="592"/>
      <c r="N1085" s="588"/>
    </row>
    <row r="1086" spans="2:14">
      <c r="B1086" s="590"/>
      <c r="C1086" s="590"/>
      <c r="D1086" s="586"/>
      <c r="E1086" s="586"/>
      <c r="F1086" s="586"/>
      <c r="G1086" s="586"/>
      <c r="H1086" s="586"/>
      <c r="I1086" s="586"/>
      <c r="J1086" s="586"/>
      <c r="K1086" s="586"/>
      <c r="L1086" s="591"/>
      <c r="M1086" s="592"/>
      <c r="N1086" s="588"/>
    </row>
    <row r="1087" spans="2:14">
      <c r="B1087" s="590"/>
      <c r="C1087" s="590"/>
      <c r="D1087" s="586"/>
      <c r="E1087" s="586"/>
      <c r="F1087" s="586"/>
      <c r="G1087" s="586"/>
      <c r="H1087" s="586"/>
      <c r="I1087" s="586"/>
      <c r="J1087" s="586"/>
      <c r="K1087" s="586"/>
      <c r="L1087" s="591"/>
      <c r="M1087" s="592"/>
      <c r="N1087" s="588"/>
    </row>
    <row r="1088" spans="2:14">
      <c r="B1088" s="590"/>
      <c r="C1088" s="590"/>
      <c r="D1088" s="586"/>
      <c r="E1088" s="586"/>
      <c r="F1088" s="586"/>
      <c r="G1088" s="586"/>
      <c r="H1088" s="586"/>
      <c r="I1088" s="586"/>
      <c r="J1088" s="586"/>
      <c r="K1088" s="586"/>
      <c r="L1088" s="591"/>
      <c r="M1088" s="592"/>
      <c r="N1088" s="588"/>
    </row>
    <row r="1089" spans="2:14">
      <c r="B1089" s="590"/>
      <c r="C1089" s="590"/>
      <c r="D1089" s="586"/>
      <c r="E1089" s="586"/>
      <c r="F1089" s="586"/>
      <c r="G1089" s="586"/>
      <c r="H1089" s="586"/>
      <c r="I1089" s="586"/>
      <c r="J1089" s="586"/>
      <c r="K1089" s="586"/>
      <c r="L1089" s="591"/>
      <c r="M1089" s="592"/>
      <c r="N1089" s="588"/>
    </row>
    <row r="1090" spans="2:14">
      <c r="B1090" s="590"/>
      <c r="C1090" s="590"/>
      <c r="D1090" s="586"/>
      <c r="E1090" s="586"/>
      <c r="F1090" s="586"/>
      <c r="G1090" s="586"/>
      <c r="H1090" s="586"/>
      <c r="I1090" s="586"/>
      <c r="J1090" s="586"/>
      <c r="K1090" s="586"/>
      <c r="L1090" s="591"/>
      <c r="M1090" s="592"/>
      <c r="N1090" s="588"/>
    </row>
    <row r="1091" spans="2:14">
      <c r="B1091" s="590"/>
      <c r="C1091" s="590"/>
      <c r="D1091" s="586"/>
      <c r="E1091" s="586"/>
      <c r="F1091" s="586"/>
      <c r="G1091" s="586"/>
      <c r="H1091" s="586"/>
      <c r="I1091" s="586"/>
      <c r="J1091" s="586"/>
      <c r="K1091" s="586"/>
      <c r="L1091" s="591"/>
      <c r="M1091" s="592"/>
      <c r="N1091" s="588"/>
    </row>
    <row r="1092" spans="2:14">
      <c r="B1092" s="590"/>
      <c r="C1092" s="590"/>
      <c r="D1092" s="586"/>
      <c r="E1092" s="586"/>
      <c r="F1092" s="586"/>
      <c r="G1092" s="586"/>
      <c r="H1092" s="586"/>
      <c r="I1092" s="586"/>
      <c r="J1092" s="586"/>
      <c r="K1092" s="586"/>
      <c r="L1092" s="591"/>
      <c r="M1092" s="592"/>
      <c r="N1092" s="588"/>
    </row>
    <row r="1093" spans="2:14">
      <c r="B1093" s="590"/>
      <c r="C1093" s="590"/>
      <c r="D1093" s="586"/>
      <c r="E1093" s="586"/>
      <c r="F1093" s="586"/>
      <c r="G1093" s="586"/>
      <c r="H1093" s="586"/>
      <c r="I1093" s="586"/>
      <c r="J1093" s="586"/>
      <c r="K1093" s="586"/>
      <c r="L1093" s="591"/>
      <c r="M1093" s="592"/>
      <c r="N1093" s="588"/>
    </row>
    <row r="1094" spans="2:14">
      <c r="B1094" s="590"/>
      <c r="C1094" s="590"/>
      <c r="D1094" s="586"/>
      <c r="E1094" s="586"/>
      <c r="F1094" s="586"/>
      <c r="G1094" s="586"/>
      <c r="H1094" s="586"/>
      <c r="I1094" s="586"/>
      <c r="J1094" s="586"/>
      <c r="K1094" s="586"/>
      <c r="L1094" s="591"/>
      <c r="M1094" s="592"/>
      <c r="N1094" s="588"/>
    </row>
    <row r="1095" spans="2:14">
      <c r="B1095" s="590"/>
      <c r="C1095" s="590"/>
      <c r="D1095" s="586"/>
      <c r="E1095" s="586"/>
      <c r="F1095" s="586"/>
      <c r="G1095" s="586"/>
      <c r="H1095" s="586"/>
      <c r="I1095" s="586"/>
      <c r="J1095" s="586"/>
      <c r="K1095" s="586"/>
      <c r="L1095" s="591"/>
      <c r="M1095" s="592"/>
      <c r="N1095" s="588"/>
    </row>
    <row r="1096" spans="2:14">
      <c r="B1096" s="590"/>
      <c r="C1096" s="590"/>
      <c r="D1096" s="586"/>
      <c r="E1096" s="586"/>
      <c r="F1096" s="586"/>
      <c r="G1096" s="586"/>
      <c r="H1096" s="586"/>
      <c r="I1096" s="586"/>
      <c r="J1096" s="586"/>
      <c r="K1096" s="586"/>
      <c r="L1096" s="591"/>
      <c r="M1096" s="592"/>
      <c r="N1096" s="588"/>
    </row>
    <row r="1097" spans="2:14">
      <c r="B1097" s="590"/>
      <c r="C1097" s="590"/>
      <c r="D1097" s="586"/>
      <c r="E1097" s="586"/>
      <c r="F1097" s="586"/>
      <c r="G1097" s="586"/>
      <c r="H1097" s="586"/>
      <c r="I1097" s="586"/>
      <c r="J1097" s="586"/>
      <c r="K1097" s="586"/>
      <c r="L1097" s="591"/>
      <c r="M1097" s="592"/>
      <c r="N1097" s="588"/>
    </row>
    <row r="1098" spans="2:14">
      <c r="B1098" s="590"/>
      <c r="C1098" s="590"/>
      <c r="D1098" s="586"/>
      <c r="E1098" s="586"/>
      <c r="F1098" s="586"/>
      <c r="G1098" s="586"/>
      <c r="H1098" s="586"/>
      <c r="I1098" s="586"/>
      <c r="J1098" s="586"/>
      <c r="K1098" s="586"/>
      <c r="L1098" s="591"/>
      <c r="M1098" s="592"/>
      <c r="N1098" s="588"/>
    </row>
    <row r="1099" spans="2:14">
      <c r="B1099" s="590"/>
      <c r="C1099" s="590"/>
      <c r="D1099" s="586"/>
      <c r="E1099" s="586"/>
      <c r="F1099" s="586"/>
      <c r="G1099" s="586"/>
      <c r="H1099" s="586"/>
      <c r="I1099" s="586"/>
      <c r="J1099" s="586"/>
      <c r="K1099" s="586"/>
      <c r="L1099" s="591"/>
      <c r="M1099" s="592"/>
      <c r="N1099" s="588"/>
    </row>
    <row r="1100" spans="2:14">
      <c r="B1100" s="590"/>
      <c r="C1100" s="590"/>
      <c r="D1100" s="586"/>
      <c r="E1100" s="586"/>
      <c r="F1100" s="586"/>
      <c r="G1100" s="586"/>
      <c r="H1100" s="586"/>
      <c r="I1100" s="586"/>
      <c r="J1100" s="586"/>
      <c r="K1100" s="586"/>
      <c r="L1100" s="591"/>
      <c r="M1100" s="592"/>
      <c r="N1100" s="588"/>
    </row>
    <row r="1101" spans="2:14">
      <c r="B1101" s="590"/>
      <c r="C1101" s="590"/>
      <c r="D1101" s="586"/>
      <c r="E1101" s="586"/>
      <c r="F1101" s="586"/>
      <c r="G1101" s="586"/>
      <c r="H1101" s="586"/>
      <c r="I1101" s="586"/>
      <c r="J1101" s="586"/>
      <c r="K1101" s="586"/>
      <c r="L1101" s="591"/>
      <c r="M1101" s="592"/>
      <c r="N1101" s="588"/>
    </row>
    <row r="1102" spans="2:14">
      <c r="B1102" s="590"/>
      <c r="C1102" s="590"/>
      <c r="D1102" s="586"/>
      <c r="E1102" s="586"/>
      <c r="F1102" s="586"/>
      <c r="G1102" s="586"/>
      <c r="H1102" s="586"/>
      <c r="I1102" s="586"/>
      <c r="J1102" s="586"/>
      <c r="K1102" s="586"/>
      <c r="L1102" s="591"/>
      <c r="M1102" s="592"/>
      <c r="N1102" s="588"/>
    </row>
    <row r="1103" spans="2:14">
      <c r="B1103" s="590"/>
      <c r="C1103" s="590"/>
      <c r="D1103" s="586"/>
      <c r="E1103" s="586"/>
      <c r="F1103" s="586"/>
      <c r="G1103" s="586"/>
      <c r="H1103" s="586"/>
      <c r="I1103" s="586"/>
      <c r="J1103" s="586"/>
      <c r="K1103" s="586"/>
      <c r="L1103" s="591"/>
      <c r="M1103" s="592"/>
      <c r="N1103" s="588"/>
    </row>
    <row r="1104" spans="2:14">
      <c r="B1104" s="590"/>
      <c r="C1104" s="590"/>
      <c r="D1104" s="586"/>
      <c r="E1104" s="586"/>
      <c r="F1104" s="586"/>
      <c r="G1104" s="586"/>
      <c r="H1104" s="586"/>
      <c r="I1104" s="586"/>
      <c r="J1104" s="586"/>
      <c r="K1104" s="586"/>
      <c r="L1104" s="591"/>
      <c r="M1104" s="592"/>
      <c r="N1104" s="588"/>
    </row>
    <row r="1105" spans="2:14">
      <c r="B1105" s="590"/>
      <c r="C1105" s="590"/>
      <c r="D1105" s="586"/>
      <c r="E1105" s="586"/>
      <c r="F1105" s="586"/>
      <c r="G1105" s="586"/>
      <c r="H1105" s="586"/>
      <c r="I1105" s="586"/>
      <c r="J1105" s="586"/>
      <c r="K1105" s="586"/>
      <c r="L1105" s="591"/>
      <c r="M1105" s="592"/>
      <c r="N1105" s="588"/>
    </row>
    <row r="1106" spans="2:14">
      <c r="B1106" s="590"/>
      <c r="C1106" s="590"/>
      <c r="D1106" s="586"/>
      <c r="E1106" s="586"/>
      <c r="F1106" s="586"/>
      <c r="G1106" s="586"/>
      <c r="H1106" s="586"/>
      <c r="I1106" s="586"/>
      <c r="J1106" s="586"/>
      <c r="K1106" s="586"/>
      <c r="L1106" s="591"/>
      <c r="M1106" s="592"/>
      <c r="N1106" s="588"/>
    </row>
    <row r="1107" spans="2:14">
      <c r="B1107" s="590"/>
      <c r="C1107" s="590"/>
      <c r="D1107" s="586"/>
      <c r="E1107" s="586"/>
      <c r="F1107" s="586"/>
      <c r="G1107" s="586"/>
      <c r="H1107" s="586"/>
      <c r="I1107" s="586"/>
      <c r="J1107" s="586"/>
      <c r="K1107" s="586"/>
      <c r="L1107" s="591"/>
      <c r="M1107" s="592"/>
      <c r="N1107" s="588"/>
    </row>
    <row r="1108" spans="2:14">
      <c r="B1108" s="590"/>
      <c r="C1108" s="590"/>
      <c r="D1108" s="586"/>
      <c r="E1108" s="586"/>
      <c r="F1108" s="586"/>
      <c r="G1108" s="586"/>
      <c r="H1108" s="586"/>
      <c r="I1108" s="586"/>
      <c r="J1108" s="586"/>
      <c r="K1108" s="586"/>
      <c r="L1108" s="591"/>
      <c r="M1108" s="592"/>
      <c r="N1108" s="588"/>
    </row>
    <row r="1109" spans="2:14">
      <c r="B1109" s="590"/>
      <c r="C1109" s="590"/>
      <c r="D1109" s="586"/>
      <c r="E1109" s="586"/>
      <c r="F1109" s="586"/>
      <c r="G1109" s="586"/>
      <c r="H1109" s="586"/>
      <c r="I1109" s="586"/>
      <c r="J1109" s="586"/>
      <c r="K1109" s="586"/>
      <c r="L1109" s="591"/>
      <c r="M1109" s="592"/>
      <c r="N1109" s="588"/>
    </row>
    <row r="1110" spans="2:14">
      <c r="B1110" s="590"/>
      <c r="C1110" s="590"/>
      <c r="D1110" s="586"/>
      <c r="E1110" s="586"/>
      <c r="F1110" s="586"/>
      <c r="G1110" s="586"/>
      <c r="H1110" s="586"/>
      <c r="I1110" s="586"/>
      <c r="J1110" s="586"/>
      <c r="K1110" s="586"/>
      <c r="L1110" s="591"/>
      <c r="M1110" s="592"/>
      <c r="N1110" s="588"/>
    </row>
    <row r="1111" spans="2:14">
      <c r="B1111" s="590"/>
      <c r="C1111" s="590"/>
      <c r="D1111" s="586"/>
      <c r="E1111" s="586"/>
      <c r="F1111" s="586"/>
      <c r="G1111" s="586"/>
      <c r="H1111" s="586"/>
      <c r="I1111" s="586"/>
      <c r="J1111" s="586"/>
      <c r="K1111" s="586"/>
      <c r="L1111" s="591"/>
      <c r="M1111" s="592"/>
      <c r="N1111" s="588"/>
    </row>
    <row r="1112" spans="2:14">
      <c r="B1112" s="590"/>
      <c r="C1112" s="590"/>
      <c r="D1112" s="586"/>
      <c r="E1112" s="586"/>
      <c r="F1112" s="586"/>
      <c r="G1112" s="586"/>
      <c r="H1112" s="586"/>
      <c r="I1112" s="586"/>
      <c r="J1112" s="586"/>
      <c r="K1112" s="586"/>
      <c r="L1112" s="591"/>
      <c r="M1112" s="592"/>
      <c r="N1112" s="588"/>
    </row>
    <row r="1113" spans="2:14">
      <c r="B1113" s="590"/>
      <c r="C1113" s="590"/>
      <c r="D1113" s="586"/>
      <c r="E1113" s="586"/>
      <c r="F1113" s="586"/>
      <c r="G1113" s="586"/>
      <c r="H1113" s="586"/>
      <c r="I1113" s="586"/>
      <c r="J1113" s="586"/>
      <c r="K1113" s="586"/>
      <c r="L1113" s="591"/>
      <c r="M1113" s="592"/>
      <c r="N1113" s="588"/>
    </row>
    <row r="1114" spans="2:14">
      <c r="B1114" s="590"/>
      <c r="C1114" s="590"/>
      <c r="D1114" s="586"/>
      <c r="E1114" s="586"/>
      <c r="F1114" s="586"/>
      <c r="G1114" s="586"/>
      <c r="H1114" s="586"/>
      <c r="I1114" s="586"/>
      <c r="J1114" s="586"/>
      <c r="K1114" s="586"/>
      <c r="L1114" s="591"/>
      <c r="M1114" s="592"/>
      <c r="N1114" s="588"/>
    </row>
    <row r="1115" spans="2:14">
      <c r="B1115" s="590"/>
      <c r="C1115" s="590"/>
      <c r="D1115" s="586"/>
      <c r="E1115" s="586"/>
      <c r="F1115" s="586"/>
      <c r="G1115" s="586"/>
      <c r="H1115" s="586"/>
      <c r="I1115" s="586"/>
      <c r="J1115" s="586"/>
      <c r="K1115" s="586"/>
      <c r="L1115" s="591"/>
      <c r="M1115" s="592"/>
      <c r="N1115" s="588"/>
    </row>
    <row r="1116" spans="2:14">
      <c r="B1116" s="590"/>
      <c r="C1116" s="590"/>
      <c r="D1116" s="586"/>
      <c r="E1116" s="586"/>
      <c r="F1116" s="586"/>
      <c r="G1116" s="586"/>
      <c r="H1116" s="586"/>
      <c r="I1116" s="586"/>
      <c r="J1116" s="586"/>
      <c r="K1116" s="586"/>
      <c r="L1116" s="591"/>
      <c r="M1116" s="592"/>
      <c r="N1116" s="588"/>
    </row>
    <row r="1117" spans="2:14">
      <c r="B1117" s="590"/>
      <c r="C1117" s="590"/>
      <c r="D1117" s="586"/>
      <c r="E1117" s="586"/>
      <c r="F1117" s="586"/>
      <c r="G1117" s="586"/>
      <c r="H1117" s="586"/>
      <c r="I1117" s="586"/>
      <c r="J1117" s="586"/>
      <c r="K1117" s="586"/>
      <c r="L1117" s="591"/>
      <c r="M1117" s="592"/>
      <c r="N1117" s="588"/>
    </row>
    <row r="1118" spans="2:14">
      <c r="B1118" s="590"/>
      <c r="C1118" s="590"/>
      <c r="D1118" s="586"/>
      <c r="E1118" s="586"/>
      <c r="F1118" s="586"/>
      <c r="G1118" s="586"/>
      <c r="H1118" s="586"/>
      <c r="I1118" s="586"/>
      <c r="J1118" s="586"/>
      <c r="K1118" s="586"/>
      <c r="L1118" s="591"/>
      <c r="M1118" s="592"/>
      <c r="N1118" s="588"/>
    </row>
    <row r="1119" spans="2:14">
      <c r="B1119" s="590"/>
      <c r="C1119" s="590"/>
      <c r="D1119" s="586"/>
      <c r="E1119" s="586"/>
      <c r="F1119" s="586"/>
      <c r="G1119" s="586"/>
      <c r="H1119" s="586"/>
      <c r="I1119" s="586"/>
      <c r="J1119" s="586"/>
      <c r="K1119" s="586"/>
      <c r="L1119" s="591"/>
      <c r="M1119" s="592"/>
      <c r="N1119" s="588"/>
    </row>
    <row r="1120" spans="2:14">
      <c r="B1120" s="590"/>
      <c r="C1120" s="590"/>
      <c r="D1120" s="586"/>
      <c r="E1120" s="586"/>
      <c r="F1120" s="586"/>
      <c r="G1120" s="586"/>
      <c r="H1120" s="586"/>
      <c r="I1120" s="586"/>
      <c r="J1120" s="586"/>
      <c r="K1120" s="586"/>
      <c r="L1120" s="591"/>
      <c r="M1120" s="592"/>
      <c r="N1120" s="588"/>
    </row>
    <row r="1121" spans="2:14">
      <c r="B1121" s="590"/>
      <c r="C1121" s="590"/>
      <c r="D1121" s="586"/>
      <c r="E1121" s="586"/>
      <c r="F1121" s="586"/>
      <c r="G1121" s="586"/>
      <c r="H1121" s="586"/>
      <c r="I1121" s="586"/>
      <c r="J1121" s="586"/>
      <c r="K1121" s="586"/>
      <c r="L1121" s="591"/>
      <c r="M1121" s="592"/>
      <c r="N1121" s="588"/>
    </row>
    <row r="1122" spans="2:14">
      <c r="B1122" s="590"/>
      <c r="C1122" s="590"/>
      <c r="D1122" s="586"/>
      <c r="E1122" s="586"/>
      <c r="F1122" s="586"/>
      <c r="G1122" s="586"/>
      <c r="H1122" s="586"/>
      <c r="I1122" s="586"/>
      <c r="J1122" s="586"/>
      <c r="K1122" s="586"/>
      <c r="L1122" s="591"/>
      <c r="M1122" s="592"/>
      <c r="N1122" s="588"/>
    </row>
    <row r="1123" spans="2:14">
      <c r="B1123" s="590"/>
      <c r="C1123" s="590"/>
      <c r="D1123" s="586"/>
      <c r="E1123" s="586"/>
      <c r="F1123" s="586"/>
      <c r="G1123" s="586"/>
      <c r="H1123" s="586"/>
      <c r="I1123" s="586"/>
      <c r="J1123" s="586"/>
      <c r="K1123" s="586"/>
      <c r="L1123" s="591"/>
      <c r="M1123" s="592"/>
      <c r="N1123" s="588"/>
    </row>
    <row r="1124" spans="2:14">
      <c r="B1124" s="590"/>
      <c r="C1124" s="590"/>
      <c r="D1124" s="586"/>
      <c r="E1124" s="586"/>
      <c r="F1124" s="586"/>
      <c r="G1124" s="586"/>
      <c r="H1124" s="586"/>
      <c r="I1124" s="586"/>
      <c r="J1124" s="586"/>
      <c r="K1124" s="586"/>
      <c r="L1124" s="591"/>
      <c r="M1124" s="592"/>
      <c r="N1124" s="588"/>
    </row>
    <row r="1125" spans="2:14">
      <c r="B1125" s="590"/>
      <c r="C1125" s="590"/>
      <c r="D1125" s="586"/>
      <c r="E1125" s="586"/>
      <c r="F1125" s="586"/>
      <c r="G1125" s="586"/>
      <c r="H1125" s="586"/>
      <c r="I1125" s="586"/>
      <c r="J1125" s="586"/>
      <c r="K1125" s="586"/>
      <c r="L1125" s="591"/>
      <c r="M1125" s="592"/>
      <c r="N1125" s="588"/>
    </row>
    <row r="1126" spans="2:14">
      <c r="B1126" s="590"/>
      <c r="C1126" s="590"/>
      <c r="D1126" s="586"/>
      <c r="E1126" s="586"/>
      <c r="F1126" s="586"/>
      <c r="G1126" s="586"/>
      <c r="H1126" s="586"/>
      <c r="I1126" s="586"/>
      <c r="J1126" s="586"/>
      <c r="K1126" s="586"/>
      <c r="L1126" s="591"/>
      <c r="M1126" s="592"/>
      <c r="N1126" s="588"/>
    </row>
    <row r="1127" spans="2:14">
      <c r="B1127" s="590"/>
      <c r="C1127" s="590"/>
      <c r="D1127" s="586"/>
      <c r="E1127" s="586"/>
      <c r="F1127" s="586"/>
      <c r="G1127" s="586"/>
      <c r="H1127" s="586"/>
      <c r="I1127" s="586"/>
      <c r="J1127" s="586"/>
      <c r="K1127" s="586"/>
      <c r="L1127" s="591"/>
      <c r="M1127" s="592"/>
      <c r="N1127" s="588"/>
    </row>
    <row r="1128" spans="2:14">
      <c r="B1128" s="590"/>
      <c r="C1128" s="590"/>
      <c r="D1128" s="586"/>
      <c r="E1128" s="586"/>
      <c r="F1128" s="586"/>
      <c r="G1128" s="586"/>
      <c r="H1128" s="586"/>
      <c r="I1128" s="586"/>
      <c r="J1128" s="586"/>
      <c r="K1128" s="586"/>
      <c r="L1128" s="591"/>
      <c r="M1128" s="592"/>
      <c r="N1128" s="588"/>
    </row>
    <row r="1129" spans="2:14">
      <c r="B1129" s="590"/>
      <c r="C1129" s="590"/>
      <c r="D1129" s="586"/>
      <c r="E1129" s="586"/>
      <c r="F1129" s="586"/>
      <c r="G1129" s="586"/>
      <c r="H1129" s="586"/>
      <c r="I1129" s="586"/>
      <c r="J1129" s="586"/>
      <c r="K1129" s="586"/>
      <c r="L1129" s="591"/>
      <c r="M1129" s="592"/>
      <c r="N1129" s="588"/>
    </row>
    <row r="1130" spans="2:14">
      <c r="B1130" s="590"/>
      <c r="C1130" s="590"/>
      <c r="D1130" s="586"/>
      <c r="E1130" s="586"/>
      <c r="F1130" s="586"/>
      <c r="G1130" s="586"/>
      <c r="H1130" s="586"/>
      <c r="I1130" s="586"/>
      <c r="J1130" s="586"/>
      <c r="K1130" s="586"/>
      <c r="L1130" s="591"/>
      <c r="M1130" s="592"/>
      <c r="N1130" s="588"/>
    </row>
    <row r="1131" spans="2:14">
      <c r="B1131" s="590"/>
      <c r="C1131" s="590"/>
      <c r="D1131" s="586"/>
      <c r="E1131" s="586"/>
      <c r="F1131" s="586"/>
      <c r="G1131" s="586"/>
      <c r="H1131" s="586"/>
      <c r="I1131" s="586"/>
      <c r="J1131" s="586"/>
      <c r="K1131" s="586"/>
      <c r="L1131" s="591"/>
      <c r="M1131" s="592"/>
      <c r="N1131" s="588"/>
    </row>
    <row r="1132" spans="2:14">
      <c r="B1132" s="590"/>
      <c r="C1132" s="590"/>
      <c r="D1132" s="586"/>
      <c r="E1132" s="586"/>
      <c r="F1132" s="586"/>
      <c r="G1132" s="586"/>
      <c r="H1132" s="586"/>
      <c r="I1132" s="586"/>
      <c r="J1132" s="586"/>
      <c r="K1132" s="586"/>
      <c r="L1132" s="591"/>
      <c r="M1132" s="592"/>
      <c r="N1132" s="588"/>
    </row>
    <row r="1133" spans="2:14">
      <c r="B1133" s="590"/>
      <c r="C1133" s="590"/>
      <c r="D1133" s="586"/>
      <c r="E1133" s="586"/>
      <c r="F1133" s="586"/>
      <c r="G1133" s="586"/>
      <c r="H1133" s="586"/>
      <c r="I1133" s="586"/>
      <c r="J1133" s="586"/>
      <c r="K1133" s="586"/>
      <c r="L1133" s="591"/>
      <c r="M1133" s="592"/>
      <c r="N1133" s="588"/>
    </row>
    <row r="1134" spans="2:14">
      <c r="B1134" s="590"/>
      <c r="C1134" s="590"/>
      <c r="D1134" s="586"/>
      <c r="E1134" s="586"/>
      <c r="F1134" s="586"/>
      <c r="G1134" s="586"/>
      <c r="H1134" s="586"/>
      <c r="I1134" s="586"/>
      <c r="J1134" s="586"/>
      <c r="K1134" s="586"/>
      <c r="L1134" s="591"/>
      <c r="M1134" s="592"/>
      <c r="N1134" s="588"/>
    </row>
    <row r="1135" spans="2:14">
      <c r="B1135" s="590"/>
      <c r="C1135" s="590"/>
      <c r="D1135" s="586"/>
      <c r="E1135" s="586"/>
      <c r="F1135" s="586"/>
      <c r="G1135" s="586"/>
      <c r="H1135" s="586"/>
      <c r="I1135" s="586"/>
      <c r="J1135" s="586"/>
      <c r="K1135" s="586"/>
      <c r="L1135" s="591"/>
      <c r="M1135" s="592"/>
      <c r="N1135" s="588"/>
    </row>
    <row r="1136" spans="2:14">
      <c r="B1136" s="590"/>
      <c r="C1136" s="590"/>
      <c r="D1136" s="586"/>
      <c r="E1136" s="586"/>
      <c r="F1136" s="586"/>
      <c r="G1136" s="586"/>
      <c r="H1136" s="586"/>
      <c r="I1136" s="586"/>
      <c r="J1136" s="586"/>
      <c r="K1136" s="586"/>
      <c r="L1136" s="591"/>
      <c r="M1136" s="592"/>
      <c r="N1136" s="588"/>
    </row>
    <row r="1137" spans="2:14">
      <c r="B1137" s="590"/>
      <c r="C1137" s="590"/>
      <c r="D1137" s="586"/>
      <c r="E1137" s="586"/>
      <c r="F1137" s="586"/>
      <c r="G1137" s="586"/>
      <c r="H1137" s="586"/>
      <c r="I1137" s="586"/>
      <c r="J1137" s="586"/>
      <c r="K1137" s="586"/>
      <c r="L1137" s="591"/>
      <c r="M1137" s="592"/>
      <c r="N1137" s="588"/>
    </row>
    <row r="1138" spans="2:14">
      <c r="B1138" s="590"/>
      <c r="C1138" s="590"/>
      <c r="D1138" s="586"/>
      <c r="E1138" s="586"/>
      <c r="F1138" s="586"/>
      <c r="G1138" s="586"/>
      <c r="H1138" s="586"/>
      <c r="I1138" s="586"/>
      <c r="J1138" s="586"/>
      <c r="K1138" s="586"/>
      <c r="L1138" s="591"/>
      <c r="M1138" s="592"/>
      <c r="N1138" s="588"/>
    </row>
    <row r="1139" spans="2:14">
      <c r="B1139" s="590"/>
      <c r="C1139" s="590"/>
      <c r="D1139" s="586"/>
      <c r="E1139" s="586"/>
      <c r="F1139" s="586"/>
      <c r="G1139" s="586"/>
      <c r="H1139" s="586"/>
      <c r="I1139" s="586"/>
      <c r="J1139" s="586"/>
      <c r="K1139" s="586"/>
      <c r="L1139" s="591"/>
      <c r="M1139" s="592"/>
      <c r="N1139" s="588"/>
    </row>
    <row r="1140" spans="2:14">
      <c r="B1140" s="590"/>
      <c r="C1140" s="590"/>
      <c r="D1140" s="586"/>
      <c r="E1140" s="586"/>
      <c r="F1140" s="586"/>
      <c r="G1140" s="586"/>
      <c r="H1140" s="586"/>
      <c r="I1140" s="586"/>
      <c r="J1140" s="586"/>
      <c r="K1140" s="586"/>
      <c r="L1140" s="591"/>
      <c r="M1140" s="592"/>
      <c r="N1140" s="588"/>
    </row>
    <row r="1141" spans="2:14">
      <c r="B1141" s="590"/>
      <c r="C1141" s="590"/>
      <c r="D1141" s="586"/>
      <c r="E1141" s="586"/>
      <c r="F1141" s="586"/>
      <c r="G1141" s="586"/>
      <c r="H1141" s="586"/>
      <c r="I1141" s="586"/>
      <c r="J1141" s="586"/>
      <c r="K1141" s="586"/>
      <c r="L1141" s="591"/>
      <c r="M1141" s="592"/>
      <c r="N1141" s="588"/>
    </row>
    <row r="1142" spans="2:14">
      <c r="B1142" s="590"/>
      <c r="C1142" s="590"/>
      <c r="D1142" s="586"/>
      <c r="E1142" s="586"/>
      <c r="F1142" s="586"/>
      <c r="G1142" s="586"/>
      <c r="H1142" s="586"/>
      <c r="I1142" s="586"/>
      <c r="J1142" s="586"/>
      <c r="K1142" s="586"/>
      <c r="L1142" s="591"/>
      <c r="M1142" s="592"/>
      <c r="N1142" s="588"/>
    </row>
    <row r="1143" spans="2:14">
      <c r="B1143" s="590"/>
      <c r="C1143" s="590"/>
      <c r="D1143" s="586"/>
      <c r="E1143" s="586"/>
      <c r="F1143" s="586"/>
      <c r="G1143" s="586"/>
      <c r="H1143" s="586"/>
      <c r="I1143" s="586"/>
      <c r="J1143" s="586"/>
      <c r="K1143" s="586"/>
      <c r="L1143" s="591"/>
      <c r="M1143" s="592"/>
      <c r="N1143" s="588"/>
    </row>
    <row r="1144" spans="2:14">
      <c r="B1144" s="590"/>
      <c r="C1144" s="590"/>
      <c r="D1144" s="586"/>
      <c r="E1144" s="586"/>
      <c r="F1144" s="586"/>
      <c r="G1144" s="586"/>
      <c r="H1144" s="586"/>
      <c r="I1144" s="586"/>
      <c r="J1144" s="586"/>
      <c r="K1144" s="586"/>
      <c r="L1144" s="591"/>
      <c r="M1144" s="592"/>
      <c r="N1144" s="588"/>
    </row>
    <row r="1145" spans="2:14">
      <c r="B1145" s="590"/>
      <c r="C1145" s="590"/>
      <c r="D1145" s="586"/>
      <c r="E1145" s="586"/>
      <c r="F1145" s="586"/>
      <c r="G1145" s="586"/>
      <c r="H1145" s="586"/>
      <c r="I1145" s="586"/>
      <c r="J1145" s="586"/>
      <c r="K1145" s="586"/>
      <c r="L1145" s="591"/>
      <c r="M1145" s="592"/>
      <c r="N1145" s="588"/>
    </row>
    <row r="1146" spans="2:14">
      <c r="B1146" s="590"/>
      <c r="C1146" s="590"/>
      <c r="D1146" s="586"/>
      <c r="E1146" s="586"/>
      <c r="F1146" s="586"/>
      <c r="G1146" s="586"/>
      <c r="H1146" s="586"/>
      <c r="I1146" s="586"/>
      <c r="J1146" s="586"/>
      <c r="K1146" s="586"/>
      <c r="L1146" s="591"/>
      <c r="M1146" s="592"/>
      <c r="N1146" s="588"/>
    </row>
    <row r="1147" spans="2:14">
      <c r="B1147" s="590"/>
      <c r="C1147" s="590"/>
      <c r="D1147" s="586"/>
      <c r="E1147" s="586"/>
      <c r="F1147" s="586"/>
      <c r="G1147" s="586"/>
      <c r="H1147" s="586"/>
      <c r="I1147" s="586"/>
      <c r="J1147" s="586"/>
      <c r="K1147" s="586"/>
      <c r="L1147" s="591"/>
      <c r="M1147" s="592"/>
      <c r="N1147" s="588"/>
    </row>
    <row r="1148" spans="2:14">
      <c r="B1148" s="590"/>
      <c r="C1148" s="590"/>
      <c r="D1148" s="586"/>
      <c r="E1148" s="586"/>
      <c r="F1148" s="586"/>
      <c r="G1148" s="586"/>
      <c r="H1148" s="586"/>
      <c r="I1148" s="586"/>
      <c r="J1148" s="586"/>
      <c r="K1148" s="586"/>
      <c r="L1148" s="591"/>
      <c r="M1148" s="592"/>
      <c r="N1148" s="588"/>
    </row>
    <row r="1149" spans="2:14">
      <c r="B1149" s="590"/>
      <c r="C1149" s="590"/>
      <c r="D1149" s="586"/>
      <c r="E1149" s="586"/>
      <c r="F1149" s="586"/>
      <c r="G1149" s="586"/>
      <c r="H1149" s="586"/>
      <c r="I1149" s="586"/>
      <c r="J1149" s="586"/>
      <c r="K1149" s="586"/>
      <c r="L1149" s="591"/>
      <c r="M1149" s="592"/>
      <c r="N1149" s="588"/>
    </row>
    <row r="1150" spans="2:14">
      <c r="B1150" s="590"/>
      <c r="C1150" s="590"/>
      <c r="D1150" s="586"/>
      <c r="E1150" s="586"/>
      <c r="F1150" s="586"/>
      <c r="G1150" s="586"/>
      <c r="H1150" s="586"/>
      <c r="I1150" s="586"/>
      <c r="J1150" s="586"/>
      <c r="K1150" s="586"/>
      <c r="L1150" s="591"/>
      <c r="M1150" s="592"/>
      <c r="N1150" s="588"/>
    </row>
    <row r="1151" spans="2:14">
      <c r="B1151" s="590"/>
      <c r="C1151" s="590"/>
      <c r="D1151" s="586"/>
      <c r="E1151" s="586"/>
      <c r="F1151" s="586"/>
      <c r="G1151" s="586"/>
      <c r="H1151" s="586"/>
      <c r="I1151" s="586"/>
      <c r="J1151" s="586"/>
      <c r="K1151" s="586"/>
      <c r="L1151" s="591"/>
      <c r="M1151" s="592"/>
      <c r="N1151" s="588"/>
    </row>
    <row r="1152" spans="2:14">
      <c r="B1152" s="590"/>
      <c r="C1152" s="590"/>
      <c r="D1152" s="586"/>
      <c r="E1152" s="586"/>
      <c r="F1152" s="586"/>
      <c r="G1152" s="586"/>
      <c r="H1152" s="586"/>
      <c r="I1152" s="586"/>
      <c r="J1152" s="586"/>
      <c r="K1152" s="586"/>
      <c r="L1152" s="591"/>
      <c r="M1152" s="592"/>
      <c r="N1152" s="588"/>
    </row>
    <row r="1153" spans="2:14">
      <c r="B1153" s="590"/>
      <c r="C1153" s="590"/>
      <c r="D1153" s="586"/>
      <c r="E1153" s="586"/>
      <c r="F1153" s="586"/>
      <c r="G1153" s="586"/>
      <c r="H1153" s="586"/>
      <c r="I1153" s="586"/>
      <c r="J1153" s="586"/>
      <c r="K1153" s="586"/>
      <c r="L1153" s="591"/>
      <c r="M1153" s="592"/>
      <c r="N1153" s="588"/>
    </row>
    <row r="1154" spans="2:14">
      <c r="B1154" s="590"/>
      <c r="C1154" s="590"/>
      <c r="D1154" s="586"/>
      <c r="E1154" s="586"/>
      <c r="F1154" s="586"/>
      <c r="G1154" s="586"/>
      <c r="H1154" s="586"/>
      <c r="I1154" s="586"/>
      <c r="J1154" s="586"/>
      <c r="K1154" s="586"/>
      <c r="L1154" s="591"/>
      <c r="M1154" s="592"/>
      <c r="N1154" s="588"/>
    </row>
    <row r="1155" spans="2:14">
      <c r="B1155" s="590"/>
      <c r="C1155" s="590"/>
      <c r="D1155" s="586"/>
      <c r="E1155" s="586"/>
      <c r="F1155" s="586"/>
      <c r="G1155" s="586"/>
      <c r="H1155" s="586"/>
      <c r="I1155" s="586"/>
      <c r="J1155" s="586"/>
      <c r="K1155" s="586"/>
      <c r="L1155" s="591"/>
      <c r="M1155" s="592"/>
      <c r="N1155" s="588"/>
    </row>
    <row r="1156" spans="2:14">
      <c r="B1156" s="590"/>
      <c r="C1156" s="590"/>
      <c r="D1156" s="586"/>
      <c r="E1156" s="586"/>
      <c r="F1156" s="586"/>
      <c r="G1156" s="586"/>
      <c r="H1156" s="586"/>
      <c r="I1156" s="586"/>
      <c r="J1156" s="586"/>
      <c r="K1156" s="586"/>
      <c r="L1156" s="591"/>
      <c r="M1156" s="592"/>
      <c r="N1156" s="588"/>
    </row>
    <row r="1157" spans="2:14">
      <c r="B1157" s="590"/>
      <c r="C1157" s="590"/>
      <c r="D1157" s="586"/>
      <c r="E1157" s="586"/>
      <c r="F1157" s="586"/>
      <c r="G1157" s="586"/>
      <c r="H1157" s="586"/>
      <c r="I1157" s="586"/>
      <c r="J1157" s="586"/>
      <c r="K1157" s="586"/>
      <c r="L1157" s="591"/>
      <c r="M1157" s="592"/>
      <c r="N1157" s="588"/>
    </row>
    <row r="1158" spans="2:14">
      <c r="B1158" s="590"/>
      <c r="C1158" s="590"/>
      <c r="D1158" s="586"/>
      <c r="E1158" s="586"/>
      <c r="F1158" s="586"/>
      <c r="G1158" s="586"/>
      <c r="H1158" s="586"/>
      <c r="I1158" s="586"/>
      <c r="J1158" s="586"/>
      <c r="K1158" s="586"/>
      <c r="L1158" s="591"/>
      <c r="M1158" s="592"/>
      <c r="N1158" s="588"/>
    </row>
    <row r="1159" spans="2:14">
      <c r="B1159" s="590"/>
      <c r="C1159" s="590"/>
      <c r="D1159" s="586"/>
      <c r="E1159" s="586"/>
      <c r="F1159" s="586"/>
      <c r="G1159" s="586"/>
      <c r="H1159" s="586"/>
      <c r="I1159" s="586"/>
      <c r="J1159" s="586"/>
      <c r="K1159" s="586"/>
      <c r="L1159" s="591"/>
      <c r="M1159" s="592"/>
      <c r="N1159" s="588"/>
    </row>
    <row r="1160" spans="2:14">
      <c r="B1160" s="590"/>
      <c r="C1160" s="590"/>
      <c r="D1160" s="586"/>
      <c r="E1160" s="586"/>
      <c r="F1160" s="586"/>
      <c r="G1160" s="586"/>
      <c r="H1160" s="586"/>
      <c r="I1160" s="586"/>
      <c r="J1160" s="586"/>
      <c r="K1160" s="586"/>
      <c r="L1160" s="591"/>
      <c r="M1160" s="592"/>
      <c r="N1160" s="588"/>
    </row>
    <row r="1161" spans="2:14">
      <c r="B1161" s="590"/>
      <c r="C1161" s="590"/>
      <c r="D1161" s="586"/>
      <c r="E1161" s="586"/>
      <c r="F1161" s="586"/>
      <c r="G1161" s="586"/>
      <c r="H1161" s="586"/>
      <c r="I1161" s="586"/>
      <c r="J1161" s="586"/>
      <c r="K1161" s="586"/>
      <c r="L1161" s="591"/>
      <c r="M1161" s="592"/>
      <c r="N1161" s="588"/>
    </row>
    <row r="1162" spans="2:14">
      <c r="B1162" s="590"/>
      <c r="C1162" s="590"/>
      <c r="D1162" s="586"/>
      <c r="E1162" s="586"/>
      <c r="F1162" s="586"/>
      <c r="G1162" s="586"/>
      <c r="H1162" s="586"/>
      <c r="I1162" s="586"/>
      <c r="J1162" s="586"/>
      <c r="K1162" s="586"/>
      <c r="L1162" s="591"/>
      <c r="M1162" s="592"/>
      <c r="N1162" s="588"/>
    </row>
    <row r="1163" spans="2:14">
      <c r="B1163" s="590"/>
      <c r="C1163" s="590"/>
      <c r="D1163" s="586"/>
      <c r="E1163" s="586"/>
      <c r="F1163" s="586"/>
      <c r="G1163" s="586"/>
      <c r="H1163" s="586"/>
      <c r="I1163" s="586"/>
      <c r="J1163" s="586"/>
      <c r="K1163" s="586"/>
      <c r="L1163" s="591"/>
      <c r="M1163" s="592"/>
      <c r="N1163" s="588"/>
    </row>
    <row r="1164" spans="2:14">
      <c r="B1164" s="590"/>
      <c r="C1164" s="590"/>
      <c r="D1164" s="586"/>
      <c r="E1164" s="586"/>
      <c r="F1164" s="586"/>
      <c r="G1164" s="586"/>
      <c r="H1164" s="586"/>
      <c r="I1164" s="586"/>
      <c r="J1164" s="586"/>
      <c r="K1164" s="586"/>
      <c r="L1164" s="591"/>
      <c r="M1164" s="592"/>
      <c r="N1164" s="588"/>
    </row>
    <row r="1165" spans="2:14">
      <c r="B1165" s="590"/>
      <c r="C1165" s="590"/>
      <c r="D1165" s="586"/>
      <c r="E1165" s="586"/>
      <c r="F1165" s="586"/>
      <c r="G1165" s="586"/>
      <c r="H1165" s="586"/>
      <c r="I1165" s="586"/>
      <c r="J1165" s="586"/>
      <c r="K1165" s="586"/>
      <c r="L1165" s="591"/>
      <c r="M1165" s="592"/>
      <c r="N1165" s="588"/>
    </row>
    <row r="1166" spans="2:14">
      <c r="B1166" s="590"/>
      <c r="C1166" s="590"/>
      <c r="D1166" s="586"/>
      <c r="E1166" s="586"/>
      <c r="F1166" s="586"/>
      <c r="G1166" s="586"/>
      <c r="H1166" s="586"/>
      <c r="I1166" s="586"/>
      <c r="J1166" s="586"/>
      <c r="K1166" s="586"/>
      <c r="L1166" s="591"/>
      <c r="M1166" s="592"/>
      <c r="N1166" s="588"/>
    </row>
    <row r="1167" spans="2:14">
      <c r="B1167" s="590"/>
      <c r="C1167" s="590"/>
      <c r="D1167" s="586"/>
      <c r="E1167" s="586"/>
      <c r="F1167" s="586"/>
      <c r="G1167" s="586"/>
      <c r="H1167" s="586"/>
      <c r="I1167" s="586"/>
      <c r="J1167" s="586"/>
      <c r="K1167" s="586"/>
      <c r="L1167" s="591"/>
      <c r="M1167" s="592"/>
      <c r="N1167" s="588"/>
    </row>
    <row r="1168" spans="2:14">
      <c r="B1168" s="590"/>
      <c r="C1168" s="590"/>
      <c r="D1168" s="586"/>
      <c r="E1168" s="586"/>
      <c r="F1168" s="586"/>
      <c r="G1168" s="586"/>
      <c r="H1168" s="586"/>
      <c r="I1168" s="586"/>
      <c r="J1168" s="586"/>
      <c r="K1168" s="586"/>
      <c r="L1168" s="591"/>
      <c r="M1168" s="592"/>
      <c r="N1168" s="588"/>
    </row>
    <row r="1169" spans="2:14">
      <c r="B1169" s="590"/>
      <c r="C1169" s="590"/>
      <c r="D1169" s="586"/>
      <c r="E1169" s="586"/>
      <c r="F1169" s="586"/>
      <c r="G1169" s="586"/>
      <c r="H1169" s="586"/>
      <c r="I1169" s="586"/>
      <c r="J1169" s="586"/>
      <c r="K1169" s="586"/>
      <c r="L1169" s="591"/>
      <c r="M1169" s="592"/>
      <c r="N1169" s="588"/>
    </row>
    <row r="1170" spans="2:14">
      <c r="B1170" s="590"/>
      <c r="C1170" s="590"/>
      <c r="D1170" s="586"/>
      <c r="E1170" s="586"/>
      <c r="F1170" s="586"/>
      <c r="G1170" s="586"/>
      <c r="H1170" s="586"/>
      <c r="I1170" s="586"/>
      <c r="J1170" s="586"/>
      <c r="K1170" s="586"/>
      <c r="L1170" s="591"/>
      <c r="M1170" s="592"/>
      <c r="N1170" s="588"/>
    </row>
    <row r="1171" spans="2:14">
      <c r="B1171" s="590"/>
      <c r="C1171" s="590"/>
      <c r="D1171" s="586"/>
      <c r="E1171" s="586"/>
      <c r="F1171" s="586"/>
      <c r="G1171" s="586"/>
      <c r="H1171" s="586"/>
      <c r="I1171" s="586"/>
      <c r="J1171" s="586"/>
      <c r="K1171" s="586"/>
      <c r="L1171" s="591"/>
      <c r="M1171" s="592"/>
      <c r="N1171" s="588"/>
    </row>
    <row r="1172" spans="2:14">
      <c r="B1172" s="590"/>
      <c r="C1172" s="590"/>
      <c r="D1172" s="586"/>
      <c r="E1172" s="586"/>
      <c r="F1172" s="586"/>
      <c r="G1172" s="586"/>
      <c r="H1172" s="586"/>
      <c r="I1172" s="586"/>
      <c r="J1172" s="586"/>
      <c r="K1172" s="586"/>
      <c r="L1172" s="591"/>
      <c r="M1172" s="592"/>
      <c r="N1172" s="588"/>
    </row>
    <row r="1173" spans="2:14">
      <c r="B1173" s="590"/>
      <c r="C1173" s="590"/>
      <c r="D1173" s="586"/>
      <c r="E1173" s="586"/>
      <c r="F1173" s="586"/>
      <c r="G1173" s="586"/>
      <c r="H1173" s="586"/>
      <c r="I1173" s="586"/>
      <c r="J1173" s="586"/>
      <c r="K1173" s="586"/>
      <c r="L1173" s="591"/>
      <c r="M1173" s="592"/>
      <c r="N1173" s="588"/>
    </row>
    <row r="1174" spans="2:14">
      <c r="B1174" s="590"/>
      <c r="C1174" s="590"/>
      <c r="D1174" s="586"/>
      <c r="E1174" s="586"/>
      <c r="F1174" s="586"/>
      <c r="G1174" s="586"/>
      <c r="H1174" s="586"/>
      <c r="I1174" s="586"/>
      <c r="J1174" s="586"/>
      <c r="K1174" s="586"/>
      <c r="L1174" s="591"/>
      <c r="M1174" s="592"/>
      <c r="N1174" s="588"/>
    </row>
    <row r="1175" spans="2:14">
      <c r="B1175" s="590"/>
      <c r="C1175" s="590"/>
      <c r="D1175" s="586"/>
      <c r="E1175" s="586"/>
      <c r="F1175" s="586"/>
      <c r="G1175" s="586"/>
      <c r="H1175" s="586"/>
      <c r="I1175" s="586"/>
      <c r="J1175" s="586"/>
      <c r="K1175" s="586"/>
      <c r="L1175" s="591"/>
      <c r="M1175" s="592"/>
      <c r="N1175" s="588"/>
    </row>
    <row r="1176" spans="2:14">
      <c r="B1176" s="590"/>
      <c r="C1176" s="590"/>
      <c r="D1176" s="586"/>
      <c r="E1176" s="586"/>
      <c r="F1176" s="586"/>
      <c r="G1176" s="586"/>
      <c r="H1176" s="586"/>
      <c r="I1176" s="586"/>
      <c r="J1176" s="586"/>
      <c r="K1176" s="586"/>
      <c r="L1176" s="591"/>
      <c r="M1176" s="592"/>
      <c r="N1176" s="588"/>
    </row>
    <row r="1177" spans="2:14">
      <c r="B1177" s="590"/>
      <c r="C1177" s="590"/>
      <c r="D1177" s="586"/>
      <c r="E1177" s="586"/>
      <c r="F1177" s="586"/>
      <c r="G1177" s="586"/>
      <c r="H1177" s="586"/>
      <c r="I1177" s="586"/>
      <c r="J1177" s="586"/>
      <c r="K1177" s="586"/>
      <c r="L1177" s="591"/>
      <c r="M1177" s="592"/>
      <c r="N1177" s="588"/>
    </row>
    <row r="1178" spans="2:14">
      <c r="B1178" s="590"/>
      <c r="C1178" s="590"/>
      <c r="D1178" s="586"/>
      <c r="E1178" s="586"/>
      <c r="F1178" s="586"/>
      <c r="G1178" s="586"/>
      <c r="H1178" s="586"/>
      <c r="I1178" s="586"/>
      <c r="J1178" s="586"/>
      <c r="K1178" s="586"/>
      <c r="L1178" s="591"/>
      <c r="M1178" s="592"/>
      <c r="N1178" s="588"/>
    </row>
    <row r="1179" spans="2:14">
      <c r="B1179" s="590"/>
      <c r="C1179" s="590"/>
      <c r="D1179" s="586"/>
      <c r="E1179" s="586"/>
      <c r="F1179" s="586"/>
      <c r="G1179" s="586"/>
      <c r="H1179" s="586"/>
      <c r="I1179" s="586"/>
      <c r="J1179" s="586"/>
      <c r="K1179" s="586"/>
      <c r="L1179" s="591"/>
      <c r="M1179" s="592"/>
      <c r="N1179" s="588"/>
    </row>
    <row r="1180" spans="2:14">
      <c r="B1180" s="590"/>
      <c r="C1180" s="590"/>
      <c r="D1180" s="586"/>
      <c r="E1180" s="586"/>
      <c r="F1180" s="586"/>
      <c r="G1180" s="586"/>
      <c r="H1180" s="586"/>
      <c r="I1180" s="586"/>
      <c r="J1180" s="586"/>
      <c r="K1180" s="586"/>
      <c r="L1180" s="591"/>
      <c r="M1180" s="592"/>
      <c r="N1180" s="588"/>
    </row>
    <row r="1181" spans="2:14">
      <c r="B1181" s="590"/>
      <c r="C1181" s="590"/>
      <c r="D1181" s="586"/>
      <c r="E1181" s="586"/>
      <c r="F1181" s="586"/>
      <c r="G1181" s="586"/>
      <c r="H1181" s="586"/>
      <c r="I1181" s="586"/>
      <c r="J1181" s="586"/>
      <c r="K1181" s="586"/>
      <c r="L1181" s="591"/>
      <c r="M1181" s="592"/>
      <c r="N1181" s="588"/>
    </row>
    <row r="1182" spans="2:14">
      <c r="B1182" s="590"/>
      <c r="C1182" s="590"/>
      <c r="D1182" s="586"/>
      <c r="E1182" s="586"/>
      <c r="F1182" s="586"/>
      <c r="G1182" s="586"/>
      <c r="H1182" s="586"/>
      <c r="I1182" s="586"/>
      <c r="J1182" s="586"/>
      <c r="K1182" s="586"/>
      <c r="L1182" s="591"/>
      <c r="M1182" s="592"/>
      <c r="N1182" s="588"/>
    </row>
    <row r="1183" spans="2:14">
      <c r="B1183" s="590"/>
      <c r="C1183" s="590"/>
      <c r="D1183" s="586"/>
      <c r="E1183" s="586"/>
      <c r="F1183" s="586"/>
      <c r="G1183" s="586"/>
      <c r="H1183" s="586"/>
      <c r="I1183" s="586"/>
      <c r="J1183" s="586"/>
      <c r="K1183" s="586"/>
      <c r="L1183" s="591"/>
      <c r="M1183" s="592"/>
      <c r="N1183" s="588"/>
    </row>
    <row r="1184" spans="2:14">
      <c r="B1184" s="590"/>
      <c r="C1184" s="590"/>
      <c r="D1184" s="586"/>
      <c r="E1184" s="586"/>
      <c r="F1184" s="586"/>
      <c r="G1184" s="586"/>
      <c r="H1184" s="586"/>
      <c r="I1184" s="586"/>
      <c r="J1184" s="586"/>
      <c r="K1184" s="586"/>
      <c r="L1184" s="591"/>
      <c r="M1184" s="592"/>
      <c r="N1184" s="588"/>
    </row>
    <row r="1185" spans="2:14">
      <c r="B1185" s="590"/>
      <c r="C1185" s="590"/>
      <c r="D1185" s="586"/>
      <c r="E1185" s="586"/>
      <c r="F1185" s="586"/>
      <c r="G1185" s="586"/>
      <c r="H1185" s="586"/>
      <c r="I1185" s="586"/>
      <c r="J1185" s="586"/>
      <c r="K1185" s="586"/>
      <c r="L1185" s="591"/>
      <c r="M1185" s="592"/>
      <c r="N1185" s="588"/>
    </row>
    <row r="1186" spans="2:14">
      <c r="B1186" s="590"/>
      <c r="C1186" s="590"/>
      <c r="D1186" s="586"/>
      <c r="E1186" s="586"/>
      <c r="F1186" s="586"/>
      <c r="G1186" s="586"/>
      <c r="H1186" s="586"/>
      <c r="I1186" s="586"/>
      <c r="J1186" s="586"/>
      <c r="K1186" s="586"/>
      <c r="L1186" s="591"/>
      <c r="M1186" s="592"/>
      <c r="N1186" s="588"/>
    </row>
    <row r="1187" spans="2:14">
      <c r="B1187" s="590"/>
      <c r="C1187" s="590"/>
      <c r="D1187" s="586"/>
      <c r="E1187" s="586"/>
      <c r="F1187" s="586"/>
      <c r="G1187" s="586"/>
      <c r="H1187" s="586"/>
      <c r="I1187" s="586"/>
      <c r="J1187" s="586"/>
      <c r="K1187" s="586"/>
      <c r="L1187" s="591"/>
      <c r="M1187" s="592"/>
      <c r="N1187" s="588"/>
    </row>
    <row r="1188" spans="2:14">
      <c r="B1188" s="590"/>
      <c r="C1188" s="590"/>
      <c r="D1188" s="586"/>
      <c r="E1188" s="586"/>
      <c r="F1188" s="586"/>
      <c r="G1188" s="586"/>
      <c r="H1188" s="586"/>
      <c r="I1188" s="586"/>
      <c r="J1188" s="586"/>
      <c r="K1188" s="586"/>
      <c r="L1188" s="591"/>
      <c r="M1188" s="592"/>
      <c r="N1188" s="588"/>
    </row>
    <row r="1189" spans="2:14">
      <c r="B1189" s="590"/>
      <c r="C1189" s="590"/>
      <c r="D1189" s="586"/>
      <c r="E1189" s="586"/>
      <c r="F1189" s="586"/>
      <c r="G1189" s="586"/>
      <c r="H1189" s="586"/>
      <c r="I1189" s="586"/>
      <c r="J1189" s="586"/>
      <c r="K1189" s="586"/>
      <c r="L1189" s="591"/>
      <c r="M1189" s="592"/>
      <c r="N1189" s="588"/>
    </row>
    <row r="1190" spans="2:14">
      <c r="B1190" s="590"/>
      <c r="C1190" s="590"/>
      <c r="D1190" s="586"/>
      <c r="E1190" s="586"/>
      <c r="F1190" s="586"/>
      <c r="G1190" s="586"/>
      <c r="H1190" s="586"/>
      <c r="I1190" s="586"/>
      <c r="J1190" s="586"/>
      <c r="K1190" s="586"/>
      <c r="L1190" s="591"/>
      <c r="M1190" s="592"/>
      <c r="N1190" s="588"/>
    </row>
    <row r="1191" spans="2:14">
      <c r="B1191" s="590"/>
      <c r="C1191" s="590"/>
      <c r="D1191" s="586"/>
      <c r="E1191" s="586"/>
      <c r="F1191" s="586"/>
      <c r="G1191" s="586"/>
      <c r="H1191" s="586"/>
      <c r="I1191" s="586"/>
      <c r="J1191" s="586"/>
      <c r="K1191" s="586"/>
      <c r="L1191" s="591"/>
      <c r="M1191" s="592"/>
      <c r="N1191" s="588"/>
    </row>
    <row r="1192" spans="2:14">
      <c r="B1192" s="590"/>
      <c r="C1192" s="590"/>
      <c r="D1192" s="586"/>
      <c r="E1192" s="586"/>
      <c r="F1192" s="586"/>
      <c r="G1192" s="586"/>
      <c r="H1192" s="586"/>
      <c r="I1192" s="586"/>
      <c r="J1192" s="586"/>
      <c r="K1192" s="586"/>
      <c r="L1192" s="591"/>
      <c r="M1192" s="592"/>
      <c r="N1192" s="588"/>
    </row>
    <row r="1193" spans="2:14">
      <c r="B1193" s="590"/>
      <c r="C1193" s="590"/>
      <c r="D1193" s="586"/>
      <c r="E1193" s="586"/>
      <c r="F1193" s="586"/>
      <c r="G1193" s="586"/>
      <c r="H1193" s="586"/>
      <c r="I1193" s="586"/>
      <c r="J1193" s="586"/>
      <c r="K1193" s="586"/>
      <c r="L1193" s="591"/>
      <c r="M1193" s="592"/>
      <c r="N1193" s="588"/>
    </row>
    <row r="1194" spans="2:14">
      <c r="B1194" s="590"/>
      <c r="C1194" s="590"/>
      <c r="D1194" s="586"/>
      <c r="E1194" s="586"/>
      <c r="F1194" s="586"/>
      <c r="G1194" s="586"/>
      <c r="H1194" s="586"/>
      <c r="I1194" s="586"/>
      <c r="J1194" s="586"/>
      <c r="K1194" s="586"/>
      <c r="L1194" s="591"/>
      <c r="M1194" s="592"/>
      <c r="N1194" s="588"/>
    </row>
    <row r="1195" spans="2:14">
      <c r="B1195" s="590"/>
      <c r="C1195" s="590"/>
      <c r="D1195" s="586"/>
      <c r="E1195" s="586"/>
      <c r="F1195" s="586"/>
      <c r="G1195" s="586"/>
      <c r="H1195" s="586"/>
      <c r="I1195" s="586"/>
      <c r="J1195" s="586"/>
      <c r="K1195" s="586"/>
      <c r="L1195" s="591"/>
      <c r="M1195" s="592"/>
      <c r="N1195" s="588"/>
    </row>
    <row r="1196" spans="2:14">
      <c r="B1196" s="590"/>
      <c r="C1196" s="590"/>
      <c r="D1196" s="586"/>
      <c r="E1196" s="586"/>
      <c r="F1196" s="586"/>
      <c r="G1196" s="586"/>
      <c r="H1196" s="586"/>
      <c r="I1196" s="586"/>
      <c r="J1196" s="586"/>
      <c r="K1196" s="586"/>
      <c r="L1196" s="591"/>
      <c r="M1196" s="592"/>
      <c r="N1196" s="588"/>
    </row>
    <row r="1197" spans="2:14">
      <c r="B1197" s="590"/>
      <c r="C1197" s="590"/>
      <c r="D1197" s="586"/>
      <c r="E1197" s="586"/>
      <c r="F1197" s="586"/>
      <c r="G1197" s="586"/>
      <c r="H1197" s="586"/>
      <c r="I1197" s="586"/>
      <c r="J1197" s="586"/>
      <c r="K1197" s="586"/>
      <c r="L1197" s="591"/>
      <c r="M1197" s="592"/>
      <c r="N1197" s="588"/>
    </row>
    <row r="1198" spans="2:14">
      <c r="B1198" s="590"/>
      <c r="C1198" s="590"/>
      <c r="D1198" s="586"/>
      <c r="E1198" s="586"/>
      <c r="F1198" s="586"/>
      <c r="G1198" s="586"/>
      <c r="H1198" s="586"/>
      <c r="I1198" s="586"/>
      <c r="J1198" s="586"/>
      <c r="K1198" s="586"/>
      <c r="L1198" s="591"/>
      <c r="M1198" s="592"/>
      <c r="N1198" s="588"/>
    </row>
    <row r="1199" spans="2:14">
      <c r="B1199" s="590"/>
      <c r="C1199" s="590"/>
      <c r="D1199" s="586"/>
      <c r="E1199" s="586"/>
      <c r="F1199" s="586"/>
      <c r="G1199" s="586"/>
      <c r="H1199" s="586"/>
      <c r="I1199" s="586"/>
      <c r="J1199" s="586"/>
      <c r="K1199" s="586"/>
      <c r="L1199" s="591"/>
      <c r="M1199" s="592"/>
      <c r="N1199" s="588"/>
    </row>
    <row r="1200" spans="2:14">
      <c r="B1200" s="590"/>
      <c r="C1200" s="590"/>
      <c r="D1200" s="586"/>
      <c r="E1200" s="586"/>
      <c r="F1200" s="586"/>
      <c r="G1200" s="586"/>
      <c r="H1200" s="586"/>
      <c r="I1200" s="586"/>
      <c r="J1200" s="586"/>
      <c r="K1200" s="586"/>
      <c r="L1200" s="591"/>
      <c r="M1200" s="592"/>
      <c r="N1200" s="588"/>
    </row>
    <row r="1201" spans="2:14">
      <c r="B1201" s="590"/>
      <c r="C1201" s="590"/>
      <c r="D1201" s="586"/>
      <c r="E1201" s="586"/>
      <c r="F1201" s="586"/>
      <c r="G1201" s="586"/>
      <c r="H1201" s="586"/>
      <c r="I1201" s="586"/>
      <c r="J1201" s="586"/>
      <c r="K1201" s="586"/>
      <c r="L1201" s="591"/>
      <c r="M1201" s="592"/>
      <c r="N1201" s="588"/>
    </row>
    <row r="1202" spans="2:14">
      <c r="B1202" s="590"/>
      <c r="C1202" s="590"/>
      <c r="D1202" s="586"/>
      <c r="E1202" s="586"/>
      <c r="F1202" s="586"/>
      <c r="G1202" s="586"/>
      <c r="H1202" s="586"/>
      <c r="I1202" s="586"/>
      <c r="J1202" s="586"/>
      <c r="K1202" s="586"/>
      <c r="L1202" s="591"/>
      <c r="M1202" s="592"/>
      <c r="N1202" s="588"/>
    </row>
    <row r="1203" spans="2:14">
      <c r="B1203" s="590"/>
      <c r="C1203" s="590"/>
      <c r="D1203" s="586"/>
      <c r="E1203" s="586"/>
      <c r="F1203" s="586"/>
      <c r="G1203" s="586"/>
      <c r="H1203" s="586"/>
      <c r="I1203" s="586"/>
      <c r="J1203" s="586"/>
      <c r="K1203" s="586"/>
      <c r="L1203" s="591"/>
      <c r="M1203" s="592"/>
      <c r="N1203" s="588"/>
    </row>
    <row r="1204" spans="2:14">
      <c r="B1204" s="590"/>
      <c r="C1204" s="590"/>
      <c r="D1204" s="586"/>
      <c r="E1204" s="586"/>
      <c r="F1204" s="586"/>
      <c r="G1204" s="586"/>
      <c r="H1204" s="586"/>
      <c r="I1204" s="586"/>
      <c r="J1204" s="586"/>
      <c r="K1204" s="586"/>
      <c r="L1204" s="591"/>
      <c r="M1204" s="592"/>
      <c r="N1204" s="588"/>
    </row>
    <row r="1205" spans="2:14">
      <c r="B1205" s="590"/>
      <c r="C1205" s="590"/>
      <c r="D1205" s="586"/>
      <c r="E1205" s="586"/>
      <c r="F1205" s="586"/>
      <c r="G1205" s="586"/>
      <c r="H1205" s="586"/>
      <c r="I1205" s="586"/>
      <c r="J1205" s="586"/>
      <c r="K1205" s="586"/>
      <c r="L1205" s="591"/>
      <c r="M1205" s="592"/>
      <c r="N1205" s="588"/>
    </row>
    <row r="1206" spans="2:14">
      <c r="B1206" s="590"/>
      <c r="C1206" s="590"/>
      <c r="D1206" s="586"/>
      <c r="E1206" s="586"/>
      <c r="F1206" s="586"/>
      <c r="G1206" s="586"/>
      <c r="H1206" s="586"/>
      <c r="I1206" s="586"/>
      <c r="J1206" s="586"/>
      <c r="K1206" s="586"/>
      <c r="L1206" s="591"/>
      <c r="M1206" s="592"/>
      <c r="N1206" s="588"/>
    </row>
    <row r="1207" spans="2:14">
      <c r="B1207" s="590"/>
      <c r="C1207" s="590"/>
      <c r="D1207" s="586"/>
      <c r="E1207" s="586"/>
      <c r="F1207" s="586"/>
      <c r="G1207" s="586"/>
      <c r="H1207" s="586"/>
      <c r="I1207" s="586"/>
      <c r="J1207" s="586"/>
      <c r="K1207" s="586"/>
      <c r="L1207" s="591"/>
      <c r="M1207" s="592"/>
      <c r="N1207" s="588"/>
    </row>
    <row r="1208" spans="2:14">
      <c r="B1208" s="590"/>
      <c r="C1208" s="590"/>
      <c r="D1208" s="586"/>
      <c r="E1208" s="586"/>
      <c r="F1208" s="586"/>
      <c r="G1208" s="586"/>
      <c r="H1208" s="586"/>
      <c r="I1208" s="586"/>
      <c r="J1208" s="586"/>
      <c r="K1208" s="586"/>
      <c r="L1208" s="591"/>
      <c r="M1208" s="592"/>
      <c r="N1208" s="588"/>
    </row>
    <row r="1209" spans="2:14">
      <c r="B1209" s="590"/>
      <c r="C1209" s="590"/>
      <c r="D1209" s="586"/>
      <c r="E1209" s="586"/>
      <c r="F1209" s="586"/>
      <c r="G1209" s="586"/>
      <c r="H1209" s="586"/>
      <c r="I1209" s="586"/>
      <c r="J1209" s="586"/>
      <c r="K1209" s="586"/>
      <c r="L1209" s="591"/>
      <c r="M1209" s="592"/>
      <c r="N1209" s="588"/>
    </row>
    <row r="1210" spans="2:14">
      <c r="B1210" s="590"/>
      <c r="C1210" s="590"/>
      <c r="D1210" s="586"/>
      <c r="E1210" s="586"/>
      <c r="F1210" s="586"/>
      <c r="G1210" s="586"/>
      <c r="H1210" s="586"/>
      <c r="I1210" s="586"/>
      <c r="J1210" s="586"/>
      <c r="K1210" s="586"/>
      <c r="L1210" s="591"/>
      <c r="M1210" s="592"/>
      <c r="N1210" s="588"/>
    </row>
    <row r="1211" spans="2:14">
      <c r="B1211" s="590"/>
      <c r="C1211" s="590"/>
      <c r="D1211" s="586"/>
      <c r="E1211" s="586"/>
      <c r="F1211" s="586"/>
      <c r="G1211" s="586"/>
      <c r="H1211" s="586"/>
      <c r="I1211" s="586"/>
      <c r="J1211" s="586"/>
      <c r="K1211" s="586"/>
      <c r="L1211" s="591"/>
      <c r="M1211" s="592"/>
      <c r="N1211" s="588"/>
    </row>
    <row r="1212" spans="2:14">
      <c r="B1212" s="590"/>
      <c r="C1212" s="590"/>
      <c r="D1212" s="586"/>
      <c r="E1212" s="586"/>
      <c r="F1212" s="586"/>
      <c r="G1212" s="586"/>
      <c r="H1212" s="586"/>
      <c r="I1212" s="586"/>
      <c r="J1212" s="586"/>
      <c r="K1212" s="586"/>
      <c r="L1212" s="591"/>
      <c r="M1212" s="592"/>
      <c r="N1212" s="588"/>
    </row>
    <row r="1213" spans="2:14">
      <c r="B1213" s="590"/>
      <c r="C1213" s="590"/>
      <c r="D1213" s="586"/>
      <c r="E1213" s="586"/>
      <c r="F1213" s="586"/>
      <c r="G1213" s="586"/>
      <c r="H1213" s="586"/>
      <c r="I1213" s="586"/>
      <c r="J1213" s="586"/>
      <c r="K1213" s="586"/>
      <c r="L1213" s="591"/>
      <c r="M1213" s="592"/>
      <c r="N1213" s="588"/>
    </row>
    <row r="1214" spans="2:14">
      <c r="B1214" s="590"/>
      <c r="C1214" s="590"/>
      <c r="D1214" s="586"/>
      <c r="E1214" s="586"/>
      <c r="F1214" s="586"/>
      <c r="G1214" s="586"/>
      <c r="H1214" s="586"/>
      <c r="I1214" s="586"/>
      <c r="J1214" s="586"/>
      <c r="K1214" s="586"/>
      <c r="L1214" s="591"/>
      <c r="M1214" s="592"/>
      <c r="N1214" s="588"/>
    </row>
    <row r="1215" spans="2:14">
      <c r="B1215" s="590"/>
      <c r="C1215" s="590"/>
      <c r="D1215" s="586"/>
      <c r="E1215" s="586"/>
      <c r="F1215" s="586"/>
      <c r="G1215" s="586"/>
      <c r="H1215" s="586"/>
      <c r="I1215" s="586"/>
      <c r="J1215" s="586"/>
      <c r="K1215" s="586"/>
      <c r="L1215" s="591"/>
      <c r="M1215" s="592"/>
      <c r="N1215" s="588"/>
    </row>
    <row r="1216" spans="2:14">
      <c r="B1216" s="590"/>
      <c r="C1216" s="590"/>
      <c r="D1216" s="586"/>
      <c r="E1216" s="586"/>
      <c r="F1216" s="586"/>
      <c r="G1216" s="586"/>
      <c r="H1216" s="586"/>
      <c r="I1216" s="586"/>
      <c r="J1216" s="586"/>
      <c r="K1216" s="586"/>
      <c r="L1216" s="591"/>
      <c r="M1216" s="592"/>
      <c r="N1216" s="588"/>
    </row>
    <row r="1217" spans="2:14">
      <c r="B1217" s="590"/>
      <c r="C1217" s="590"/>
      <c r="D1217" s="586"/>
      <c r="E1217" s="586"/>
      <c r="F1217" s="586"/>
      <c r="G1217" s="586"/>
      <c r="H1217" s="586"/>
      <c r="I1217" s="586"/>
      <c r="J1217" s="586"/>
      <c r="K1217" s="586"/>
      <c r="L1217" s="591"/>
      <c r="M1217" s="592"/>
      <c r="N1217" s="588"/>
    </row>
    <row r="1218" spans="2:14">
      <c r="B1218" s="590"/>
      <c r="C1218" s="590"/>
      <c r="D1218" s="586"/>
      <c r="E1218" s="586"/>
      <c r="F1218" s="586"/>
      <c r="G1218" s="586"/>
      <c r="H1218" s="586"/>
      <c r="I1218" s="586"/>
      <c r="J1218" s="586"/>
      <c r="K1218" s="586"/>
      <c r="L1218" s="591"/>
      <c r="M1218" s="592"/>
      <c r="N1218" s="588"/>
    </row>
    <row r="1219" spans="2:14">
      <c r="B1219" s="590"/>
      <c r="C1219" s="590"/>
      <c r="D1219" s="586"/>
      <c r="E1219" s="586"/>
      <c r="F1219" s="586"/>
      <c r="G1219" s="586"/>
      <c r="H1219" s="586"/>
      <c r="I1219" s="586"/>
      <c r="J1219" s="586"/>
      <c r="K1219" s="586"/>
      <c r="L1219" s="591"/>
      <c r="M1219" s="592"/>
      <c r="N1219" s="588"/>
    </row>
    <row r="1220" spans="2:14">
      <c r="B1220" s="590"/>
      <c r="C1220" s="590"/>
      <c r="D1220" s="586"/>
      <c r="E1220" s="586"/>
      <c r="F1220" s="586"/>
      <c r="G1220" s="586"/>
      <c r="H1220" s="586"/>
      <c r="I1220" s="586"/>
      <c r="J1220" s="586"/>
      <c r="K1220" s="586"/>
      <c r="L1220" s="591"/>
      <c r="M1220" s="592"/>
      <c r="N1220" s="588"/>
    </row>
    <row r="1221" spans="2:14">
      <c r="B1221" s="590"/>
      <c r="C1221" s="590"/>
      <c r="D1221" s="586"/>
      <c r="E1221" s="586"/>
      <c r="F1221" s="586"/>
      <c r="G1221" s="586"/>
      <c r="H1221" s="586"/>
      <c r="I1221" s="586"/>
      <c r="J1221" s="586"/>
      <c r="K1221" s="586"/>
      <c r="L1221" s="591"/>
      <c r="M1221" s="592"/>
      <c r="N1221" s="588"/>
    </row>
    <row r="1222" spans="2:14">
      <c r="B1222" s="590"/>
      <c r="C1222" s="590"/>
      <c r="D1222" s="586"/>
      <c r="E1222" s="586"/>
      <c r="F1222" s="586"/>
      <c r="G1222" s="586"/>
      <c r="H1222" s="586"/>
      <c r="I1222" s="586"/>
      <c r="J1222" s="586"/>
      <c r="K1222" s="586"/>
      <c r="L1222" s="591"/>
      <c r="M1222" s="592"/>
      <c r="N1222" s="588"/>
    </row>
    <row r="1223" spans="2:14">
      <c r="B1223" s="590"/>
      <c r="C1223" s="590"/>
      <c r="D1223" s="586"/>
      <c r="E1223" s="586"/>
      <c r="F1223" s="586"/>
      <c r="G1223" s="586"/>
      <c r="H1223" s="586"/>
      <c r="I1223" s="586"/>
      <c r="J1223" s="586"/>
      <c r="K1223" s="586"/>
      <c r="L1223" s="591"/>
      <c r="M1223" s="592"/>
      <c r="N1223" s="588"/>
    </row>
    <row r="1224" spans="2:14">
      <c r="B1224" s="590"/>
      <c r="C1224" s="590"/>
      <c r="D1224" s="586"/>
      <c r="E1224" s="586"/>
      <c r="F1224" s="586"/>
      <c r="G1224" s="586"/>
      <c r="H1224" s="586"/>
      <c r="I1224" s="586"/>
      <c r="J1224" s="586"/>
      <c r="K1224" s="586"/>
      <c r="L1224" s="591"/>
      <c r="M1224" s="592"/>
      <c r="N1224" s="588"/>
    </row>
    <row r="1225" spans="2:14">
      <c r="B1225" s="590"/>
      <c r="C1225" s="590"/>
      <c r="D1225" s="586"/>
      <c r="E1225" s="586"/>
      <c r="F1225" s="586"/>
      <c r="G1225" s="586"/>
      <c r="H1225" s="586"/>
      <c r="I1225" s="586"/>
      <c r="J1225" s="586"/>
      <c r="K1225" s="586"/>
      <c r="L1225" s="591"/>
      <c r="M1225" s="592"/>
      <c r="N1225" s="588"/>
    </row>
    <row r="1226" spans="2:14">
      <c r="B1226" s="590"/>
      <c r="C1226" s="590"/>
      <c r="D1226" s="586"/>
      <c r="E1226" s="586"/>
      <c r="F1226" s="586"/>
      <c r="G1226" s="586"/>
      <c r="H1226" s="586"/>
      <c r="I1226" s="586"/>
      <c r="J1226" s="586"/>
      <c r="K1226" s="586"/>
      <c r="L1226" s="591"/>
      <c r="M1226" s="592"/>
      <c r="N1226" s="588"/>
    </row>
    <row r="1227" spans="2:14">
      <c r="B1227" s="590"/>
      <c r="C1227" s="590"/>
      <c r="D1227" s="586"/>
      <c r="E1227" s="586"/>
      <c r="F1227" s="586"/>
      <c r="G1227" s="586"/>
      <c r="H1227" s="586"/>
      <c r="I1227" s="586"/>
      <c r="J1227" s="586"/>
      <c r="K1227" s="586"/>
      <c r="L1227" s="591"/>
      <c r="M1227" s="592"/>
      <c r="N1227" s="588"/>
    </row>
    <row r="1228" spans="2:14">
      <c r="B1228" s="590"/>
      <c r="C1228" s="590"/>
      <c r="D1228" s="586"/>
      <c r="E1228" s="586"/>
      <c r="F1228" s="586"/>
      <c r="G1228" s="586"/>
      <c r="H1228" s="586"/>
      <c r="I1228" s="586"/>
      <c r="J1228" s="586"/>
      <c r="K1228" s="586"/>
      <c r="L1228" s="591"/>
      <c r="M1228" s="592"/>
      <c r="N1228" s="588"/>
    </row>
    <row r="1229" spans="2:14">
      <c r="B1229" s="590"/>
      <c r="C1229" s="590"/>
      <c r="D1229" s="586"/>
      <c r="E1229" s="586"/>
      <c r="F1229" s="586"/>
      <c r="G1229" s="586"/>
      <c r="H1229" s="586"/>
      <c r="I1229" s="586"/>
      <c r="J1229" s="586"/>
      <c r="K1229" s="586"/>
      <c r="L1229" s="591"/>
      <c r="M1229" s="592"/>
      <c r="N1229" s="588"/>
    </row>
    <row r="1230" spans="2:14">
      <c r="B1230" s="590"/>
      <c r="C1230" s="590"/>
      <c r="D1230" s="586"/>
      <c r="E1230" s="586"/>
      <c r="F1230" s="586"/>
      <c r="G1230" s="586"/>
      <c r="H1230" s="586"/>
      <c r="I1230" s="586"/>
      <c r="J1230" s="586"/>
      <c r="K1230" s="586"/>
      <c r="L1230" s="591"/>
      <c r="M1230" s="592"/>
      <c r="N1230" s="588"/>
    </row>
    <row r="1231" spans="2:14">
      <c r="B1231" s="590"/>
      <c r="C1231" s="590"/>
      <c r="D1231" s="586"/>
      <c r="E1231" s="586"/>
      <c r="F1231" s="586"/>
      <c r="G1231" s="586"/>
      <c r="H1231" s="586"/>
      <c r="I1231" s="586"/>
      <c r="J1231" s="586"/>
      <c r="K1231" s="586"/>
      <c r="L1231" s="591"/>
      <c r="M1231" s="592"/>
      <c r="N1231" s="588"/>
    </row>
    <row r="1232" spans="2:14">
      <c r="B1232" s="590"/>
      <c r="C1232" s="590"/>
      <c r="D1232" s="586"/>
      <c r="E1232" s="586"/>
      <c r="F1232" s="586"/>
      <c r="G1232" s="586"/>
      <c r="H1232" s="586"/>
      <c r="I1232" s="586"/>
      <c r="J1232" s="586"/>
      <c r="K1232" s="586"/>
      <c r="L1232" s="591"/>
      <c r="M1232" s="592"/>
      <c r="N1232" s="588"/>
    </row>
    <row r="1233" spans="2:14">
      <c r="B1233" s="590"/>
      <c r="C1233" s="590"/>
      <c r="D1233" s="586"/>
      <c r="E1233" s="586"/>
      <c r="F1233" s="586"/>
      <c r="G1233" s="586"/>
      <c r="H1233" s="586"/>
      <c r="I1233" s="586"/>
      <c r="J1233" s="586"/>
      <c r="K1233" s="586"/>
      <c r="L1233" s="591"/>
      <c r="M1233" s="592"/>
      <c r="N1233" s="588"/>
    </row>
    <row r="1234" spans="2:14">
      <c r="B1234" s="590"/>
      <c r="C1234" s="590"/>
      <c r="D1234" s="586"/>
      <c r="E1234" s="586"/>
      <c r="F1234" s="586"/>
      <c r="G1234" s="586"/>
      <c r="H1234" s="586"/>
      <c r="I1234" s="586"/>
      <c r="J1234" s="586"/>
      <c r="K1234" s="586"/>
      <c r="L1234" s="591"/>
      <c r="M1234" s="592"/>
      <c r="N1234" s="588"/>
    </row>
    <row r="1235" spans="2:14">
      <c r="B1235" s="590"/>
      <c r="C1235" s="590"/>
      <c r="D1235" s="586"/>
      <c r="E1235" s="586"/>
      <c r="F1235" s="586"/>
      <c r="G1235" s="586"/>
      <c r="H1235" s="586"/>
      <c r="I1235" s="586"/>
      <c r="J1235" s="586"/>
      <c r="K1235" s="586"/>
      <c r="L1235" s="591"/>
      <c r="M1235" s="592"/>
      <c r="N1235" s="588"/>
    </row>
    <row r="1236" spans="2:14">
      <c r="B1236" s="590"/>
      <c r="C1236" s="590"/>
      <c r="D1236" s="586"/>
      <c r="E1236" s="586"/>
      <c r="F1236" s="586"/>
      <c r="G1236" s="586"/>
      <c r="H1236" s="586"/>
      <c r="I1236" s="586"/>
      <c r="J1236" s="586"/>
      <c r="K1236" s="586"/>
      <c r="L1236" s="591"/>
      <c r="M1236" s="592"/>
      <c r="N1236" s="588"/>
    </row>
    <row r="1237" spans="2:14">
      <c r="B1237" s="590"/>
      <c r="C1237" s="590"/>
      <c r="D1237" s="586"/>
      <c r="E1237" s="586"/>
      <c r="F1237" s="586"/>
      <c r="G1237" s="586"/>
      <c r="H1237" s="586"/>
      <c r="I1237" s="586"/>
      <c r="J1237" s="586"/>
      <c r="K1237" s="586"/>
      <c r="L1237" s="591"/>
      <c r="M1237" s="592"/>
      <c r="N1237" s="588"/>
    </row>
    <row r="1238" spans="2:14">
      <c r="B1238" s="590"/>
      <c r="C1238" s="590"/>
      <c r="D1238" s="586"/>
      <c r="E1238" s="586"/>
      <c r="F1238" s="586"/>
      <c r="G1238" s="586"/>
      <c r="H1238" s="586"/>
      <c r="I1238" s="586"/>
      <c r="J1238" s="586"/>
      <c r="K1238" s="586"/>
      <c r="L1238" s="591"/>
      <c r="M1238" s="592"/>
      <c r="N1238" s="588"/>
    </row>
    <row r="1239" spans="2:14">
      <c r="B1239" s="590"/>
      <c r="C1239" s="590"/>
      <c r="D1239" s="586"/>
      <c r="E1239" s="586"/>
      <c r="F1239" s="586"/>
      <c r="G1239" s="586"/>
      <c r="H1239" s="586"/>
      <c r="I1239" s="586"/>
      <c r="J1239" s="586"/>
      <c r="K1239" s="586"/>
      <c r="L1239" s="591"/>
      <c r="M1239" s="592"/>
      <c r="N1239" s="588"/>
    </row>
    <row r="1240" spans="2:14">
      <c r="B1240" s="590"/>
      <c r="C1240" s="590"/>
      <c r="D1240" s="586"/>
      <c r="E1240" s="586"/>
      <c r="F1240" s="586"/>
      <c r="G1240" s="586"/>
      <c r="H1240" s="586"/>
      <c r="I1240" s="586"/>
      <c r="J1240" s="586"/>
      <c r="K1240" s="586"/>
      <c r="L1240" s="591"/>
      <c r="M1240" s="592"/>
      <c r="N1240" s="588"/>
    </row>
    <row r="1241" spans="2:14">
      <c r="B1241" s="590"/>
      <c r="C1241" s="590"/>
      <c r="D1241" s="586"/>
      <c r="E1241" s="586"/>
      <c r="F1241" s="586"/>
      <c r="G1241" s="586"/>
      <c r="H1241" s="586"/>
      <c r="I1241" s="586"/>
      <c r="J1241" s="586"/>
      <c r="K1241" s="586"/>
      <c r="L1241" s="591"/>
      <c r="M1241" s="592"/>
      <c r="N1241" s="588"/>
    </row>
    <row r="1242" spans="2:14">
      <c r="B1242" s="590"/>
      <c r="C1242" s="590"/>
      <c r="D1242" s="586"/>
      <c r="E1242" s="586"/>
      <c r="F1242" s="586"/>
      <c r="G1242" s="586"/>
      <c r="H1242" s="586"/>
      <c r="I1242" s="586"/>
      <c r="J1242" s="586"/>
      <c r="K1242" s="586"/>
      <c r="L1242" s="591"/>
      <c r="M1242" s="592"/>
      <c r="N1242" s="588"/>
    </row>
    <row r="1243" spans="2:14">
      <c r="B1243" s="590"/>
      <c r="C1243" s="590"/>
      <c r="D1243" s="586"/>
      <c r="E1243" s="586"/>
      <c r="F1243" s="586"/>
      <c r="G1243" s="586"/>
      <c r="H1243" s="586"/>
      <c r="I1243" s="586"/>
      <c r="J1243" s="586"/>
      <c r="K1243" s="586"/>
      <c r="L1243" s="591"/>
      <c r="M1243" s="592"/>
      <c r="N1243" s="588"/>
    </row>
    <row r="1244" spans="2:14">
      <c r="B1244" s="590"/>
      <c r="C1244" s="590"/>
      <c r="D1244" s="586"/>
      <c r="E1244" s="586"/>
      <c r="F1244" s="586"/>
      <c r="G1244" s="586"/>
      <c r="H1244" s="586"/>
      <c r="I1244" s="586"/>
      <c r="J1244" s="586"/>
      <c r="K1244" s="586"/>
      <c r="L1244" s="591"/>
      <c r="M1244" s="592"/>
      <c r="N1244" s="588"/>
    </row>
    <row r="1245" spans="2:14">
      <c r="B1245" s="590"/>
      <c r="C1245" s="590"/>
      <c r="D1245" s="586"/>
      <c r="E1245" s="586"/>
      <c r="F1245" s="586"/>
      <c r="G1245" s="586"/>
      <c r="H1245" s="586"/>
      <c r="I1245" s="586"/>
      <c r="J1245" s="586"/>
      <c r="K1245" s="586"/>
      <c r="L1245" s="591"/>
      <c r="M1245" s="592"/>
      <c r="N1245" s="588"/>
    </row>
    <row r="1246" spans="2:14">
      <c r="B1246" s="590"/>
      <c r="C1246" s="590"/>
      <c r="D1246" s="586"/>
      <c r="E1246" s="586"/>
      <c r="F1246" s="586"/>
      <c r="G1246" s="586"/>
      <c r="H1246" s="586"/>
      <c r="I1246" s="586"/>
      <c r="J1246" s="586"/>
      <c r="K1246" s="586"/>
      <c r="L1246" s="591"/>
      <c r="M1246" s="592"/>
      <c r="N1246" s="588"/>
    </row>
    <row r="1247" spans="2:14">
      <c r="B1247" s="590"/>
      <c r="C1247" s="590"/>
      <c r="D1247" s="586"/>
      <c r="E1247" s="586"/>
      <c r="F1247" s="586"/>
      <c r="G1247" s="586"/>
      <c r="H1247" s="586"/>
      <c r="I1247" s="586"/>
      <c r="J1247" s="586"/>
      <c r="K1247" s="586"/>
      <c r="L1247" s="591"/>
      <c r="M1247" s="592"/>
      <c r="N1247" s="588"/>
    </row>
    <row r="1248" spans="2:14">
      <c r="B1248" s="590"/>
      <c r="C1248" s="590"/>
      <c r="D1248" s="586"/>
      <c r="E1248" s="586"/>
      <c r="F1248" s="586"/>
      <c r="G1248" s="586"/>
      <c r="H1248" s="586"/>
      <c r="I1248" s="586"/>
      <c r="J1248" s="586"/>
      <c r="K1248" s="586"/>
      <c r="L1248" s="591"/>
      <c r="M1248" s="592"/>
      <c r="N1248" s="588"/>
    </row>
    <row r="1249" spans="2:14">
      <c r="B1249" s="590"/>
      <c r="C1249" s="590"/>
      <c r="D1249" s="586"/>
      <c r="E1249" s="586"/>
      <c r="F1249" s="586"/>
      <c r="G1249" s="586"/>
      <c r="H1249" s="586"/>
      <c r="I1249" s="586"/>
      <c r="J1249" s="586"/>
      <c r="K1249" s="586"/>
      <c r="L1249" s="591"/>
      <c r="M1249" s="592"/>
      <c r="N1249" s="588"/>
    </row>
    <row r="1250" spans="2:14">
      <c r="B1250" s="590"/>
      <c r="C1250" s="590"/>
      <c r="D1250" s="586"/>
      <c r="E1250" s="586"/>
      <c r="F1250" s="586"/>
      <c r="G1250" s="586"/>
      <c r="H1250" s="586"/>
      <c r="I1250" s="586"/>
      <c r="J1250" s="586"/>
      <c r="K1250" s="586"/>
      <c r="L1250" s="591"/>
      <c r="M1250" s="592"/>
      <c r="N1250" s="588"/>
    </row>
    <row r="1251" spans="2:14">
      <c r="B1251" s="590"/>
      <c r="C1251" s="590"/>
      <c r="D1251" s="586"/>
      <c r="E1251" s="586"/>
      <c r="F1251" s="586"/>
      <c r="G1251" s="586"/>
      <c r="H1251" s="586"/>
      <c r="I1251" s="586"/>
      <c r="J1251" s="586"/>
      <c r="K1251" s="586"/>
      <c r="L1251" s="591"/>
      <c r="M1251" s="592"/>
      <c r="N1251" s="588"/>
    </row>
    <row r="1252" spans="2:14">
      <c r="B1252" s="590"/>
      <c r="C1252" s="590"/>
      <c r="D1252" s="586"/>
      <c r="E1252" s="586"/>
      <c r="F1252" s="586"/>
      <c r="G1252" s="586"/>
      <c r="H1252" s="586"/>
      <c r="I1252" s="586"/>
      <c r="J1252" s="586"/>
      <c r="K1252" s="586"/>
      <c r="L1252" s="591"/>
      <c r="M1252" s="592"/>
      <c r="N1252" s="588"/>
    </row>
    <row r="1253" spans="2:14">
      <c r="B1253" s="590"/>
      <c r="C1253" s="590"/>
      <c r="D1253" s="586"/>
      <c r="E1253" s="586"/>
      <c r="F1253" s="586"/>
      <c r="G1253" s="586"/>
      <c r="H1253" s="586"/>
      <c r="I1253" s="586"/>
      <c r="J1253" s="586"/>
      <c r="K1253" s="586"/>
      <c r="L1253" s="591"/>
      <c r="M1253" s="592"/>
      <c r="N1253" s="588"/>
    </row>
    <row r="1254" spans="2:14">
      <c r="B1254" s="590"/>
      <c r="C1254" s="590"/>
      <c r="D1254" s="586"/>
      <c r="E1254" s="586"/>
      <c r="F1254" s="586"/>
      <c r="G1254" s="586"/>
      <c r="H1254" s="586"/>
      <c r="I1254" s="586"/>
      <c r="J1254" s="586"/>
      <c r="K1254" s="586"/>
      <c r="L1254" s="591"/>
      <c r="M1254" s="592"/>
      <c r="N1254" s="588"/>
    </row>
    <row r="1255" spans="2:14">
      <c r="B1255" s="590"/>
      <c r="C1255" s="590"/>
      <c r="D1255" s="586"/>
      <c r="E1255" s="586"/>
      <c r="F1255" s="586"/>
      <c r="G1255" s="586"/>
      <c r="H1255" s="586"/>
      <c r="I1255" s="586"/>
      <c r="J1255" s="586"/>
      <c r="K1255" s="586"/>
      <c r="L1255" s="591"/>
      <c r="M1255" s="592"/>
      <c r="N1255" s="588"/>
    </row>
    <row r="1256" spans="2:14">
      <c r="B1256" s="590"/>
      <c r="C1256" s="590"/>
      <c r="D1256" s="586"/>
      <c r="E1256" s="586"/>
      <c r="F1256" s="586"/>
      <c r="G1256" s="586"/>
      <c r="H1256" s="586"/>
      <c r="I1256" s="586"/>
      <c r="J1256" s="586"/>
      <c r="K1256" s="586"/>
      <c r="L1256" s="591"/>
      <c r="M1256" s="592"/>
      <c r="N1256" s="588"/>
    </row>
    <row r="1257" spans="2:14">
      <c r="B1257" s="590"/>
      <c r="C1257" s="590"/>
      <c r="D1257" s="586"/>
      <c r="E1257" s="586"/>
      <c r="F1257" s="586"/>
      <c r="G1257" s="586"/>
      <c r="H1257" s="586"/>
      <c r="I1257" s="586"/>
      <c r="J1257" s="586"/>
      <c r="K1257" s="586"/>
      <c r="L1257" s="591"/>
      <c r="M1257" s="592"/>
      <c r="N1257" s="588"/>
    </row>
    <row r="1258" spans="2:14">
      <c r="B1258" s="590"/>
      <c r="C1258" s="590"/>
      <c r="D1258" s="586"/>
      <c r="E1258" s="586"/>
      <c r="F1258" s="586"/>
      <c r="G1258" s="586"/>
      <c r="H1258" s="586"/>
      <c r="I1258" s="586"/>
      <c r="J1258" s="586"/>
      <c r="K1258" s="586"/>
      <c r="L1258" s="591"/>
      <c r="M1258" s="592"/>
      <c r="N1258" s="588"/>
    </row>
    <row r="1259" spans="2:14">
      <c r="B1259" s="590"/>
      <c r="C1259" s="590"/>
      <c r="D1259" s="586"/>
      <c r="E1259" s="586"/>
      <c r="F1259" s="586"/>
      <c r="G1259" s="586"/>
      <c r="H1259" s="586"/>
      <c r="I1259" s="586"/>
      <c r="J1259" s="586"/>
      <c r="K1259" s="586"/>
      <c r="L1259" s="591"/>
      <c r="M1259" s="592"/>
      <c r="N1259" s="588"/>
    </row>
    <row r="1260" spans="2:14">
      <c r="B1260" s="590"/>
      <c r="C1260" s="590"/>
      <c r="D1260" s="586"/>
      <c r="E1260" s="586"/>
      <c r="F1260" s="586"/>
      <c r="G1260" s="586"/>
      <c r="H1260" s="586"/>
      <c r="I1260" s="586"/>
      <c r="J1260" s="586"/>
      <c r="K1260" s="586"/>
      <c r="L1260" s="591"/>
      <c r="M1260" s="592"/>
      <c r="N1260" s="588"/>
    </row>
    <row r="1261" spans="2:14">
      <c r="B1261" s="590"/>
      <c r="C1261" s="590"/>
      <c r="D1261" s="586"/>
      <c r="E1261" s="586"/>
      <c r="F1261" s="586"/>
      <c r="G1261" s="586"/>
      <c r="H1261" s="586"/>
      <c r="I1261" s="586"/>
      <c r="J1261" s="586"/>
      <c r="K1261" s="586"/>
      <c r="L1261" s="591"/>
      <c r="M1261" s="592"/>
      <c r="N1261" s="588"/>
    </row>
    <row r="1262" spans="2:14">
      <c r="B1262" s="590"/>
      <c r="C1262" s="590"/>
      <c r="D1262" s="586"/>
      <c r="E1262" s="586"/>
      <c r="F1262" s="586"/>
      <c r="G1262" s="586"/>
      <c r="H1262" s="586"/>
      <c r="I1262" s="586"/>
      <c r="J1262" s="586"/>
      <c r="K1262" s="586"/>
      <c r="L1262" s="591"/>
      <c r="M1262" s="592"/>
      <c r="N1262" s="588"/>
    </row>
    <row r="1263" spans="2:14">
      <c r="B1263" s="590"/>
      <c r="C1263" s="590"/>
      <c r="D1263" s="586"/>
      <c r="E1263" s="586"/>
      <c r="F1263" s="586"/>
      <c r="G1263" s="586"/>
      <c r="H1263" s="586"/>
      <c r="I1263" s="586"/>
      <c r="J1263" s="586"/>
      <c r="K1263" s="586"/>
      <c r="L1263" s="591"/>
      <c r="M1263" s="592"/>
      <c r="N1263" s="588"/>
    </row>
    <row r="1264" spans="2:14">
      <c r="B1264" s="590"/>
      <c r="C1264" s="590"/>
      <c r="D1264" s="586"/>
      <c r="E1264" s="586"/>
      <c r="F1264" s="586"/>
      <c r="G1264" s="586"/>
      <c r="H1264" s="586"/>
      <c r="I1264" s="586"/>
      <c r="J1264" s="586"/>
      <c r="K1264" s="586"/>
      <c r="L1264" s="591"/>
      <c r="M1264" s="592"/>
      <c r="N1264" s="588"/>
    </row>
    <row r="1265" spans="2:14">
      <c r="B1265" s="590"/>
      <c r="C1265" s="590"/>
      <c r="D1265" s="586"/>
      <c r="E1265" s="586"/>
      <c r="F1265" s="586"/>
      <c r="G1265" s="586"/>
      <c r="H1265" s="586"/>
      <c r="I1265" s="586"/>
      <c r="J1265" s="586"/>
      <c r="K1265" s="586"/>
      <c r="L1265" s="591"/>
      <c r="M1265" s="592"/>
      <c r="N1265" s="588"/>
    </row>
    <row r="1266" spans="2:14">
      <c r="B1266" s="590"/>
      <c r="C1266" s="590"/>
      <c r="D1266" s="586"/>
      <c r="E1266" s="586"/>
      <c r="F1266" s="586"/>
      <c r="G1266" s="586"/>
      <c r="H1266" s="586"/>
      <c r="I1266" s="586"/>
      <c r="J1266" s="586"/>
      <c r="K1266" s="586"/>
      <c r="L1266" s="591"/>
      <c r="M1266" s="592"/>
      <c r="N1266" s="588"/>
    </row>
    <row r="1267" spans="2:14">
      <c r="B1267" s="590"/>
      <c r="C1267" s="590"/>
      <c r="D1267" s="586"/>
      <c r="E1267" s="586"/>
      <c r="F1267" s="586"/>
      <c r="G1267" s="586"/>
      <c r="H1267" s="586"/>
      <c r="I1267" s="586"/>
      <c r="J1267" s="586"/>
      <c r="K1267" s="586"/>
      <c r="L1267" s="591"/>
      <c r="M1267" s="592"/>
      <c r="N1267" s="588"/>
    </row>
    <row r="1268" spans="2:14">
      <c r="B1268" s="590"/>
      <c r="C1268" s="590"/>
      <c r="D1268" s="586"/>
      <c r="E1268" s="586"/>
      <c r="F1268" s="586"/>
      <c r="G1268" s="586"/>
      <c r="H1268" s="586"/>
      <c r="I1268" s="586"/>
      <c r="J1268" s="586"/>
      <c r="K1268" s="586"/>
      <c r="L1268" s="591"/>
      <c r="M1268" s="592"/>
      <c r="N1268" s="588"/>
    </row>
    <row r="1269" spans="2:14">
      <c r="B1269" s="590"/>
      <c r="C1269" s="590"/>
      <c r="D1269" s="586"/>
      <c r="E1269" s="586"/>
      <c r="F1269" s="586"/>
      <c r="G1269" s="586"/>
      <c r="H1269" s="586"/>
      <c r="I1269" s="586"/>
      <c r="J1269" s="586"/>
      <c r="K1269" s="586"/>
      <c r="L1269" s="591"/>
      <c r="M1269" s="592"/>
      <c r="N1269" s="588"/>
    </row>
    <row r="1270" spans="2:14">
      <c r="B1270" s="590"/>
      <c r="C1270" s="590"/>
      <c r="D1270" s="586"/>
      <c r="E1270" s="586"/>
      <c r="F1270" s="586"/>
      <c r="G1270" s="586"/>
      <c r="H1270" s="586"/>
      <c r="I1270" s="586"/>
      <c r="J1270" s="586"/>
      <c r="K1270" s="586"/>
      <c r="L1270" s="591"/>
      <c r="M1270" s="592"/>
      <c r="N1270" s="588"/>
    </row>
    <row r="1271" spans="2:14">
      <c r="B1271" s="590"/>
      <c r="C1271" s="590"/>
      <c r="D1271" s="586"/>
      <c r="E1271" s="586"/>
      <c r="F1271" s="586"/>
      <c r="G1271" s="586"/>
      <c r="H1271" s="586"/>
      <c r="I1271" s="586"/>
      <c r="J1271" s="586"/>
      <c r="K1271" s="586"/>
      <c r="L1271" s="591"/>
      <c r="M1271" s="592"/>
      <c r="N1271" s="588"/>
    </row>
    <row r="1272" spans="2:14">
      <c r="B1272" s="590"/>
      <c r="C1272" s="590"/>
      <c r="D1272" s="586"/>
      <c r="E1272" s="586"/>
      <c r="F1272" s="586"/>
      <c r="G1272" s="586"/>
      <c r="H1272" s="586"/>
      <c r="I1272" s="586"/>
      <c r="J1272" s="586"/>
      <c r="K1272" s="586"/>
      <c r="L1272" s="591"/>
      <c r="M1272" s="592"/>
      <c r="N1272" s="588"/>
    </row>
    <row r="1273" spans="2:14">
      <c r="B1273" s="590"/>
      <c r="C1273" s="590"/>
      <c r="D1273" s="586"/>
      <c r="E1273" s="586"/>
      <c r="F1273" s="586"/>
      <c r="G1273" s="586"/>
      <c r="H1273" s="586"/>
      <c r="I1273" s="586"/>
      <c r="J1273" s="586"/>
      <c r="K1273" s="586"/>
      <c r="L1273" s="591"/>
      <c r="M1273" s="592"/>
      <c r="N1273" s="588"/>
    </row>
    <row r="1274" spans="2:14">
      <c r="B1274" s="590"/>
      <c r="C1274" s="590"/>
      <c r="D1274" s="586"/>
      <c r="E1274" s="586"/>
      <c r="F1274" s="586"/>
      <c r="G1274" s="586"/>
      <c r="H1274" s="586"/>
      <c r="I1274" s="586"/>
      <c r="J1274" s="586"/>
      <c r="K1274" s="586"/>
      <c r="L1274" s="591"/>
      <c r="M1274" s="592"/>
      <c r="N1274" s="588"/>
    </row>
    <row r="1275" spans="2:14">
      <c r="B1275" s="590"/>
      <c r="C1275" s="590"/>
      <c r="D1275" s="586"/>
      <c r="E1275" s="586"/>
      <c r="F1275" s="586"/>
      <c r="G1275" s="586"/>
      <c r="H1275" s="586"/>
      <c r="I1275" s="586"/>
      <c r="J1275" s="586"/>
      <c r="K1275" s="586"/>
      <c r="L1275" s="591"/>
      <c r="M1275" s="592"/>
      <c r="N1275" s="588"/>
    </row>
    <row r="1276" spans="2:14">
      <c r="B1276" s="590"/>
      <c r="C1276" s="590"/>
      <c r="D1276" s="586"/>
      <c r="E1276" s="586"/>
      <c r="F1276" s="586"/>
      <c r="G1276" s="586"/>
      <c r="H1276" s="586"/>
      <c r="I1276" s="586"/>
      <c r="J1276" s="586"/>
      <c r="K1276" s="586"/>
      <c r="L1276" s="591"/>
      <c r="M1276" s="592"/>
      <c r="N1276" s="588"/>
    </row>
    <row r="1277" spans="2:14">
      <c r="B1277" s="590"/>
      <c r="C1277" s="590"/>
      <c r="D1277" s="586"/>
      <c r="E1277" s="586"/>
      <c r="F1277" s="586"/>
      <c r="G1277" s="586"/>
      <c r="H1277" s="586"/>
      <c r="I1277" s="586"/>
      <c r="J1277" s="586"/>
      <c r="K1277" s="586"/>
      <c r="L1277" s="591"/>
      <c r="M1277" s="592"/>
      <c r="N1277" s="588"/>
    </row>
    <row r="1278" spans="2:14">
      <c r="B1278" s="590"/>
      <c r="C1278" s="590"/>
      <c r="D1278" s="586"/>
      <c r="E1278" s="586"/>
      <c r="F1278" s="586"/>
      <c r="G1278" s="586"/>
      <c r="H1278" s="586"/>
      <c r="I1278" s="586"/>
      <c r="J1278" s="586"/>
      <c r="K1278" s="586"/>
      <c r="L1278" s="591"/>
      <c r="M1278" s="592"/>
      <c r="N1278" s="588"/>
    </row>
    <row r="1279" spans="2:14">
      <c r="B1279" s="590"/>
      <c r="C1279" s="590"/>
      <c r="D1279" s="586"/>
      <c r="E1279" s="586"/>
      <c r="F1279" s="586"/>
      <c r="G1279" s="586"/>
      <c r="H1279" s="586"/>
      <c r="I1279" s="586"/>
      <c r="J1279" s="586"/>
      <c r="K1279" s="586"/>
      <c r="L1279" s="591"/>
      <c r="M1279" s="592"/>
      <c r="N1279" s="588"/>
    </row>
    <row r="1280" spans="2:14">
      <c r="B1280" s="590"/>
      <c r="C1280" s="590"/>
      <c r="D1280" s="586"/>
      <c r="E1280" s="586"/>
      <c r="F1280" s="586"/>
      <c r="G1280" s="586"/>
      <c r="H1280" s="586"/>
      <c r="I1280" s="586"/>
      <c r="J1280" s="586"/>
      <c r="K1280" s="586"/>
      <c r="L1280" s="591"/>
      <c r="M1280" s="592"/>
      <c r="N1280" s="588"/>
    </row>
    <row r="1281" spans="2:14">
      <c r="B1281" s="590"/>
      <c r="C1281" s="590"/>
      <c r="D1281" s="586"/>
      <c r="E1281" s="586"/>
      <c r="F1281" s="586"/>
      <c r="G1281" s="586"/>
      <c r="H1281" s="586"/>
      <c r="I1281" s="586"/>
      <c r="J1281" s="586"/>
      <c r="K1281" s="586"/>
      <c r="L1281" s="591"/>
      <c r="M1281" s="592"/>
      <c r="N1281" s="588"/>
    </row>
    <row r="1282" spans="2:14">
      <c r="B1282" s="590"/>
      <c r="C1282" s="590"/>
      <c r="D1282" s="586"/>
      <c r="E1282" s="586"/>
      <c r="F1282" s="586"/>
      <c r="G1282" s="586"/>
      <c r="H1282" s="586"/>
      <c r="I1282" s="586"/>
      <c r="J1282" s="586"/>
      <c r="K1282" s="586"/>
      <c r="L1282" s="591"/>
      <c r="M1282" s="592"/>
      <c r="N1282" s="588"/>
    </row>
    <row r="1283" spans="2:14">
      <c r="B1283" s="590"/>
      <c r="C1283" s="590"/>
      <c r="D1283" s="586"/>
      <c r="E1283" s="586"/>
      <c r="F1283" s="586"/>
      <c r="G1283" s="586"/>
      <c r="H1283" s="586"/>
      <c r="I1283" s="586"/>
      <c r="J1283" s="586"/>
      <c r="K1283" s="586"/>
      <c r="L1283" s="591"/>
      <c r="M1283" s="592"/>
      <c r="N1283" s="588"/>
    </row>
    <row r="1284" spans="2:14">
      <c r="B1284" s="590"/>
      <c r="C1284" s="590"/>
      <c r="D1284" s="586"/>
      <c r="E1284" s="586"/>
      <c r="F1284" s="586"/>
      <c r="G1284" s="586"/>
      <c r="H1284" s="586"/>
      <c r="I1284" s="586"/>
      <c r="J1284" s="586"/>
      <c r="K1284" s="586"/>
      <c r="L1284" s="591"/>
      <c r="M1284" s="592"/>
      <c r="N1284" s="588"/>
    </row>
    <row r="1285" spans="2:14">
      <c r="B1285" s="590"/>
      <c r="C1285" s="590"/>
      <c r="D1285" s="586"/>
      <c r="E1285" s="586"/>
      <c r="F1285" s="586"/>
      <c r="G1285" s="586"/>
      <c r="H1285" s="586"/>
      <c r="I1285" s="586"/>
      <c r="J1285" s="586"/>
      <c r="K1285" s="586"/>
      <c r="L1285" s="591"/>
      <c r="M1285" s="592"/>
      <c r="N1285" s="588"/>
    </row>
    <row r="1286" spans="2:14">
      <c r="B1286" s="590"/>
      <c r="C1286" s="590"/>
      <c r="D1286" s="586"/>
      <c r="E1286" s="586"/>
      <c r="F1286" s="586"/>
      <c r="G1286" s="586"/>
      <c r="H1286" s="586"/>
      <c r="I1286" s="586"/>
      <c r="J1286" s="586"/>
      <c r="K1286" s="586"/>
      <c r="L1286" s="591"/>
      <c r="M1286" s="592"/>
      <c r="N1286" s="588"/>
    </row>
    <row r="1287" spans="2:14">
      <c r="B1287" s="590"/>
      <c r="C1287" s="590"/>
      <c r="D1287" s="586"/>
      <c r="E1287" s="586"/>
      <c r="F1287" s="586"/>
      <c r="G1287" s="586"/>
      <c r="H1287" s="586"/>
      <c r="I1287" s="586"/>
      <c r="J1287" s="586"/>
      <c r="K1287" s="586"/>
      <c r="L1287" s="591"/>
      <c r="M1287" s="592"/>
      <c r="N1287" s="588"/>
    </row>
    <row r="1288" spans="2:14">
      <c r="B1288" s="590"/>
      <c r="C1288" s="590"/>
      <c r="D1288" s="586"/>
      <c r="E1288" s="586"/>
      <c r="F1288" s="586"/>
      <c r="G1288" s="586"/>
      <c r="H1288" s="586"/>
      <c r="I1288" s="586"/>
      <c r="J1288" s="586"/>
      <c r="K1288" s="586"/>
      <c r="L1288" s="591"/>
      <c r="M1288" s="592"/>
      <c r="N1288" s="588"/>
    </row>
    <row r="1289" spans="2:14">
      <c r="B1289" s="590"/>
      <c r="C1289" s="590"/>
      <c r="D1289" s="586"/>
      <c r="E1289" s="586"/>
      <c r="F1289" s="586"/>
      <c r="G1289" s="586"/>
      <c r="H1289" s="586"/>
      <c r="I1289" s="586"/>
      <c r="J1289" s="586"/>
      <c r="K1289" s="586"/>
      <c r="L1289" s="591"/>
      <c r="M1289" s="592"/>
      <c r="N1289" s="588"/>
    </row>
    <row r="1290" spans="2:14">
      <c r="B1290" s="590"/>
      <c r="C1290" s="590"/>
      <c r="D1290" s="586"/>
      <c r="E1290" s="586"/>
      <c r="F1290" s="586"/>
      <c r="G1290" s="586"/>
      <c r="H1290" s="586"/>
      <c r="I1290" s="586"/>
      <c r="J1290" s="586"/>
      <c r="K1290" s="586"/>
      <c r="L1290" s="591"/>
      <c r="M1290" s="592"/>
      <c r="N1290" s="588"/>
    </row>
    <row r="1291" spans="2:14">
      <c r="B1291" s="590"/>
      <c r="C1291" s="590"/>
      <c r="D1291" s="586"/>
      <c r="E1291" s="586"/>
      <c r="F1291" s="586"/>
      <c r="G1291" s="586"/>
      <c r="H1291" s="586"/>
      <c r="I1291" s="586"/>
      <c r="J1291" s="586"/>
      <c r="K1291" s="586"/>
      <c r="L1291" s="591"/>
      <c r="M1291" s="592"/>
      <c r="N1291" s="588"/>
    </row>
    <row r="1292" spans="2:14">
      <c r="B1292" s="590"/>
      <c r="C1292" s="590"/>
      <c r="D1292" s="586"/>
      <c r="E1292" s="586"/>
      <c r="F1292" s="586"/>
      <c r="G1292" s="586"/>
      <c r="H1292" s="586"/>
      <c r="I1292" s="586"/>
      <c r="J1292" s="586"/>
      <c r="K1292" s="586"/>
      <c r="L1292" s="591"/>
      <c r="M1292" s="592"/>
      <c r="N1292" s="588"/>
    </row>
    <row r="1293" spans="2:14">
      <c r="B1293" s="590"/>
      <c r="C1293" s="590"/>
      <c r="D1293" s="586"/>
      <c r="E1293" s="586"/>
      <c r="F1293" s="586"/>
      <c r="G1293" s="586"/>
      <c r="H1293" s="586"/>
      <c r="I1293" s="586"/>
      <c r="J1293" s="586"/>
      <c r="K1293" s="586"/>
      <c r="L1293" s="591"/>
      <c r="M1293" s="592"/>
      <c r="N1293" s="588"/>
    </row>
    <row r="1294" spans="2:14">
      <c r="B1294" s="590"/>
      <c r="C1294" s="590"/>
      <c r="D1294" s="586"/>
      <c r="E1294" s="586"/>
      <c r="F1294" s="586"/>
      <c r="G1294" s="586"/>
      <c r="H1294" s="586"/>
      <c r="I1294" s="586"/>
      <c r="J1294" s="586"/>
      <c r="K1294" s="586"/>
      <c r="L1294" s="591"/>
      <c r="M1294" s="592"/>
      <c r="N1294" s="588"/>
    </row>
    <row r="1295" spans="2:14">
      <c r="B1295" s="590"/>
      <c r="C1295" s="590"/>
      <c r="D1295" s="586"/>
      <c r="E1295" s="586"/>
      <c r="F1295" s="586"/>
      <c r="G1295" s="586"/>
      <c r="H1295" s="586"/>
      <c r="I1295" s="586"/>
      <c r="J1295" s="586"/>
      <c r="K1295" s="586"/>
      <c r="L1295" s="591"/>
      <c r="M1295" s="592"/>
      <c r="N1295" s="588"/>
    </row>
    <row r="1296" spans="2:14">
      <c r="B1296" s="590"/>
      <c r="C1296" s="590"/>
      <c r="D1296" s="586"/>
      <c r="E1296" s="586"/>
      <c r="F1296" s="586"/>
      <c r="G1296" s="586"/>
      <c r="H1296" s="586"/>
      <c r="I1296" s="586"/>
      <c r="J1296" s="586"/>
      <c r="K1296" s="586"/>
      <c r="L1296" s="591"/>
      <c r="M1296" s="592"/>
      <c r="N1296" s="588"/>
    </row>
    <row r="1297" spans="2:14">
      <c r="B1297" s="590"/>
      <c r="C1297" s="590"/>
      <c r="D1297" s="586"/>
      <c r="E1297" s="586"/>
      <c r="F1297" s="586"/>
      <c r="G1297" s="586"/>
      <c r="H1297" s="586"/>
      <c r="I1297" s="586"/>
      <c r="J1297" s="586"/>
      <c r="K1297" s="586"/>
      <c r="L1297" s="591"/>
      <c r="M1297" s="592"/>
      <c r="N1297" s="588"/>
    </row>
    <row r="1298" spans="2:14">
      <c r="B1298" s="590"/>
      <c r="C1298" s="590"/>
      <c r="D1298" s="586"/>
      <c r="E1298" s="586"/>
      <c r="F1298" s="586"/>
      <c r="G1298" s="586"/>
      <c r="H1298" s="586"/>
      <c r="I1298" s="586"/>
      <c r="J1298" s="586"/>
      <c r="K1298" s="586"/>
      <c r="L1298" s="591"/>
      <c r="M1298" s="592"/>
      <c r="N1298" s="588"/>
    </row>
    <row r="1299" spans="2:14">
      <c r="B1299" s="590"/>
      <c r="C1299" s="590"/>
      <c r="D1299" s="586"/>
      <c r="E1299" s="586"/>
      <c r="F1299" s="586"/>
      <c r="G1299" s="586"/>
      <c r="H1299" s="586"/>
      <c r="I1299" s="586"/>
      <c r="J1299" s="586"/>
      <c r="K1299" s="586"/>
      <c r="L1299" s="591"/>
      <c r="M1299" s="592"/>
      <c r="N1299" s="588"/>
    </row>
    <row r="1300" spans="2:14">
      <c r="B1300" s="590"/>
      <c r="C1300" s="590"/>
      <c r="D1300" s="586"/>
      <c r="E1300" s="586"/>
      <c r="F1300" s="586"/>
      <c r="G1300" s="586"/>
      <c r="H1300" s="586"/>
      <c r="I1300" s="586"/>
      <c r="J1300" s="586"/>
      <c r="K1300" s="586"/>
      <c r="L1300" s="591"/>
      <c r="M1300" s="592"/>
      <c r="N1300" s="588"/>
    </row>
    <row r="1301" spans="2:14">
      <c r="B1301" s="590"/>
      <c r="C1301" s="590"/>
      <c r="D1301" s="586"/>
      <c r="E1301" s="586"/>
      <c r="F1301" s="586"/>
      <c r="G1301" s="586"/>
      <c r="H1301" s="586"/>
      <c r="I1301" s="586"/>
      <c r="J1301" s="586"/>
      <c r="K1301" s="586"/>
      <c r="L1301" s="591"/>
      <c r="M1301" s="592"/>
      <c r="N1301" s="588"/>
    </row>
    <row r="1302" spans="2:14">
      <c r="B1302" s="590"/>
      <c r="C1302" s="590"/>
      <c r="D1302" s="586"/>
      <c r="E1302" s="586"/>
      <c r="F1302" s="586"/>
      <c r="G1302" s="586"/>
      <c r="H1302" s="586"/>
      <c r="I1302" s="586"/>
      <c r="J1302" s="586"/>
      <c r="K1302" s="586"/>
      <c r="L1302" s="591"/>
      <c r="M1302" s="592"/>
      <c r="N1302" s="588"/>
    </row>
    <row r="1303" spans="2:14">
      <c r="B1303" s="590"/>
      <c r="C1303" s="590"/>
      <c r="D1303" s="586"/>
      <c r="E1303" s="586"/>
      <c r="F1303" s="586"/>
      <c r="G1303" s="586"/>
      <c r="H1303" s="586"/>
      <c r="I1303" s="586"/>
      <c r="J1303" s="586"/>
      <c r="K1303" s="586"/>
      <c r="L1303" s="591"/>
      <c r="M1303" s="592"/>
      <c r="N1303" s="588"/>
    </row>
    <row r="1304" spans="2:14">
      <c r="B1304" s="590"/>
      <c r="C1304" s="590"/>
      <c r="D1304" s="586"/>
      <c r="E1304" s="586"/>
      <c r="F1304" s="586"/>
      <c r="G1304" s="586"/>
      <c r="H1304" s="586"/>
      <c r="I1304" s="586"/>
      <c r="J1304" s="586"/>
      <c r="K1304" s="586"/>
      <c r="L1304" s="591"/>
      <c r="M1304" s="592"/>
      <c r="N1304" s="588"/>
    </row>
    <row r="1305" spans="2:14">
      <c r="B1305" s="590"/>
      <c r="C1305" s="590"/>
      <c r="D1305" s="586"/>
      <c r="E1305" s="586"/>
      <c r="F1305" s="586"/>
      <c r="G1305" s="586"/>
      <c r="H1305" s="586"/>
      <c r="I1305" s="586"/>
      <c r="J1305" s="586"/>
      <c r="K1305" s="586"/>
      <c r="L1305" s="591"/>
      <c r="M1305" s="592"/>
      <c r="N1305" s="588"/>
    </row>
    <row r="1306" spans="2:14">
      <c r="B1306" s="590"/>
      <c r="C1306" s="590"/>
      <c r="D1306" s="586"/>
      <c r="E1306" s="586"/>
      <c r="F1306" s="586"/>
      <c r="G1306" s="586"/>
      <c r="H1306" s="586"/>
      <c r="I1306" s="586"/>
      <c r="J1306" s="586"/>
      <c r="K1306" s="586"/>
      <c r="L1306" s="591"/>
      <c r="M1306" s="592"/>
      <c r="N1306" s="588"/>
    </row>
    <row r="1307" spans="2:14">
      <c r="B1307" s="590"/>
      <c r="C1307" s="590"/>
      <c r="D1307" s="586"/>
      <c r="E1307" s="586"/>
      <c r="F1307" s="586"/>
      <c r="G1307" s="586"/>
      <c r="H1307" s="586"/>
      <c r="I1307" s="586"/>
      <c r="J1307" s="586"/>
      <c r="K1307" s="586"/>
      <c r="L1307" s="591"/>
      <c r="M1307" s="592"/>
      <c r="N1307" s="588"/>
    </row>
    <row r="1308" spans="2:14">
      <c r="B1308" s="590"/>
      <c r="C1308" s="590"/>
      <c r="D1308" s="586"/>
      <c r="E1308" s="586"/>
      <c r="F1308" s="586"/>
      <c r="G1308" s="586"/>
      <c r="H1308" s="586"/>
      <c r="I1308" s="586"/>
      <c r="J1308" s="586"/>
      <c r="K1308" s="586"/>
      <c r="L1308" s="591"/>
      <c r="M1308" s="592"/>
      <c r="N1308" s="588"/>
    </row>
    <row r="1309" spans="2:14">
      <c r="B1309" s="590"/>
      <c r="C1309" s="590"/>
      <c r="D1309" s="586"/>
      <c r="E1309" s="586"/>
      <c r="F1309" s="586"/>
      <c r="G1309" s="586"/>
      <c r="H1309" s="586"/>
      <c r="I1309" s="586"/>
      <c r="J1309" s="586"/>
      <c r="K1309" s="586"/>
      <c r="L1309" s="591"/>
      <c r="M1309" s="592"/>
      <c r="N1309" s="588"/>
    </row>
    <row r="1310" spans="2:14">
      <c r="B1310" s="590"/>
      <c r="C1310" s="590"/>
      <c r="D1310" s="586"/>
      <c r="E1310" s="586"/>
      <c r="F1310" s="586"/>
      <c r="G1310" s="586"/>
      <c r="H1310" s="586"/>
      <c r="I1310" s="586"/>
      <c r="J1310" s="586"/>
      <c r="K1310" s="586"/>
      <c r="L1310" s="591"/>
      <c r="M1310" s="592"/>
      <c r="N1310" s="588"/>
    </row>
    <row r="1311" spans="2:14">
      <c r="B1311" s="590"/>
      <c r="C1311" s="590"/>
      <c r="D1311" s="586"/>
      <c r="E1311" s="586"/>
      <c r="F1311" s="586"/>
      <c r="G1311" s="586"/>
      <c r="H1311" s="586"/>
      <c r="I1311" s="586"/>
      <c r="J1311" s="586"/>
      <c r="K1311" s="586"/>
      <c r="L1311" s="591"/>
      <c r="M1311" s="592"/>
      <c r="N1311" s="588"/>
    </row>
    <row r="1312" spans="2:14">
      <c r="B1312" s="590"/>
      <c r="C1312" s="590"/>
      <c r="D1312" s="586"/>
      <c r="E1312" s="586"/>
      <c r="F1312" s="586"/>
      <c r="G1312" s="586"/>
      <c r="H1312" s="586"/>
      <c r="I1312" s="586"/>
      <c r="J1312" s="586"/>
      <c r="K1312" s="586"/>
      <c r="L1312" s="591"/>
      <c r="M1312" s="592"/>
      <c r="N1312" s="588"/>
    </row>
    <row r="1313" spans="2:14">
      <c r="B1313" s="590"/>
      <c r="C1313" s="590"/>
      <c r="D1313" s="586"/>
      <c r="E1313" s="586"/>
      <c r="F1313" s="586"/>
      <c r="G1313" s="586"/>
      <c r="H1313" s="586"/>
      <c r="I1313" s="586"/>
      <c r="J1313" s="586"/>
      <c r="K1313" s="586"/>
      <c r="L1313" s="591"/>
      <c r="M1313" s="592"/>
      <c r="N1313" s="588"/>
    </row>
    <row r="1314" spans="2:14">
      <c r="B1314" s="590"/>
      <c r="C1314" s="590"/>
      <c r="D1314" s="586"/>
      <c r="E1314" s="586"/>
      <c r="F1314" s="586"/>
      <c r="G1314" s="586"/>
      <c r="H1314" s="586"/>
      <c r="I1314" s="586"/>
      <c r="J1314" s="586"/>
      <c r="K1314" s="586"/>
      <c r="L1314" s="591"/>
      <c r="M1314" s="592"/>
      <c r="N1314" s="588"/>
    </row>
    <row r="1315" spans="2:14">
      <c r="B1315" s="590"/>
      <c r="C1315" s="590"/>
      <c r="D1315" s="586"/>
      <c r="E1315" s="586"/>
      <c r="F1315" s="586"/>
      <c r="G1315" s="586"/>
      <c r="H1315" s="586"/>
      <c r="I1315" s="586"/>
      <c r="J1315" s="586"/>
      <c r="K1315" s="586"/>
      <c r="L1315" s="591"/>
      <c r="M1315" s="592"/>
      <c r="N1315" s="588"/>
    </row>
    <row r="1316" spans="2:14">
      <c r="B1316" s="590"/>
      <c r="C1316" s="590"/>
      <c r="D1316" s="586"/>
      <c r="E1316" s="586"/>
      <c r="F1316" s="586"/>
      <c r="G1316" s="586"/>
      <c r="H1316" s="586"/>
      <c r="I1316" s="586"/>
      <c r="J1316" s="586"/>
      <c r="K1316" s="586"/>
      <c r="L1316" s="591"/>
      <c r="M1316" s="592"/>
      <c r="N1316" s="588"/>
    </row>
    <row r="1317" spans="2:14">
      <c r="B1317" s="590"/>
      <c r="C1317" s="590"/>
      <c r="D1317" s="586"/>
      <c r="E1317" s="586"/>
      <c r="F1317" s="586"/>
      <c r="G1317" s="586"/>
      <c r="H1317" s="586"/>
      <c r="I1317" s="586"/>
      <c r="J1317" s="586"/>
      <c r="K1317" s="586"/>
      <c r="L1317" s="591"/>
      <c r="M1317" s="592"/>
      <c r="N1317" s="588"/>
    </row>
    <row r="1318" spans="2:14">
      <c r="B1318" s="590"/>
      <c r="C1318" s="590"/>
      <c r="D1318" s="586"/>
      <c r="E1318" s="586"/>
      <c r="F1318" s="586"/>
      <c r="G1318" s="586"/>
      <c r="H1318" s="586"/>
      <c r="I1318" s="586"/>
      <c r="J1318" s="586"/>
      <c r="K1318" s="586"/>
      <c r="L1318" s="591"/>
      <c r="M1318" s="592"/>
      <c r="N1318" s="588"/>
    </row>
    <row r="1319" spans="2:14">
      <c r="B1319" s="590"/>
      <c r="C1319" s="590"/>
      <c r="D1319" s="586"/>
      <c r="E1319" s="586"/>
      <c r="F1319" s="586"/>
      <c r="G1319" s="586"/>
      <c r="H1319" s="586"/>
      <c r="I1319" s="586"/>
      <c r="J1319" s="586"/>
      <c r="K1319" s="586"/>
      <c r="L1319" s="591"/>
      <c r="M1319" s="592"/>
      <c r="N1319" s="588"/>
    </row>
    <row r="1320" spans="2:14">
      <c r="B1320" s="590"/>
      <c r="C1320" s="590"/>
      <c r="D1320" s="586"/>
      <c r="E1320" s="586"/>
      <c r="F1320" s="586"/>
      <c r="G1320" s="586"/>
      <c r="H1320" s="586"/>
      <c r="I1320" s="586"/>
      <c r="J1320" s="586"/>
      <c r="K1320" s="586"/>
      <c r="L1320" s="591"/>
      <c r="M1320" s="592"/>
      <c r="N1320" s="588"/>
    </row>
    <row r="1321" spans="2:14">
      <c r="B1321" s="590"/>
      <c r="C1321" s="590"/>
      <c r="D1321" s="586"/>
      <c r="E1321" s="586"/>
      <c r="F1321" s="586"/>
      <c r="G1321" s="586"/>
      <c r="H1321" s="586"/>
      <c r="I1321" s="586"/>
      <c r="J1321" s="586"/>
      <c r="K1321" s="586"/>
      <c r="L1321" s="591"/>
      <c r="M1321" s="592"/>
      <c r="N1321" s="588"/>
    </row>
    <row r="1322" spans="2:14">
      <c r="B1322" s="590"/>
      <c r="C1322" s="590"/>
      <c r="D1322" s="586"/>
      <c r="E1322" s="586"/>
      <c r="F1322" s="586"/>
      <c r="G1322" s="586"/>
      <c r="H1322" s="586"/>
      <c r="I1322" s="586"/>
      <c r="J1322" s="586"/>
      <c r="K1322" s="586"/>
      <c r="L1322" s="591"/>
      <c r="M1322" s="592"/>
      <c r="N1322" s="588"/>
    </row>
    <row r="1323" spans="2:14">
      <c r="B1323" s="590"/>
      <c r="C1323" s="590"/>
      <c r="D1323" s="586"/>
      <c r="E1323" s="586"/>
      <c r="F1323" s="586"/>
      <c r="G1323" s="586"/>
      <c r="H1323" s="586"/>
      <c r="I1323" s="586"/>
      <c r="J1323" s="586"/>
      <c r="K1323" s="586"/>
      <c r="L1323" s="591"/>
      <c r="M1323" s="592"/>
      <c r="N1323" s="588"/>
    </row>
    <row r="1324" spans="2:14">
      <c r="B1324" s="590"/>
      <c r="C1324" s="590"/>
      <c r="D1324" s="586"/>
      <c r="E1324" s="586"/>
      <c r="F1324" s="586"/>
      <c r="G1324" s="586"/>
      <c r="H1324" s="586"/>
      <c r="I1324" s="586"/>
      <c r="J1324" s="586"/>
      <c r="K1324" s="586"/>
      <c r="L1324" s="591"/>
      <c r="M1324" s="592"/>
      <c r="N1324" s="588"/>
    </row>
    <row r="1325" spans="2:14">
      <c r="B1325" s="590"/>
      <c r="C1325" s="590"/>
      <c r="D1325" s="586"/>
      <c r="E1325" s="586"/>
      <c r="F1325" s="586"/>
      <c r="G1325" s="586"/>
      <c r="H1325" s="586"/>
      <c r="I1325" s="586"/>
      <c r="J1325" s="586"/>
      <c r="K1325" s="586"/>
      <c r="L1325" s="591"/>
      <c r="M1325" s="592"/>
      <c r="N1325" s="588"/>
    </row>
    <row r="1326" spans="2:14">
      <c r="B1326" s="590"/>
      <c r="C1326" s="590"/>
      <c r="D1326" s="586"/>
      <c r="E1326" s="586"/>
      <c r="F1326" s="586"/>
      <c r="G1326" s="586"/>
      <c r="H1326" s="586"/>
      <c r="I1326" s="586"/>
      <c r="J1326" s="586"/>
      <c r="K1326" s="586"/>
      <c r="L1326" s="591"/>
      <c r="M1326" s="592"/>
      <c r="N1326" s="588"/>
    </row>
    <row r="1327" spans="2:14">
      <c r="B1327" s="590"/>
      <c r="C1327" s="590"/>
      <c r="D1327" s="586"/>
      <c r="E1327" s="586"/>
      <c r="F1327" s="586"/>
      <c r="G1327" s="586"/>
      <c r="H1327" s="586"/>
      <c r="I1327" s="586"/>
      <c r="J1327" s="586"/>
      <c r="K1327" s="586"/>
      <c r="L1327" s="591"/>
      <c r="M1327" s="592"/>
      <c r="N1327" s="588"/>
    </row>
    <row r="1328" spans="2:14">
      <c r="B1328" s="590"/>
      <c r="C1328" s="590"/>
      <c r="D1328" s="586"/>
      <c r="E1328" s="586"/>
      <c r="F1328" s="586"/>
      <c r="G1328" s="586"/>
      <c r="H1328" s="586"/>
      <c r="I1328" s="586"/>
      <c r="J1328" s="586"/>
      <c r="K1328" s="586"/>
      <c r="L1328" s="591"/>
      <c r="M1328" s="592"/>
      <c r="N1328" s="588"/>
    </row>
    <row r="1329" spans="2:14">
      <c r="B1329" s="590"/>
      <c r="C1329" s="590"/>
      <c r="D1329" s="586"/>
      <c r="E1329" s="586"/>
      <c r="F1329" s="586"/>
      <c r="G1329" s="586"/>
      <c r="H1329" s="586"/>
      <c r="I1329" s="586"/>
      <c r="J1329" s="586"/>
      <c r="K1329" s="586"/>
      <c r="L1329" s="591"/>
      <c r="M1329" s="592"/>
      <c r="N1329" s="588"/>
    </row>
    <row r="1330" spans="2:14">
      <c r="B1330" s="590"/>
      <c r="C1330" s="590"/>
      <c r="D1330" s="586"/>
      <c r="E1330" s="586"/>
      <c r="F1330" s="586"/>
      <c r="G1330" s="586"/>
      <c r="H1330" s="586"/>
      <c r="I1330" s="586"/>
      <c r="J1330" s="586"/>
      <c r="K1330" s="586"/>
      <c r="L1330" s="591"/>
      <c r="M1330" s="592"/>
      <c r="N1330" s="588"/>
    </row>
    <row r="1331" spans="2:14">
      <c r="B1331" s="590"/>
      <c r="C1331" s="590"/>
      <c r="D1331" s="586"/>
      <c r="E1331" s="586"/>
      <c r="F1331" s="586"/>
      <c r="G1331" s="586"/>
      <c r="H1331" s="586"/>
      <c r="I1331" s="586"/>
      <c r="J1331" s="586"/>
      <c r="K1331" s="586"/>
      <c r="L1331" s="591"/>
      <c r="M1331" s="592"/>
      <c r="N1331" s="588"/>
    </row>
    <row r="1332" spans="2:14">
      <c r="B1332" s="590"/>
      <c r="C1332" s="590"/>
      <c r="D1332" s="586"/>
      <c r="E1332" s="586"/>
      <c r="F1332" s="586"/>
      <c r="G1332" s="586"/>
      <c r="H1332" s="586"/>
      <c r="I1332" s="586"/>
      <c r="J1332" s="586"/>
      <c r="K1332" s="586"/>
      <c r="L1332" s="591"/>
      <c r="M1332" s="592"/>
      <c r="N1332" s="588"/>
    </row>
    <row r="1333" spans="2:14">
      <c r="B1333" s="590"/>
      <c r="C1333" s="590"/>
      <c r="D1333" s="586"/>
      <c r="E1333" s="586"/>
      <c r="F1333" s="586"/>
      <c r="G1333" s="586"/>
      <c r="H1333" s="586"/>
      <c r="I1333" s="586"/>
      <c r="J1333" s="586"/>
      <c r="K1333" s="586"/>
      <c r="L1333" s="591"/>
      <c r="M1333" s="592"/>
      <c r="N1333" s="588"/>
    </row>
    <row r="1334" spans="2:14">
      <c r="B1334" s="590"/>
      <c r="C1334" s="590"/>
      <c r="D1334" s="586"/>
      <c r="E1334" s="586"/>
      <c r="F1334" s="586"/>
      <c r="G1334" s="586"/>
      <c r="H1334" s="586"/>
      <c r="I1334" s="586"/>
      <c r="J1334" s="586"/>
      <c r="K1334" s="586"/>
      <c r="L1334" s="591"/>
      <c r="M1334" s="592"/>
      <c r="N1334" s="588"/>
    </row>
    <row r="1335" spans="2:14">
      <c r="B1335" s="590"/>
      <c r="C1335" s="590"/>
      <c r="D1335" s="586"/>
      <c r="E1335" s="586"/>
      <c r="F1335" s="586"/>
      <c r="G1335" s="586"/>
      <c r="H1335" s="586"/>
      <c r="I1335" s="586"/>
      <c r="J1335" s="586"/>
      <c r="K1335" s="586"/>
      <c r="L1335" s="591"/>
      <c r="M1335" s="592"/>
      <c r="N1335" s="588"/>
    </row>
    <row r="1336" spans="2:14">
      <c r="B1336" s="590"/>
      <c r="C1336" s="590"/>
      <c r="D1336" s="586"/>
      <c r="E1336" s="586"/>
      <c r="F1336" s="586"/>
      <c r="G1336" s="586"/>
      <c r="H1336" s="586"/>
      <c r="I1336" s="586"/>
      <c r="J1336" s="586"/>
      <c r="K1336" s="586"/>
      <c r="L1336" s="591"/>
      <c r="M1336" s="592"/>
      <c r="N1336" s="588"/>
    </row>
    <row r="1337" spans="2:14">
      <c r="B1337" s="590"/>
      <c r="C1337" s="590"/>
      <c r="D1337" s="586"/>
      <c r="E1337" s="586"/>
      <c r="F1337" s="586"/>
      <c r="G1337" s="586"/>
      <c r="H1337" s="586"/>
      <c r="I1337" s="586"/>
      <c r="J1337" s="586"/>
      <c r="K1337" s="586"/>
      <c r="L1337" s="591"/>
      <c r="M1337" s="592"/>
      <c r="N1337" s="588"/>
    </row>
    <row r="1338" spans="2:14">
      <c r="B1338" s="590"/>
      <c r="C1338" s="590"/>
      <c r="D1338" s="586"/>
      <c r="E1338" s="586"/>
      <c r="F1338" s="586"/>
      <c r="G1338" s="586"/>
      <c r="H1338" s="586"/>
      <c r="I1338" s="586"/>
      <c r="J1338" s="586"/>
      <c r="K1338" s="586"/>
      <c r="L1338" s="591"/>
      <c r="M1338" s="592"/>
      <c r="N1338" s="588"/>
    </row>
    <row r="1339" spans="2:14">
      <c r="B1339" s="590"/>
      <c r="C1339" s="590"/>
      <c r="D1339" s="586"/>
      <c r="E1339" s="586"/>
      <c r="F1339" s="586"/>
      <c r="G1339" s="586"/>
      <c r="H1339" s="586"/>
      <c r="I1339" s="586"/>
      <c r="J1339" s="586"/>
      <c r="K1339" s="586"/>
      <c r="L1339" s="591"/>
      <c r="M1339" s="592"/>
      <c r="N1339" s="588"/>
    </row>
    <row r="1340" spans="2:14">
      <c r="B1340" s="590"/>
      <c r="C1340" s="590"/>
      <c r="D1340" s="586"/>
      <c r="E1340" s="586"/>
      <c r="F1340" s="586"/>
      <c r="G1340" s="586"/>
      <c r="H1340" s="586"/>
      <c r="I1340" s="586"/>
      <c r="J1340" s="586"/>
      <c r="K1340" s="586"/>
      <c r="L1340" s="591"/>
      <c r="M1340" s="592"/>
      <c r="N1340" s="588"/>
    </row>
    <row r="1341" spans="2:14">
      <c r="B1341" s="590"/>
      <c r="C1341" s="590"/>
      <c r="D1341" s="586"/>
      <c r="E1341" s="586"/>
      <c r="F1341" s="586"/>
      <c r="G1341" s="586"/>
      <c r="H1341" s="586"/>
      <c r="I1341" s="586"/>
      <c r="J1341" s="586"/>
      <c r="K1341" s="586"/>
      <c r="L1341" s="591"/>
      <c r="M1341" s="592"/>
      <c r="N1341" s="588"/>
    </row>
    <row r="1342" spans="2:14">
      <c r="B1342" s="590"/>
      <c r="C1342" s="590"/>
      <c r="D1342" s="586"/>
      <c r="E1342" s="586"/>
      <c r="F1342" s="586"/>
      <c r="G1342" s="586"/>
      <c r="H1342" s="586"/>
      <c r="I1342" s="586"/>
      <c r="J1342" s="586"/>
      <c r="K1342" s="586"/>
      <c r="L1342" s="591"/>
      <c r="M1342" s="592"/>
      <c r="N1342" s="588"/>
    </row>
    <row r="1343" spans="2:14">
      <c r="B1343" s="590"/>
      <c r="C1343" s="590"/>
      <c r="D1343" s="586"/>
      <c r="E1343" s="586"/>
      <c r="F1343" s="586"/>
      <c r="G1343" s="586"/>
      <c r="H1343" s="586"/>
      <c r="I1343" s="586"/>
      <c r="J1343" s="586"/>
      <c r="K1343" s="586"/>
      <c r="L1343" s="591"/>
      <c r="M1343" s="592"/>
      <c r="N1343" s="588"/>
    </row>
    <row r="1344" spans="2:14">
      <c r="B1344" s="590"/>
      <c r="C1344" s="590"/>
      <c r="D1344" s="586"/>
      <c r="E1344" s="586"/>
      <c r="F1344" s="586"/>
      <c r="G1344" s="586"/>
      <c r="H1344" s="586"/>
      <c r="I1344" s="586"/>
      <c r="J1344" s="586"/>
      <c r="K1344" s="586"/>
      <c r="L1344" s="591"/>
      <c r="M1344" s="592"/>
      <c r="N1344" s="588"/>
    </row>
    <row r="1345" spans="2:14">
      <c r="B1345" s="590"/>
      <c r="C1345" s="590"/>
      <c r="D1345" s="586"/>
      <c r="E1345" s="586"/>
      <c r="F1345" s="586"/>
      <c r="G1345" s="586"/>
      <c r="H1345" s="586"/>
      <c r="I1345" s="586"/>
      <c r="J1345" s="586"/>
      <c r="K1345" s="586"/>
      <c r="L1345" s="591"/>
      <c r="M1345" s="592"/>
      <c r="N1345" s="588"/>
    </row>
    <row r="1346" spans="2:14">
      <c r="B1346" s="590"/>
      <c r="C1346" s="590"/>
      <c r="D1346" s="586"/>
      <c r="E1346" s="586"/>
      <c r="F1346" s="586"/>
      <c r="G1346" s="586"/>
      <c r="H1346" s="586"/>
      <c r="I1346" s="586"/>
      <c r="J1346" s="586"/>
      <c r="K1346" s="586"/>
      <c r="L1346" s="591"/>
      <c r="M1346" s="592"/>
      <c r="N1346" s="588"/>
    </row>
    <row r="1347" spans="2:14">
      <c r="B1347" s="590"/>
      <c r="C1347" s="590"/>
      <c r="D1347" s="586"/>
      <c r="E1347" s="586"/>
      <c r="F1347" s="586"/>
      <c r="G1347" s="586"/>
      <c r="H1347" s="586"/>
      <c r="I1347" s="586"/>
      <c r="J1347" s="586"/>
      <c r="K1347" s="586"/>
      <c r="L1347" s="591"/>
      <c r="M1347" s="592"/>
      <c r="N1347" s="588"/>
    </row>
    <row r="1348" spans="2:14">
      <c r="B1348" s="590"/>
      <c r="C1348" s="590"/>
      <c r="D1348" s="586"/>
      <c r="E1348" s="586"/>
      <c r="F1348" s="586"/>
      <c r="G1348" s="586"/>
      <c r="H1348" s="586"/>
      <c r="I1348" s="586"/>
      <c r="J1348" s="586"/>
      <c r="K1348" s="586"/>
      <c r="L1348" s="591"/>
      <c r="M1348" s="592"/>
      <c r="N1348" s="588"/>
    </row>
    <row r="1349" spans="2:14">
      <c r="B1349" s="590"/>
      <c r="C1349" s="590"/>
      <c r="D1349" s="586"/>
      <c r="E1349" s="586"/>
      <c r="F1349" s="586"/>
      <c r="G1349" s="586"/>
      <c r="H1349" s="586"/>
      <c r="I1349" s="586"/>
      <c r="J1349" s="586"/>
      <c r="K1349" s="586"/>
      <c r="L1349" s="591"/>
      <c r="M1349" s="592"/>
      <c r="N1349" s="588"/>
    </row>
    <row r="1350" spans="2:14">
      <c r="B1350" s="590"/>
      <c r="C1350" s="590"/>
      <c r="D1350" s="586"/>
      <c r="E1350" s="586"/>
      <c r="F1350" s="586"/>
      <c r="G1350" s="586"/>
      <c r="H1350" s="586"/>
      <c r="I1350" s="586"/>
      <c r="J1350" s="586"/>
      <c r="K1350" s="586"/>
      <c r="L1350" s="591"/>
      <c r="M1350" s="592"/>
      <c r="N1350" s="588"/>
    </row>
    <row r="1351" spans="2:14">
      <c r="B1351" s="590"/>
      <c r="C1351" s="590"/>
      <c r="D1351" s="586"/>
      <c r="E1351" s="586"/>
      <c r="F1351" s="586"/>
      <c r="G1351" s="586"/>
      <c r="H1351" s="586"/>
      <c r="I1351" s="586"/>
      <c r="J1351" s="586"/>
      <c r="K1351" s="586"/>
      <c r="L1351" s="591"/>
      <c r="M1351" s="592"/>
      <c r="N1351" s="588"/>
    </row>
    <row r="1352" spans="2:14">
      <c r="B1352" s="590"/>
      <c r="C1352" s="590"/>
      <c r="D1352" s="586"/>
      <c r="E1352" s="586"/>
      <c r="F1352" s="586"/>
      <c r="G1352" s="586"/>
      <c r="H1352" s="586"/>
      <c r="I1352" s="586"/>
      <c r="J1352" s="586"/>
      <c r="K1352" s="586"/>
      <c r="L1352" s="591"/>
      <c r="M1352" s="592"/>
      <c r="N1352" s="588"/>
    </row>
    <row r="1353" spans="2:14">
      <c r="B1353" s="590"/>
      <c r="C1353" s="590"/>
      <c r="D1353" s="586"/>
      <c r="E1353" s="586"/>
      <c r="F1353" s="586"/>
      <c r="G1353" s="586"/>
      <c r="H1353" s="586"/>
      <c r="I1353" s="586"/>
      <c r="J1353" s="586"/>
      <c r="K1353" s="586"/>
      <c r="L1353" s="591"/>
      <c r="M1353" s="592"/>
      <c r="N1353" s="588"/>
    </row>
    <row r="1354" spans="2:14">
      <c r="B1354" s="590"/>
      <c r="C1354" s="590"/>
      <c r="D1354" s="586"/>
      <c r="E1354" s="586"/>
      <c r="F1354" s="586"/>
      <c r="G1354" s="586"/>
      <c r="H1354" s="586"/>
      <c r="I1354" s="586"/>
      <c r="J1354" s="586"/>
      <c r="K1354" s="586"/>
      <c r="L1354" s="591"/>
      <c r="M1354" s="592"/>
      <c r="N1354" s="588"/>
    </row>
    <row r="1355" spans="2:14">
      <c r="B1355" s="590"/>
      <c r="C1355" s="590"/>
      <c r="D1355" s="586"/>
      <c r="E1355" s="586"/>
      <c r="F1355" s="586"/>
      <c r="G1355" s="586"/>
      <c r="H1355" s="586"/>
      <c r="I1355" s="586"/>
      <c r="J1355" s="586"/>
      <c r="K1355" s="586"/>
      <c r="L1355" s="591"/>
      <c r="M1355" s="592"/>
      <c r="N1355" s="588"/>
    </row>
    <row r="1356" spans="2:14">
      <c r="B1356" s="590"/>
      <c r="C1356" s="590"/>
      <c r="D1356" s="586"/>
      <c r="E1356" s="586"/>
      <c r="F1356" s="586"/>
      <c r="G1356" s="586"/>
      <c r="H1356" s="586"/>
      <c r="I1356" s="586"/>
      <c r="J1356" s="586"/>
      <c r="K1356" s="586"/>
      <c r="L1356" s="591"/>
      <c r="M1356" s="592"/>
      <c r="N1356" s="588"/>
    </row>
    <row r="1357" spans="2:14">
      <c r="B1357" s="590"/>
      <c r="C1357" s="590"/>
      <c r="D1357" s="586"/>
      <c r="E1357" s="586"/>
      <c r="F1357" s="586"/>
      <c r="G1357" s="586"/>
      <c r="H1357" s="586"/>
      <c r="I1357" s="586"/>
      <c r="J1357" s="586"/>
      <c r="K1357" s="586"/>
      <c r="L1357" s="591"/>
      <c r="M1357" s="592"/>
      <c r="N1357" s="588"/>
    </row>
    <row r="1358" spans="2:14">
      <c r="B1358" s="590"/>
      <c r="C1358" s="590"/>
      <c r="D1358" s="586"/>
      <c r="E1358" s="586"/>
      <c r="F1358" s="586"/>
      <c r="G1358" s="586"/>
      <c r="H1358" s="586"/>
      <c r="I1358" s="586"/>
      <c r="J1358" s="586"/>
      <c r="K1358" s="586"/>
      <c r="L1358" s="591"/>
      <c r="M1358" s="592"/>
      <c r="N1358" s="588"/>
    </row>
    <row r="1359" spans="2:14">
      <c r="B1359" s="590"/>
      <c r="C1359" s="590"/>
      <c r="D1359" s="586"/>
      <c r="E1359" s="586"/>
      <c r="F1359" s="586"/>
      <c r="G1359" s="586"/>
      <c r="H1359" s="586"/>
      <c r="I1359" s="586"/>
      <c r="J1359" s="586"/>
      <c r="K1359" s="586"/>
      <c r="L1359" s="591"/>
      <c r="M1359" s="592"/>
      <c r="N1359" s="588"/>
    </row>
    <row r="1360" spans="2:14">
      <c r="B1360" s="590"/>
      <c r="C1360" s="590"/>
      <c r="D1360" s="586"/>
      <c r="E1360" s="586"/>
      <c r="F1360" s="586"/>
      <c r="G1360" s="586"/>
      <c r="H1360" s="586"/>
      <c r="I1360" s="586"/>
      <c r="J1360" s="586"/>
      <c r="K1360" s="586"/>
      <c r="L1360" s="591"/>
      <c r="M1360" s="592"/>
      <c r="N1360" s="588"/>
    </row>
    <row r="1361" spans="2:14">
      <c r="B1361" s="590"/>
      <c r="C1361" s="590"/>
      <c r="D1361" s="586"/>
      <c r="E1361" s="586"/>
      <c r="F1361" s="586"/>
      <c r="G1361" s="586"/>
      <c r="H1361" s="586"/>
      <c r="I1361" s="586"/>
      <c r="J1361" s="586"/>
      <c r="K1361" s="586"/>
      <c r="L1361" s="591"/>
      <c r="M1361" s="592"/>
      <c r="N1361" s="588"/>
    </row>
    <row r="1362" spans="2:14">
      <c r="B1362" s="590"/>
      <c r="C1362" s="590"/>
      <c r="D1362" s="586"/>
      <c r="E1362" s="586"/>
      <c r="F1362" s="586"/>
      <c r="G1362" s="586"/>
      <c r="H1362" s="586"/>
      <c r="I1362" s="586"/>
      <c r="J1362" s="586"/>
      <c r="K1362" s="586"/>
      <c r="L1362" s="591"/>
      <c r="M1362" s="592"/>
      <c r="N1362" s="588"/>
    </row>
    <row r="1363" spans="2:14">
      <c r="B1363" s="590"/>
      <c r="C1363" s="590"/>
      <c r="D1363" s="586"/>
      <c r="E1363" s="586"/>
      <c r="F1363" s="586"/>
      <c r="G1363" s="586"/>
      <c r="H1363" s="586"/>
      <c r="I1363" s="586"/>
      <c r="J1363" s="586"/>
      <c r="K1363" s="586"/>
      <c r="L1363" s="591"/>
      <c r="M1363" s="592"/>
      <c r="N1363" s="588"/>
    </row>
    <row r="1364" spans="2:14">
      <c r="B1364" s="590"/>
      <c r="C1364" s="590"/>
      <c r="D1364" s="586"/>
      <c r="E1364" s="586"/>
      <c r="F1364" s="586"/>
      <c r="G1364" s="586"/>
      <c r="H1364" s="586"/>
      <c r="I1364" s="586"/>
      <c r="J1364" s="586"/>
      <c r="K1364" s="586"/>
      <c r="L1364" s="591"/>
      <c r="M1364" s="592"/>
      <c r="N1364" s="588"/>
    </row>
    <row r="1365" spans="2:14">
      <c r="B1365" s="590"/>
      <c r="C1365" s="590"/>
      <c r="D1365" s="586"/>
      <c r="E1365" s="586"/>
      <c r="F1365" s="586"/>
      <c r="G1365" s="586"/>
      <c r="H1365" s="586"/>
      <c r="I1365" s="586"/>
      <c r="J1365" s="586"/>
      <c r="K1365" s="586"/>
      <c r="L1365" s="591"/>
      <c r="M1365" s="592"/>
      <c r="N1365" s="588"/>
    </row>
    <row r="1366" spans="2:14">
      <c r="B1366" s="590"/>
      <c r="C1366" s="590"/>
      <c r="D1366" s="586"/>
      <c r="E1366" s="586"/>
      <c r="F1366" s="586"/>
      <c r="G1366" s="586"/>
      <c r="H1366" s="586"/>
      <c r="I1366" s="586"/>
      <c r="J1366" s="586"/>
      <c r="K1366" s="586"/>
      <c r="L1366" s="591"/>
      <c r="M1366" s="592"/>
      <c r="N1366" s="588"/>
    </row>
    <row r="1367" spans="2:14">
      <c r="B1367" s="590"/>
      <c r="C1367" s="590"/>
      <c r="D1367" s="586"/>
      <c r="E1367" s="586"/>
      <c r="F1367" s="586"/>
      <c r="G1367" s="586"/>
      <c r="H1367" s="586"/>
      <c r="I1367" s="586"/>
      <c r="J1367" s="586"/>
      <c r="K1367" s="586"/>
      <c r="L1367" s="591"/>
      <c r="M1367" s="592"/>
      <c r="N1367" s="588"/>
    </row>
    <row r="1368" spans="2:14">
      <c r="B1368" s="590"/>
      <c r="C1368" s="590"/>
      <c r="D1368" s="586"/>
      <c r="E1368" s="586"/>
      <c r="F1368" s="586"/>
      <c r="G1368" s="586"/>
      <c r="H1368" s="586"/>
      <c r="I1368" s="586"/>
      <c r="J1368" s="586"/>
      <c r="K1368" s="586"/>
      <c r="L1368" s="591"/>
      <c r="M1368" s="592"/>
      <c r="N1368" s="588"/>
    </row>
    <row r="1369" spans="2:14">
      <c r="B1369" s="590"/>
      <c r="C1369" s="590"/>
      <c r="D1369" s="586"/>
      <c r="E1369" s="586"/>
      <c r="F1369" s="586"/>
      <c r="G1369" s="586"/>
      <c r="H1369" s="586"/>
      <c r="I1369" s="586"/>
      <c r="J1369" s="586"/>
      <c r="K1369" s="586"/>
      <c r="L1369" s="591"/>
      <c r="M1369" s="592"/>
      <c r="N1369" s="588"/>
    </row>
    <row r="1370" spans="2:14">
      <c r="B1370" s="590"/>
      <c r="C1370" s="590"/>
      <c r="D1370" s="586"/>
      <c r="E1370" s="586"/>
      <c r="F1370" s="586"/>
      <c r="G1370" s="586"/>
      <c r="H1370" s="586"/>
      <c r="I1370" s="586"/>
      <c r="J1370" s="586"/>
      <c r="K1370" s="586"/>
      <c r="L1370" s="591"/>
      <c r="M1370" s="592"/>
      <c r="N1370" s="588"/>
    </row>
    <row r="1371" spans="2:14">
      <c r="B1371" s="590"/>
      <c r="C1371" s="590"/>
      <c r="D1371" s="586"/>
      <c r="E1371" s="586"/>
      <c r="F1371" s="586"/>
      <c r="G1371" s="586"/>
      <c r="H1371" s="586"/>
      <c r="I1371" s="586"/>
      <c r="J1371" s="586"/>
      <c r="K1371" s="586"/>
      <c r="L1371" s="591"/>
      <c r="M1371" s="592"/>
      <c r="N1371" s="588"/>
    </row>
    <row r="1372" spans="2:14">
      <c r="B1372" s="590"/>
      <c r="C1372" s="590"/>
      <c r="D1372" s="586"/>
      <c r="E1372" s="586"/>
      <c r="F1372" s="586"/>
      <c r="G1372" s="586"/>
      <c r="H1372" s="586"/>
      <c r="I1372" s="586"/>
      <c r="J1372" s="586"/>
      <c r="K1372" s="586"/>
      <c r="L1372" s="591"/>
      <c r="M1372" s="592"/>
      <c r="N1372" s="588"/>
    </row>
    <row r="1373" spans="2:14">
      <c r="B1373" s="590"/>
      <c r="C1373" s="590"/>
      <c r="D1373" s="586"/>
      <c r="E1373" s="586"/>
      <c r="F1373" s="586"/>
      <c r="G1373" s="586"/>
      <c r="H1373" s="586"/>
      <c r="I1373" s="586"/>
      <c r="J1373" s="586"/>
      <c r="K1373" s="586"/>
      <c r="L1373" s="591"/>
      <c r="M1373" s="592"/>
      <c r="N1373" s="588"/>
    </row>
    <row r="1374" spans="2:14">
      <c r="B1374" s="590"/>
      <c r="C1374" s="590"/>
      <c r="D1374" s="586"/>
      <c r="E1374" s="586"/>
      <c r="F1374" s="586"/>
      <c r="G1374" s="586"/>
      <c r="H1374" s="586"/>
      <c r="I1374" s="586"/>
      <c r="J1374" s="586"/>
      <c r="K1374" s="586"/>
      <c r="L1374" s="591"/>
      <c r="M1374" s="592"/>
      <c r="N1374" s="588"/>
    </row>
    <row r="1375" spans="2:14">
      <c r="B1375" s="590"/>
      <c r="C1375" s="590"/>
      <c r="D1375" s="586"/>
      <c r="E1375" s="586"/>
      <c r="F1375" s="586"/>
      <c r="G1375" s="586"/>
      <c r="H1375" s="586"/>
      <c r="I1375" s="586"/>
      <c r="J1375" s="586"/>
      <c r="K1375" s="586"/>
      <c r="L1375" s="591"/>
      <c r="M1375" s="592"/>
      <c r="N1375" s="588"/>
    </row>
    <row r="1376" spans="2:14">
      <c r="B1376" s="590"/>
      <c r="C1376" s="590"/>
      <c r="D1376" s="586"/>
      <c r="E1376" s="586"/>
      <c r="F1376" s="586"/>
      <c r="G1376" s="586"/>
      <c r="H1376" s="586"/>
      <c r="I1376" s="586"/>
      <c r="J1376" s="586"/>
      <c r="K1376" s="586"/>
      <c r="L1376" s="591"/>
      <c r="M1376" s="592"/>
      <c r="N1376" s="588"/>
    </row>
    <row r="1377" spans="2:14">
      <c r="B1377" s="590"/>
      <c r="C1377" s="590"/>
      <c r="D1377" s="586"/>
      <c r="E1377" s="586"/>
      <c r="F1377" s="586"/>
      <c r="G1377" s="586"/>
      <c r="H1377" s="586"/>
      <c r="I1377" s="586"/>
      <c r="J1377" s="586"/>
      <c r="K1377" s="586"/>
      <c r="L1377" s="591"/>
      <c r="M1377" s="592"/>
      <c r="N1377" s="588"/>
    </row>
    <row r="1378" spans="2:14">
      <c r="B1378" s="590"/>
      <c r="C1378" s="590"/>
      <c r="D1378" s="586"/>
      <c r="E1378" s="586"/>
      <c r="F1378" s="586"/>
      <c r="G1378" s="586"/>
      <c r="H1378" s="586"/>
      <c r="I1378" s="586"/>
      <c r="J1378" s="586"/>
      <c r="K1378" s="586"/>
      <c r="L1378" s="591"/>
      <c r="M1378" s="592"/>
      <c r="N1378" s="588"/>
    </row>
    <row r="1379" spans="2:14">
      <c r="B1379" s="590"/>
      <c r="C1379" s="590"/>
      <c r="D1379" s="586"/>
      <c r="E1379" s="586"/>
      <c r="F1379" s="586"/>
      <c r="G1379" s="586"/>
      <c r="H1379" s="586"/>
      <c r="I1379" s="586"/>
      <c r="J1379" s="586"/>
      <c r="K1379" s="586"/>
      <c r="L1379" s="591"/>
      <c r="M1379" s="592"/>
      <c r="N1379" s="588"/>
    </row>
    <row r="1380" spans="2:14">
      <c r="B1380" s="590"/>
      <c r="C1380" s="590"/>
      <c r="D1380" s="586"/>
      <c r="E1380" s="586"/>
      <c r="F1380" s="586"/>
      <c r="G1380" s="586"/>
      <c r="H1380" s="586"/>
      <c r="I1380" s="586"/>
      <c r="J1380" s="586"/>
      <c r="K1380" s="586"/>
      <c r="L1380" s="591"/>
      <c r="M1380" s="592"/>
      <c r="N1380" s="588"/>
    </row>
    <row r="1381" spans="2:14">
      <c r="B1381" s="590"/>
      <c r="C1381" s="590"/>
      <c r="D1381" s="586"/>
      <c r="E1381" s="586"/>
      <c r="F1381" s="586"/>
      <c r="G1381" s="586"/>
      <c r="H1381" s="586"/>
      <c r="I1381" s="586"/>
      <c r="J1381" s="586"/>
      <c r="K1381" s="586"/>
      <c r="L1381" s="591"/>
      <c r="M1381" s="592"/>
      <c r="N1381" s="588"/>
    </row>
    <row r="1382" spans="2:14">
      <c r="B1382" s="590"/>
      <c r="C1382" s="590"/>
      <c r="D1382" s="586"/>
      <c r="E1382" s="586"/>
      <c r="F1382" s="586"/>
      <c r="G1382" s="586"/>
      <c r="H1382" s="586"/>
      <c r="I1382" s="586"/>
      <c r="J1382" s="586"/>
      <c r="K1382" s="586"/>
      <c r="L1382" s="591"/>
      <c r="M1382" s="592"/>
      <c r="N1382" s="588"/>
    </row>
    <row r="1383" spans="2:14">
      <c r="B1383" s="590"/>
      <c r="C1383" s="590"/>
      <c r="D1383" s="586"/>
      <c r="E1383" s="586"/>
      <c r="F1383" s="586"/>
      <c r="G1383" s="586"/>
      <c r="H1383" s="586"/>
      <c r="I1383" s="586"/>
      <c r="J1383" s="586"/>
      <c r="K1383" s="586"/>
      <c r="L1383" s="591"/>
      <c r="M1383" s="592"/>
      <c r="N1383" s="588"/>
    </row>
    <row r="1384" spans="2:14">
      <c r="B1384" s="590"/>
      <c r="C1384" s="590"/>
      <c r="D1384" s="586"/>
      <c r="E1384" s="586"/>
      <c r="F1384" s="586"/>
      <c r="G1384" s="586"/>
      <c r="H1384" s="586"/>
      <c r="I1384" s="586"/>
      <c r="J1384" s="586"/>
      <c r="K1384" s="586"/>
      <c r="L1384" s="591"/>
      <c r="M1384" s="592"/>
      <c r="N1384" s="588"/>
    </row>
    <row r="1385" spans="2:14">
      <c r="B1385" s="590"/>
      <c r="C1385" s="590"/>
      <c r="D1385" s="586"/>
      <c r="E1385" s="586"/>
      <c r="F1385" s="586"/>
      <c r="G1385" s="586"/>
      <c r="H1385" s="586"/>
      <c r="I1385" s="586"/>
      <c r="J1385" s="586"/>
      <c r="K1385" s="586"/>
      <c r="L1385" s="591"/>
      <c r="M1385" s="592"/>
      <c r="N1385" s="588"/>
    </row>
    <row r="1386" spans="2:14">
      <c r="B1386" s="590"/>
      <c r="C1386" s="590"/>
      <c r="D1386" s="586"/>
      <c r="E1386" s="586"/>
      <c r="F1386" s="586"/>
      <c r="G1386" s="586"/>
      <c r="H1386" s="586"/>
      <c r="I1386" s="586"/>
      <c r="J1386" s="586"/>
      <c r="K1386" s="586"/>
      <c r="L1386" s="591"/>
      <c r="M1386" s="592"/>
      <c r="N1386" s="588"/>
    </row>
    <row r="1387" spans="2:14">
      <c r="B1387" s="590"/>
      <c r="C1387" s="590"/>
      <c r="D1387" s="586"/>
      <c r="E1387" s="586"/>
      <c r="F1387" s="586"/>
      <c r="G1387" s="586"/>
      <c r="H1387" s="586"/>
      <c r="I1387" s="586"/>
      <c r="J1387" s="586"/>
      <c r="K1387" s="586"/>
      <c r="L1387" s="591"/>
      <c r="M1387" s="592"/>
      <c r="N1387" s="588"/>
    </row>
    <row r="1388" spans="2:14">
      <c r="B1388" s="590"/>
      <c r="C1388" s="590"/>
      <c r="D1388" s="586"/>
      <c r="E1388" s="586"/>
      <c r="F1388" s="586"/>
      <c r="G1388" s="586"/>
      <c r="H1388" s="586"/>
      <c r="I1388" s="586"/>
      <c r="J1388" s="586"/>
      <c r="K1388" s="586"/>
      <c r="L1388" s="591"/>
      <c r="M1388" s="592"/>
      <c r="N1388" s="588"/>
    </row>
    <row r="1389" spans="2:14">
      <c r="B1389" s="590"/>
      <c r="C1389" s="590"/>
      <c r="D1389" s="586"/>
      <c r="E1389" s="586"/>
      <c r="F1389" s="586"/>
      <c r="G1389" s="586"/>
      <c r="H1389" s="586"/>
      <c r="I1389" s="586"/>
      <c r="J1389" s="586"/>
      <c r="K1389" s="586"/>
      <c r="L1389" s="591"/>
      <c r="M1389" s="592"/>
      <c r="N1389" s="588"/>
    </row>
    <row r="1390" spans="2:14">
      <c r="B1390" s="590"/>
      <c r="C1390" s="590"/>
      <c r="D1390" s="586"/>
      <c r="E1390" s="586"/>
      <c r="F1390" s="586"/>
      <c r="G1390" s="586"/>
      <c r="H1390" s="586"/>
      <c r="I1390" s="586"/>
      <c r="J1390" s="586"/>
      <c r="K1390" s="586"/>
      <c r="L1390" s="591"/>
      <c r="M1390" s="592"/>
      <c r="N1390" s="588"/>
    </row>
    <row r="1391" spans="2:14">
      <c r="B1391" s="590"/>
      <c r="C1391" s="590"/>
      <c r="D1391" s="586"/>
      <c r="E1391" s="586"/>
      <c r="F1391" s="586"/>
      <c r="G1391" s="586"/>
      <c r="H1391" s="586"/>
      <c r="I1391" s="586"/>
      <c r="J1391" s="586"/>
      <c r="K1391" s="586"/>
      <c r="L1391" s="591"/>
      <c r="M1391" s="592"/>
      <c r="N1391" s="588"/>
    </row>
    <row r="1392" spans="2:14">
      <c r="B1392" s="590"/>
      <c r="C1392" s="590"/>
      <c r="D1392" s="586"/>
      <c r="E1392" s="586"/>
      <c r="F1392" s="586"/>
      <c r="G1392" s="586"/>
      <c r="H1392" s="586"/>
      <c r="I1392" s="586"/>
      <c r="J1392" s="586"/>
      <c r="K1392" s="586"/>
      <c r="L1392" s="591"/>
      <c r="M1392" s="592"/>
      <c r="N1392" s="588"/>
    </row>
    <row r="1393" spans="2:14">
      <c r="B1393" s="590"/>
      <c r="C1393" s="590"/>
      <c r="D1393" s="586"/>
      <c r="E1393" s="586"/>
      <c r="F1393" s="586"/>
      <c r="G1393" s="586"/>
      <c r="H1393" s="586"/>
      <c r="I1393" s="586"/>
      <c r="J1393" s="586"/>
      <c r="K1393" s="586"/>
      <c r="L1393" s="591"/>
      <c r="M1393" s="592"/>
      <c r="N1393" s="588"/>
    </row>
    <row r="1394" spans="2:14">
      <c r="B1394" s="590"/>
      <c r="C1394" s="590"/>
      <c r="D1394" s="586"/>
      <c r="E1394" s="586"/>
      <c r="F1394" s="586"/>
      <c r="G1394" s="586"/>
      <c r="H1394" s="586"/>
      <c r="I1394" s="586"/>
      <c r="J1394" s="586"/>
      <c r="K1394" s="586"/>
      <c r="L1394" s="591"/>
      <c r="M1394" s="592"/>
      <c r="N1394" s="588"/>
    </row>
    <row r="1395" spans="2:14">
      <c r="B1395" s="590"/>
      <c r="C1395" s="590"/>
      <c r="D1395" s="586"/>
      <c r="E1395" s="586"/>
      <c r="F1395" s="586"/>
      <c r="G1395" s="586"/>
      <c r="H1395" s="586"/>
      <c r="I1395" s="586"/>
      <c r="J1395" s="586"/>
      <c r="K1395" s="586"/>
      <c r="L1395" s="591"/>
      <c r="M1395" s="592"/>
      <c r="N1395" s="588"/>
    </row>
    <row r="1396" spans="2:14">
      <c r="B1396" s="590"/>
      <c r="C1396" s="590"/>
      <c r="D1396" s="586"/>
      <c r="E1396" s="586"/>
      <c r="F1396" s="586"/>
      <c r="G1396" s="586"/>
      <c r="H1396" s="586"/>
      <c r="I1396" s="586"/>
      <c r="J1396" s="586"/>
      <c r="K1396" s="586"/>
      <c r="L1396" s="591"/>
      <c r="M1396" s="592"/>
      <c r="N1396" s="588"/>
    </row>
    <row r="1397" spans="2:14">
      <c r="B1397" s="590"/>
      <c r="C1397" s="590"/>
      <c r="D1397" s="586"/>
      <c r="E1397" s="586"/>
      <c r="F1397" s="586"/>
      <c r="G1397" s="586"/>
      <c r="H1397" s="586"/>
      <c r="I1397" s="586"/>
      <c r="J1397" s="586"/>
      <c r="K1397" s="586"/>
      <c r="L1397" s="591"/>
      <c r="M1397" s="592"/>
      <c r="N1397" s="588"/>
    </row>
    <row r="1398" spans="2:14">
      <c r="B1398" s="590"/>
      <c r="C1398" s="590"/>
      <c r="D1398" s="586"/>
      <c r="E1398" s="586"/>
      <c r="F1398" s="586"/>
      <c r="G1398" s="586"/>
      <c r="H1398" s="586"/>
      <c r="I1398" s="586"/>
      <c r="J1398" s="586"/>
      <c r="K1398" s="586"/>
      <c r="L1398" s="591"/>
      <c r="M1398" s="592"/>
      <c r="N1398" s="588"/>
    </row>
    <row r="1399" spans="2:14">
      <c r="B1399" s="590"/>
      <c r="C1399" s="590"/>
      <c r="D1399" s="586"/>
      <c r="E1399" s="586"/>
      <c r="F1399" s="586"/>
      <c r="G1399" s="586"/>
      <c r="H1399" s="586"/>
      <c r="I1399" s="586"/>
      <c r="J1399" s="586"/>
      <c r="K1399" s="586"/>
      <c r="L1399" s="591"/>
      <c r="M1399" s="592"/>
      <c r="N1399" s="588"/>
    </row>
    <row r="1400" spans="2:14">
      <c r="B1400" s="590"/>
      <c r="C1400" s="590"/>
      <c r="D1400" s="586"/>
      <c r="E1400" s="586"/>
      <c r="F1400" s="586"/>
      <c r="G1400" s="586"/>
      <c r="H1400" s="586"/>
      <c r="I1400" s="586"/>
      <c r="J1400" s="586"/>
      <c r="K1400" s="586"/>
      <c r="L1400" s="591"/>
      <c r="M1400" s="592"/>
      <c r="N1400" s="588"/>
    </row>
    <row r="1401" spans="2:14">
      <c r="B1401" s="590"/>
      <c r="C1401" s="590"/>
      <c r="D1401" s="586"/>
      <c r="E1401" s="586"/>
      <c r="F1401" s="586"/>
      <c r="G1401" s="586"/>
      <c r="H1401" s="586"/>
      <c r="I1401" s="586"/>
      <c r="J1401" s="586"/>
      <c r="K1401" s="586"/>
      <c r="L1401" s="591"/>
      <c r="M1401" s="592"/>
      <c r="N1401" s="588"/>
    </row>
    <row r="1402" spans="2:14">
      <c r="B1402" s="590"/>
      <c r="C1402" s="590"/>
      <c r="D1402" s="586"/>
      <c r="E1402" s="586"/>
      <c r="F1402" s="586"/>
      <c r="G1402" s="586"/>
      <c r="H1402" s="586"/>
      <c r="I1402" s="586"/>
      <c r="J1402" s="586"/>
      <c r="K1402" s="586"/>
      <c r="L1402" s="591"/>
      <c r="M1402" s="592"/>
      <c r="N1402" s="588"/>
    </row>
    <row r="1403" spans="2:14">
      <c r="B1403" s="590"/>
      <c r="C1403" s="590"/>
      <c r="D1403" s="586"/>
      <c r="E1403" s="586"/>
      <c r="F1403" s="586"/>
      <c r="G1403" s="586"/>
      <c r="H1403" s="586"/>
      <c r="I1403" s="586"/>
      <c r="J1403" s="586"/>
      <c r="K1403" s="586"/>
      <c r="L1403" s="591"/>
      <c r="M1403" s="592"/>
      <c r="N1403" s="588"/>
    </row>
    <row r="1404" spans="2:14">
      <c r="B1404" s="590"/>
      <c r="C1404" s="590"/>
      <c r="D1404" s="586"/>
      <c r="E1404" s="586"/>
      <c r="F1404" s="586"/>
      <c r="G1404" s="586"/>
      <c r="H1404" s="586"/>
      <c r="I1404" s="586"/>
      <c r="J1404" s="586"/>
      <c r="K1404" s="586"/>
      <c r="L1404" s="591"/>
      <c r="M1404" s="592"/>
      <c r="N1404" s="588"/>
    </row>
    <row r="1405" spans="2:14">
      <c r="B1405" s="590"/>
      <c r="C1405" s="590"/>
      <c r="D1405" s="586"/>
      <c r="E1405" s="586"/>
      <c r="F1405" s="586"/>
      <c r="G1405" s="586"/>
      <c r="H1405" s="586"/>
      <c r="I1405" s="586"/>
      <c r="J1405" s="586"/>
      <c r="K1405" s="586"/>
      <c r="L1405" s="591"/>
      <c r="M1405" s="592"/>
      <c r="N1405" s="588"/>
    </row>
    <row r="1406" spans="2:14">
      <c r="B1406" s="590"/>
      <c r="C1406" s="590"/>
      <c r="D1406" s="586"/>
      <c r="E1406" s="586"/>
      <c r="F1406" s="586"/>
      <c r="G1406" s="586"/>
      <c r="H1406" s="586"/>
      <c r="I1406" s="586"/>
      <c r="J1406" s="586"/>
      <c r="K1406" s="586"/>
      <c r="L1406" s="591"/>
      <c r="M1406" s="592"/>
      <c r="N1406" s="588"/>
    </row>
    <row r="1407" spans="2:14">
      <c r="B1407" s="590"/>
      <c r="C1407" s="590"/>
      <c r="D1407" s="586"/>
      <c r="E1407" s="586"/>
      <c r="F1407" s="586"/>
      <c r="G1407" s="586"/>
      <c r="H1407" s="586"/>
      <c r="I1407" s="586"/>
      <c r="J1407" s="586"/>
      <c r="K1407" s="586"/>
      <c r="L1407" s="591"/>
      <c r="M1407" s="592"/>
      <c r="N1407" s="588"/>
    </row>
    <row r="1408" spans="2:14">
      <c r="B1408" s="590"/>
      <c r="C1408" s="590"/>
      <c r="D1408" s="586"/>
      <c r="E1408" s="586"/>
      <c r="F1408" s="586"/>
      <c r="G1408" s="586"/>
      <c r="H1408" s="586"/>
      <c r="I1408" s="586"/>
      <c r="J1408" s="586"/>
      <c r="K1408" s="586"/>
      <c r="L1408" s="591"/>
      <c r="M1408" s="592"/>
      <c r="N1408" s="588"/>
    </row>
    <row r="1409" spans="2:14">
      <c r="B1409" s="590"/>
      <c r="C1409" s="590"/>
      <c r="D1409" s="586"/>
      <c r="E1409" s="586"/>
      <c r="F1409" s="586"/>
      <c r="G1409" s="586"/>
      <c r="H1409" s="586"/>
      <c r="I1409" s="586"/>
      <c r="J1409" s="586"/>
      <c r="K1409" s="586"/>
      <c r="L1409" s="591"/>
      <c r="M1409" s="592"/>
      <c r="N1409" s="588"/>
    </row>
    <row r="1410" spans="2:14">
      <c r="B1410" s="590"/>
      <c r="C1410" s="590"/>
      <c r="D1410" s="586"/>
      <c r="E1410" s="586"/>
      <c r="F1410" s="586"/>
      <c r="G1410" s="586"/>
      <c r="H1410" s="586"/>
      <c r="I1410" s="586"/>
      <c r="J1410" s="586"/>
      <c r="K1410" s="586"/>
      <c r="L1410" s="591"/>
      <c r="M1410" s="592"/>
      <c r="N1410" s="588"/>
    </row>
    <row r="1411" spans="2:14">
      <c r="B1411" s="590"/>
      <c r="C1411" s="590"/>
      <c r="D1411" s="586"/>
      <c r="E1411" s="586"/>
      <c r="F1411" s="586"/>
      <c r="G1411" s="586"/>
      <c r="H1411" s="586"/>
      <c r="I1411" s="586"/>
      <c r="J1411" s="586"/>
      <c r="K1411" s="586"/>
      <c r="L1411" s="591"/>
      <c r="M1411" s="592"/>
      <c r="N1411" s="588"/>
    </row>
    <row r="1412" spans="2:14">
      <c r="B1412" s="590"/>
      <c r="C1412" s="590"/>
      <c r="D1412" s="586"/>
      <c r="E1412" s="586"/>
      <c r="F1412" s="586"/>
      <c r="G1412" s="586"/>
      <c r="H1412" s="586"/>
      <c r="I1412" s="586"/>
      <c r="J1412" s="586"/>
      <c r="K1412" s="586"/>
      <c r="L1412" s="591"/>
      <c r="M1412" s="592"/>
      <c r="N1412" s="588"/>
    </row>
    <row r="1413" spans="2:14">
      <c r="B1413" s="590"/>
      <c r="C1413" s="590"/>
      <c r="D1413" s="586"/>
      <c r="E1413" s="586"/>
      <c r="F1413" s="586"/>
      <c r="G1413" s="586"/>
      <c r="H1413" s="586"/>
      <c r="I1413" s="586"/>
      <c r="J1413" s="586"/>
      <c r="K1413" s="586"/>
      <c r="L1413" s="591"/>
      <c r="M1413" s="592"/>
      <c r="N1413" s="588"/>
    </row>
    <row r="1414" spans="2:14">
      <c r="B1414" s="590"/>
      <c r="C1414" s="590"/>
      <c r="D1414" s="586"/>
      <c r="E1414" s="586"/>
      <c r="F1414" s="586"/>
      <c r="G1414" s="586"/>
      <c r="H1414" s="586"/>
      <c r="I1414" s="586"/>
      <c r="J1414" s="586"/>
      <c r="K1414" s="586"/>
      <c r="L1414" s="591"/>
      <c r="M1414" s="592"/>
      <c r="N1414" s="588"/>
    </row>
    <row r="1415" spans="2:14">
      <c r="B1415" s="590"/>
      <c r="C1415" s="590"/>
      <c r="D1415" s="586"/>
      <c r="E1415" s="586"/>
      <c r="F1415" s="586"/>
      <c r="G1415" s="586"/>
      <c r="H1415" s="586"/>
      <c r="I1415" s="586"/>
      <c r="J1415" s="586"/>
      <c r="K1415" s="586"/>
      <c r="L1415" s="591"/>
      <c r="M1415" s="592"/>
      <c r="N1415" s="588"/>
    </row>
    <row r="1416" spans="2:14">
      <c r="B1416" s="590"/>
      <c r="C1416" s="590"/>
      <c r="D1416" s="586"/>
      <c r="E1416" s="586"/>
      <c r="F1416" s="586"/>
      <c r="G1416" s="586"/>
      <c r="H1416" s="586"/>
      <c r="I1416" s="586"/>
      <c r="J1416" s="586"/>
      <c r="K1416" s="586"/>
      <c r="L1416" s="591"/>
      <c r="M1416" s="592"/>
      <c r="N1416" s="588"/>
    </row>
    <row r="1417" spans="2:14">
      <c r="B1417" s="590"/>
      <c r="C1417" s="590"/>
      <c r="D1417" s="586"/>
      <c r="E1417" s="586"/>
      <c r="F1417" s="586"/>
      <c r="G1417" s="586"/>
      <c r="H1417" s="586"/>
      <c r="I1417" s="586"/>
      <c r="J1417" s="586"/>
      <c r="K1417" s="586"/>
      <c r="L1417" s="591"/>
      <c r="M1417" s="592"/>
      <c r="N1417" s="588"/>
    </row>
    <row r="1418" spans="2:14">
      <c r="B1418" s="590"/>
      <c r="C1418" s="590"/>
      <c r="D1418" s="586"/>
      <c r="E1418" s="586"/>
      <c r="F1418" s="586"/>
      <c r="G1418" s="586"/>
      <c r="H1418" s="586"/>
      <c r="I1418" s="586"/>
      <c r="J1418" s="586"/>
      <c r="K1418" s="586"/>
      <c r="L1418" s="591"/>
      <c r="M1418" s="592"/>
      <c r="N1418" s="588"/>
    </row>
    <row r="1419" spans="2:14">
      <c r="B1419" s="590"/>
      <c r="C1419" s="590"/>
      <c r="D1419" s="586"/>
      <c r="E1419" s="586"/>
      <c r="F1419" s="586"/>
      <c r="G1419" s="586"/>
      <c r="H1419" s="586"/>
      <c r="I1419" s="586"/>
      <c r="J1419" s="586"/>
      <c r="K1419" s="586"/>
      <c r="L1419" s="591"/>
      <c r="M1419" s="592"/>
      <c r="N1419" s="588"/>
    </row>
    <row r="1420" spans="2:14">
      <c r="B1420" s="590"/>
      <c r="C1420" s="590"/>
      <c r="D1420" s="586"/>
      <c r="E1420" s="586"/>
      <c r="F1420" s="586"/>
      <c r="G1420" s="586"/>
      <c r="H1420" s="586"/>
      <c r="I1420" s="586"/>
      <c r="J1420" s="586"/>
      <c r="K1420" s="586"/>
      <c r="L1420" s="591"/>
      <c r="M1420" s="592"/>
      <c r="N1420" s="588"/>
    </row>
    <row r="1421" spans="2:14">
      <c r="B1421" s="590"/>
      <c r="C1421" s="590"/>
      <c r="D1421" s="586"/>
      <c r="E1421" s="586"/>
      <c r="F1421" s="586"/>
      <c r="G1421" s="586"/>
      <c r="H1421" s="586"/>
      <c r="I1421" s="586"/>
      <c r="J1421" s="586"/>
      <c r="K1421" s="586"/>
      <c r="L1421" s="591"/>
      <c r="M1421" s="592"/>
      <c r="N1421" s="588"/>
    </row>
    <row r="1422" spans="2:14">
      <c r="B1422" s="590"/>
      <c r="C1422" s="590"/>
      <c r="D1422" s="586"/>
      <c r="E1422" s="586"/>
      <c r="F1422" s="586"/>
      <c r="G1422" s="586"/>
      <c r="H1422" s="586"/>
      <c r="I1422" s="586"/>
      <c r="J1422" s="586"/>
      <c r="K1422" s="586"/>
      <c r="L1422" s="591"/>
      <c r="M1422" s="592"/>
      <c r="N1422" s="588"/>
    </row>
    <row r="1423" spans="2:14">
      <c r="B1423" s="590"/>
      <c r="C1423" s="590"/>
      <c r="D1423" s="586"/>
      <c r="E1423" s="586"/>
      <c r="F1423" s="586"/>
      <c r="G1423" s="586"/>
      <c r="H1423" s="586"/>
      <c r="I1423" s="586"/>
      <c r="J1423" s="586"/>
      <c r="K1423" s="586"/>
      <c r="L1423" s="591"/>
      <c r="M1423" s="592"/>
      <c r="N1423" s="588"/>
    </row>
    <row r="1424" spans="2:14">
      <c r="B1424" s="590"/>
      <c r="C1424" s="590"/>
      <c r="D1424" s="586"/>
      <c r="E1424" s="586"/>
      <c r="F1424" s="586"/>
      <c r="G1424" s="586"/>
      <c r="H1424" s="586"/>
      <c r="I1424" s="586"/>
      <c r="J1424" s="586"/>
      <c r="K1424" s="586"/>
      <c r="L1424" s="591"/>
      <c r="M1424" s="592"/>
      <c r="N1424" s="588"/>
    </row>
    <row r="1425" spans="2:14">
      <c r="B1425" s="590"/>
      <c r="C1425" s="590"/>
      <c r="D1425" s="586"/>
      <c r="E1425" s="586"/>
      <c r="F1425" s="586"/>
      <c r="G1425" s="586"/>
      <c r="H1425" s="586"/>
      <c r="I1425" s="586"/>
      <c r="J1425" s="586"/>
      <c r="K1425" s="586"/>
      <c r="L1425" s="591"/>
      <c r="M1425" s="592"/>
      <c r="N1425" s="588"/>
    </row>
    <row r="1426" spans="2:14">
      <c r="B1426" s="590"/>
      <c r="C1426" s="590"/>
      <c r="D1426" s="586"/>
      <c r="E1426" s="586"/>
      <c r="F1426" s="586"/>
      <c r="G1426" s="586"/>
      <c r="H1426" s="586"/>
      <c r="I1426" s="586"/>
      <c r="J1426" s="586"/>
      <c r="K1426" s="586"/>
      <c r="L1426" s="591"/>
      <c r="M1426" s="592"/>
      <c r="N1426" s="588"/>
    </row>
    <row r="1427" spans="2:14">
      <c r="B1427" s="590"/>
      <c r="C1427" s="590"/>
      <c r="D1427" s="586"/>
      <c r="E1427" s="586"/>
      <c r="F1427" s="586"/>
      <c r="G1427" s="586"/>
      <c r="H1427" s="586"/>
      <c r="I1427" s="586"/>
      <c r="J1427" s="586"/>
      <c r="K1427" s="586"/>
      <c r="L1427" s="591"/>
      <c r="M1427" s="592"/>
      <c r="N1427" s="588"/>
    </row>
    <row r="1428" spans="2:14">
      <c r="B1428" s="590"/>
      <c r="C1428" s="590"/>
      <c r="D1428" s="586"/>
      <c r="E1428" s="586"/>
      <c r="F1428" s="586"/>
      <c r="G1428" s="586"/>
      <c r="H1428" s="586"/>
      <c r="I1428" s="586"/>
      <c r="J1428" s="586"/>
      <c r="K1428" s="586"/>
      <c r="L1428" s="591"/>
      <c r="M1428" s="592"/>
      <c r="N1428" s="588"/>
    </row>
    <row r="1429" spans="2:14">
      <c r="B1429" s="590"/>
      <c r="C1429" s="590"/>
      <c r="D1429" s="586"/>
      <c r="E1429" s="586"/>
      <c r="F1429" s="586"/>
      <c r="G1429" s="586"/>
      <c r="H1429" s="586"/>
      <c r="I1429" s="586"/>
      <c r="J1429" s="586"/>
      <c r="K1429" s="586"/>
      <c r="L1429" s="591"/>
      <c r="M1429" s="592"/>
      <c r="N1429" s="588"/>
    </row>
    <row r="1430" spans="2:14">
      <c r="B1430" s="590"/>
      <c r="C1430" s="590"/>
      <c r="D1430" s="586"/>
      <c r="E1430" s="586"/>
      <c r="F1430" s="586"/>
      <c r="G1430" s="586"/>
      <c r="H1430" s="586"/>
      <c r="I1430" s="586"/>
      <c r="J1430" s="586"/>
      <c r="K1430" s="586"/>
      <c r="L1430" s="591"/>
      <c r="M1430" s="592"/>
      <c r="N1430" s="588"/>
    </row>
    <row r="1431" spans="2:14">
      <c r="B1431" s="590"/>
      <c r="C1431" s="590"/>
      <c r="D1431" s="586"/>
      <c r="E1431" s="586"/>
      <c r="F1431" s="586"/>
      <c r="G1431" s="586"/>
      <c r="H1431" s="586"/>
      <c r="I1431" s="586"/>
      <c r="J1431" s="586"/>
      <c r="K1431" s="586"/>
      <c r="L1431" s="591"/>
      <c r="M1431" s="592"/>
      <c r="N1431" s="588"/>
    </row>
    <row r="1432" spans="2:14">
      <c r="B1432" s="590"/>
      <c r="C1432" s="590"/>
      <c r="D1432" s="586"/>
      <c r="E1432" s="586"/>
      <c r="F1432" s="586"/>
      <c r="G1432" s="586"/>
      <c r="H1432" s="586"/>
      <c r="I1432" s="586"/>
      <c r="J1432" s="586"/>
      <c r="K1432" s="586"/>
      <c r="L1432" s="591"/>
      <c r="M1432" s="592"/>
      <c r="N1432" s="588"/>
    </row>
    <row r="1433" spans="2:14">
      <c r="B1433" s="590"/>
      <c r="C1433" s="590"/>
      <c r="D1433" s="586"/>
      <c r="E1433" s="586"/>
      <c r="F1433" s="586"/>
      <c r="G1433" s="586"/>
      <c r="H1433" s="586"/>
      <c r="I1433" s="586"/>
      <c r="J1433" s="586"/>
      <c r="K1433" s="586"/>
      <c r="L1433" s="591"/>
      <c r="M1433" s="592"/>
      <c r="N1433" s="588"/>
    </row>
    <row r="1434" spans="2:14">
      <c r="B1434" s="590"/>
      <c r="C1434" s="590"/>
      <c r="D1434" s="586"/>
      <c r="E1434" s="586"/>
      <c r="F1434" s="586"/>
      <c r="G1434" s="586"/>
      <c r="H1434" s="586"/>
      <c r="I1434" s="586"/>
      <c r="J1434" s="586"/>
      <c r="K1434" s="586"/>
      <c r="L1434" s="591"/>
      <c r="M1434" s="592"/>
      <c r="N1434" s="588"/>
    </row>
    <row r="1435" spans="2:14">
      <c r="B1435" s="590"/>
      <c r="C1435" s="590"/>
      <c r="D1435" s="586"/>
      <c r="E1435" s="586"/>
      <c r="F1435" s="586"/>
      <c r="G1435" s="586"/>
      <c r="H1435" s="586"/>
      <c r="I1435" s="586"/>
      <c r="J1435" s="586"/>
      <c r="K1435" s="586"/>
      <c r="L1435" s="591"/>
      <c r="M1435" s="592"/>
      <c r="N1435" s="588"/>
    </row>
    <row r="1436" spans="2:14">
      <c r="B1436" s="590"/>
      <c r="C1436" s="590"/>
      <c r="D1436" s="586"/>
      <c r="E1436" s="586"/>
      <c r="F1436" s="586"/>
      <c r="G1436" s="586"/>
      <c r="H1436" s="586"/>
      <c r="I1436" s="586"/>
      <c r="J1436" s="586"/>
      <c r="K1436" s="586"/>
      <c r="L1436" s="591"/>
      <c r="M1436" s="592"/>
      <c r="N1436" s="588"/>
    </row>
    <row r="1437" spans="2:14">
      <c r="B1437" s="590"/>
      <c r="C1437" s="590"/>
      <c r="D1437" s="586"/>
      <c r="E1437" s="586"/>
      <c r="F1437" s="586"/>
      <c r="G1437" s="586"/>
      <c r="H1437" s="586"/>
      <c r="I1437" s="586"/>
      <c r="J1437" s="586"/>
      <c r="K1437" s="586"/>
      <c r="L1437" s="591"/>
      <c r="M1437" s="592"/>
      <c r="N1437" s="588"/>
    </row>
    <row r="1438" spans="2:14">
      <c r="B1438" s="590"/>
      <c r="C1438" s="590"/>
      <c r="D1438" s="586"/>
      <c r="E1438" s="586"/>
      <c r="F1438" s="586"/>
      <c r="G1438" s="586"/>
      <c r="H1438" s="586"/>
      <c r="I1438" s="586"/>
      <c r="J1438" s="586"/>
      <c r="K1438" s="586"/>
      <c r="L1438" s="591"/>
      <c r="M1438" s="592"/>
      <c r="N1438" s="588"/>
    </row>
    <row r="1439" spans="2:14">
      <c r="B1439" s="590"/>
      <c r="C1439" s="590"/>
      <c r="D1439" s="586"/>
      <c r="E1439" s="586"/>
      <c r="F1439" s="586"/>
      <c r="G1439" s="586"/>
      <c r="H1439" s="586"/>
      <c r="I1439" s="586"/>
      <c r="J1439" s="586"/>
      <c r="K1439" s="586"/>
      <c r="L1439" s="591"/>
      <c r="M1439" s="592"/>
      <c r="N1439" s="588"/>
    </row>
    <row r="1440" spans="2:14">
      <c r="B1440" s="590"/>
      <c r="C1440" s="590"/>
      <c r="D1440" s="586"/>
      <c r="E1440" s="586"/>
      <c r="F1440" s="586"/>
      <c r="G1440" s="586"/>
      <c r="H1440" s="586"/>
      <c r="I1440" s="586"/>
      <c r="J1440" s="586"/>
      <c r="K1440" s="586"/>
      <c r="L1440" s="591"/>
      <c r="M1440" s="592"/>
      <c r="N1440" s="588"/>
    </row>
    <row r="1441" spans="2:14">
      <c r="B1441" s="590"/>
      <c r="C1441" s="590"/>
      <c r="D1441" s="586"/>
      <c r="E1441" s="586"/>
      <c r="F1441" s="586"/>
      <c r="G1441" s="586"/>
      <c r="H1441" s="586"/>
      <c r="I1441" s="586"/>
      <c r="J1441" s="586"/>
      <c r="K1441" s="586"/>
      <c r="L1441" s="591"/>
      <c r="M1441" s="592"/>
      <c r="N1441" s="588"/>
    </row>
    <row r="1442" spans="2:14">
      <c r="B1442" s="590"/>
      <c r="C1442" s="590"/>
      <c r="D1442" s="586"/>
      <c r="E1442" s="586"/>
      <c r="F1442" s="586"/>
      <c r="G1442" s="586"/>
      <c r="H1442" s="586"/>
      <c r="I1442" s="586"/>
      <c r="J1442" s="586"/>
      <c r="K1442" s="586"/>
      <c r="L1442" s="591"/>
      <c r="M1442" s="592"/>
      <c r="N1442" s="588"/>
    </row>
    <row r="1443" spans="2:14">
      <c r="B1443" s="590"/>
      <c r="C1443" s="590"/>
      <c r="D1443" s="586"/>
      <c r="E1443" s="586"/>
      <c r="F1443" s="586"/>
      <c r="G1443" s="586"/>
      <c r="H1443" s="586"/>
      <c r="I1443" s="586"/>
      <c r="J1443" s="586"/>
      <c r="K1443" s="586"/>
      <c r="L1443" s="591"/>
      <c r="M1443" s="592"/>
      <c r="N1443" s="588"/>
    </row>
    <row r="1444" spans="2:14">
      <c r="B1444" s="590"/>
      <c r="C1444" s="590"/>
      <c r="D1444" s="586"/>
      <c r="E1444" s="586"/>
      <c r="F1444" s="586"/>
      <c r="G1444" s="586"/>
      <c r="H1444" s="586"/>
      <c r="I1444" s="586"/>
      <c r="J1444" s="586"/>
      <c r="K1444" s="586"/>
      <c r="L1444" s="591"/>
      <c r="M1444" s="592"/>
      <c r="N1444" s="588"/>
    </row>
    <row r="1445" spans="2:14">
      <c r="B1445" s="590"/>
      <c r="C1445" s="590"/>
      <c r="D1445" s="586"/>
      <c r="E1445" s="586"/>
      <c r="F1445" s="586"/>
      <c r="G1445" s="586"/>
      <c r="H1445" s="586"/>
      <c r="I1445" s="586"/>
      <c r="J1445" s="586"/>
      <c r="K1445" s="586"/>
      <c r="L1445" s="591"/>
      <c r="M1445" s="592"/>
      <c r="N1445" s="588"/>
    </row>
    <row r="1446" spans="2:14">
      <c r="B1446" s="590"/>
      <c r="C1446" s="590"/>
      <c r="D1446" s="586"/>
      <c r="E1446" s="586"/>
      <c r="F1446" s="586"/>
      <c r="G1446" s="586"/>
      <c r="H1446" s="586"/>
      <c r="I1446" s="586"/>
      <c r="J1446" s="586"/>
      <c r="K1446" s="586"/>
      <c r="L1446" s="591"/>
      <c r="M1446" s="592"/>
      <c r="N1446" s="588"/>
    </row>
    <row r="1447" spans="2:14">
      <c r="B1447" s="590"/>
      <c r="C1447" s="590"/>
      <c r="D1447" s="586"/>
      <c r="E1447" s="586"/>
      <c r="F1447" s="586"/>
      <c r="G1447" s="586"/>
      <c r="H1447" s="586"/>
      <c r="I1447" s="586"/>
      <c r="J1447" s="586"/>
      <c r="K1447" s="586"/>
      <c r="L1447" s="591"/>
      <c r="M1447" s="592"/>
      <c r="N1447" s="588"/>
    </row>
    <row r="1448" spans="2:14">
      <c r="B1448" s="590"/>
      <c r="C1448" s="590"/>
      <c r="D1448" s="586"/>
      <c r="E1448" s="586"/>
      <c r="F1448" s="586"/>
      <c r="G1448" s="586"/>
      <c r="H1448" s="586"/>
      <c r="I1448" s="586"/>
      <c r="J1448" s="586"/>
      <c r="K1448" s="586"/>
      <c r="L1448" s="591"/>
      <c r="M1448" s="592"/>
      <c r="N1448" s="588"/>
    </row>
    <row r="1449" spans="2:14">
      <c r="B1449" s="590"/>
      <c r="C1449" s="590"/>
      <c r="D1449" s="586"/>
      <c r="E1449" s="586"/>
      <c r="F1449" s="586"/>
      <c r="G1449" s="586"/>
      <c r="H1449" s="586"/>
      <c r="I1449" s="586"/>
      <c r="J1449" s="586"/>
      <c r="K1449" s="586"/>
      <c r="L1449" s="591"/>
      <c r="M1449" s="592"/>
      <c r="N1449" s="588"/>
    </row>
    <row r="1450" spans="2:14">
      <c r="B1450" s="590"/>
      <c r="C1450" s="590"/>
      <c r="D1450" s="586"/>
      <c r="E1450" s="586"/>
      <c r="F1450" s="586"/>
      <c r="G1450" s="586"/>
      <c r="H1450" s="586"/>
      <c r="I1450" s="586"/>
      <c r="J1450" s="586"/>
      <c r="K1450" s="586"/>
      <c r="L1450" s="591"/>
      <c r="M1450" s="592"/>
      <c r="N1450" s="588"/>
    </row>
    <row r="1451" spans="2:14">
      <c r="B1451" s="590"/>
      <c r="C1451" s="590"/>
      <c r="D1451" s="586"/>
      <c r="E1451" s="586"/>
      <c r="F1451" s="586"/>
      <c r="G1451" s="586"/>
      <c r="H1451" s="586"/>
      <c r="I1451" s="586"/>
      <c r="J1451" s="586"/>
      <c r="K1451" s="586"/>
      <c r="L1451" s="591"/>
      <c r="M1451" s="592"/>
      <c r="N1451" s="588"/>
    </row>
    <row r="1452" spans="2:14">
      <c r="B1452" s="590"/>
      <c r="C1452" s="590"/>
      <c r="D1452" s="586"/>
      <c r="E1452" s="586"/>
      <c r="F1452" s="586"/>
      <c r="G1452" s="586"/>
      <c r="H1452" s="586"/>
      <c r="I1452" s="586"/>
      <c r="J1452" s="586"/>
      <c r="K1452" s="586"/>
      <c r="L1452" s="591"/>
      <c r="M1452" s="592"/>
      <c r="N1452" s="588"/>
    </row>
    <row r="1453" spans="2:14">
      <c r="B1453" s="590"/>
      <c r="C1453" s="590"/>
      <c r="D1453" s="586"/>
      <c r="E1453" s="586"/>
      <c r="F1453" s="586"/>
      <c r="G1453" s="586"/>
      <c r="H1453" s="586"/>
      <c r="I1453" s="586"/>
      <c r="J1453" s="586"/>
      <c r="K1453" s="586"/>
      <c r="L1453" s="591"/>
      <c r="M1453" s="592"/>
      <c r="N1453" s="588"/>
    </row>
    <row r="1454" spans="2:14">
      <c r="B1454" s="590"/>
      <c r="C1454" s="590"/>
      <c r="D1454" s="586"/>
      <c r="E1454" s="586"/>
      <c r="F1454" s="586"/>
      <c r="G1454" s="586"/>
      <c r="H1454" s="586"/>
      <c r="I1454" s="586"/>
      <c r="J1454" s="586"/>
      <c r="K1454" s="586"/>
      <c r="L1454" s="591"/>
      <c r="M1454" s="592"/>
      <c r="N1454" s="588"/>
    </row>
    <row r="1455" spans="2:14">
      <c r="B1455" s="590"/>
      <c r="C1455" s="590"/>
      <c r="D1455" s="586"/>
      <c r="E1455" s="586"/>
      <c r="F1455" s="586"/>
      <c r="G1455" s="586"/>
      <c r="H1455" s="586"/>
      <c r="I1455" s="586"/>
      <c r="J1455" s="586"/>
      <c r="K1455" s="586"/>
      <c r="L1455" s="591"/>
      <c r="M1455" s="592"/>
      <c r="N1455" s="588"/>
    </row>
    <row r="1456" spans="2:14">
      <c r="B1456" s="590"/>
      <c r="C1456" s="590"/>
      <c r="D1456" s="586"/>
      <c r="E1456" s="586"/>
      <c r="F1456" s="586"/>
      <c r="G1456" s="586"/>
      <c r="H1456" s="586"/>
      <c r="I1456" s="586"/>
      <c r="J1456" s="586"/>
      <c r="K1456" s="586"/>
      <c r="L1456" s="591"/>
      <c r="M1456" s="592"/>
      <c r="N1456" s="588"/>
    </row>
    <row r="1457" spans="2:14">
      <c r="B1457" s="590"/>
      <c r="C1457" s="590"/>
      <c r="D1457" s="586"/>
      <c r="E1457" s="586"/>
      <c r="F1457" s="586"/>
      <c r="G1457" s="586"/>
      <c r="H1457" s="586"/>
      <c r="I1457" s="586"/>
      <c r="J1457" s="586"/>
      <c r="K1457" s="586"/>
      <c r="L1457" s="591"/>
      <c r="M1457" s="592"/>
      <c r="N1457" s="588"/>
    </row>
    <row r="1458" spans="2:14">
      <c r="B1458" s="590"/>
      <c r="C1458" s="590"/>
      <c r="D1458" s="586"/>
      <c r="E1458" s="586"/>
      <c r="F1458" s="586"/>
      <c r="G1458" s="586"/>
      <c r="H1458" s="586"/>
      <c r="I1458" s="586"/>
      <c r="J1458" s="586"/>
      <c r="K1458" s="586"/>
      <c r="L1458" s="591"/>
      <c r="M1458" s="592"/>
      <c r="N1458" s="588"/>
    </row>
    <row r="1459" spans="2:14">
      <c r="B1459" s="590"/>
      <c r="C1459" s="590"/>
      <c r="D1459" s="586"/>
      <c r="E1459" s="586"/>
      <c r="F1459" s="586"/>
      <c r="G1459" s="586"/>
      <c r="H1459" s="586"/>
      <c r="I1459" s="586"/>
      <c r="J1459" s="586"/>
      <c r="K1459" s="586"/>
      <c r="L1459" s="591"/>
      <c r="M1459" s="592"/>
      <c r="N1459" s="588"/>
    </row>
    <row r="1460" spans="2:14">
      <c r="B1460" s="590"/>
      <c r="C1460" s="590"/>
      <c r="D1460" s="586"/>
      <c r="E1460" s="586"/>
      <c r="F1460" s="586"/>
      <c r="G1460" s="586"/>
      <c r="H1460" s="586"/>
      <c r="I1460" s="586"/>
      <c r="J1460" s="586"/>
      <c r="K1460" s="586"/>
      <c r="L1460" s="591"/>
      <c r="M1460" s="592"/>
      <c r="N1460" s="588"/>
    </row>
    <row r="1461" spans="2:14">
      <c r="B1461" s="590"/>
      <c r="C1461" s="590"/>
      <c r="D1461" s="586"/>
      <c r="E1461" s="586"/>
      <c r="F1461" s="586"/>
      <c r="G1461" s="586"/>
      <c r="H1461" s="586"/>
      <c r="I1461" s="586"/>
      <c r="J1461" s="586"/>
      <c r="K1461" s="586"/>
      <c r="L1461" s="591"/>
      <c r="M1461" s="592"/>
      <c r="N1461" s="588"/>
    </row>
    <row r="1462" spans="2:14">
      <c r="B1462" s="590"/>
      <c r="C1462" s="590"/>
      <c r="D1462" s="586"/>
      <c r="E1462" s="586"/>
      <c r="F1462" s="586"/>
      <c r="G1462" s="586"/>
      <c r="H1462" s="586"/>
      <c r="I1462" s="586"/>
      <c r="J1462" s="586"/>
      <c r="K1462" s="586"/>
      <c r="L1462" s="591"/>
      <c r="M1462" s="592"/>
      <c r="N1462" s="588"/>
    </row>
    <row r="1463" spans="2:14">
      <c r="B1463" s="590"/>
      <c r="C1463" s="590"/>
      <c r="D1463" s="586"/>
      <c r="E1463" s="586"/>
      <c r="F1463" s="586"/>
      <c r="G1463" s="586"/>
      <c r="H1463" s="586"/>
      <c r="I1463" s="586"/>
      <c r="J1463" s="586"/>
      <c r="K1463" s="586"/>
      <c r="L1463" s="591"/>
      <c r="M1463" s="592"/>
      <c r="N1463" s="588"/>
    </row>
    <row r="1464" spans="2:14">
      <c r="B1464" s="590"/>
      <c r="C1464" s="590"/>
      <c r="D1464" s="586"/>
      <c r="E1464" s="586"/>
      <c r="F1464" s="586"/>
      <c r="G1464" s="586"/>
      <c r="H1464" s="586"/>
      <c r="I1464" s="586"/>
      <c r="J1464" s="586"/>
      <c r="K1464" s="586"/>
      <c r="L1464" s="591"/>
      <c r="M1464" s="592"/>
      <c r="N1464" s="588"/>
    </row>
    <row r="1465" spans="2:14">
      <c r="B1465" s="590"/>
      <c r="C1465" s="590"/>
      <c r="D1465" s="586"/>
      <c r="E1465" s="586"/>
      <c r="F1465" s="586"/>
      <c r="G1465" s="586"/>
      <c r="H1465" s="586"/>
      <c r="I1465" s="586"/>
      <c r="J1465" s="586"/>
      <c r="K1465" s="586"/>
      <c r="L1465" s="591"/>
      <c r="M1465" s="592"/>
      <c r="N1465" s="588"/>
    </row>
    <row r="1466" spans="2:14">
      <c r="B1466" s="590"/>
      <c r="C1466" s="590"/>
      <c r="D1466" s="586"/>
      <c r="E1466" s="586"/>
      <c r="F1466" s="586"/>
      <c r="G1466" s="586"/>
      <c r="H1466" s="586"/>
      <c r="I1466" s="586"/>
      <c r="J1466" s="586"/>
      <c r="K1466" s="586"/>
      <c r="L1466" s="591"/>
      <c r="M1466" s="592"/>
      <c r="N1466" s="588"/>
    </row>
    <row r="1467" spans="2:14">
      <c r="B1467" s="590"/>
      <c r="C1467" s="590"/>
      <c r="D1467" s="586"/>
      <c r="E1467" s="586"/>
      <c r="F1467" s="586"/>
      <c r="G1467" s="586"/>
      <c r="H1467" s="586"/>
      <c r="I1467" s="586"/>
      <c r="J1467" s="586"/>
      <c r="K1467" s="586"/>
      <c r="L1467" s="591"/>
      <c r="M1467" s="592"/>
      <c r="N1467" s="588"/>
    </row>
    <row r="1468" spans="2:14">
      <c r="B1468" s="590"/>
      <c r="C1468" s="590"/>
      <c r="D1468" s="586"/>
      <c r="E1468" s="586"/>
      <c r="F1468" s="586"/>
      <c r="G1468" s="586"/>
      <c r="H1468" s="586"/>
      <c r="I1468" s="586"/>
      <c r="J1468" s="586"/>
      <c r="K1468" s="586"/>
      <c r="L1468" s="591"/>
      <c r="M1468" s="592"/>
      <c r="N1468" s="588"/>
    </row>
    <row r="1469" spans="2:14">
      <c r="B1469" s="590"/>
      <c r="C1469" s="590"/>
      <c r="D1469" s="586"/>
      <c r="E1469" s="586"/>
      <c r="F1469" s="586"/>
      <c r="G1469" s="586"/>
      <c r="H1469" s="586"/>
      <c r="I1469" s="586"/>
      <c r="J1469" s="586"/>
      <c r="K1469" s="586"/>
      <c r="L1469" s="591"/>
      <c r="M1469" s="592"/>
      <c r="N1469" s="588"/>
    </row>
    <row r="1470" spans="2:14">
      <c r="B1470" s="590"/>
      <c r="C1470" s="590"/>
      <c r="D1470" s="586"/>
      <c r="E1470" s="586"/>
      <c r="F1470" s="586"/>
      <c r="G1470" s="586"/>
      <c r="H1470" s="586"/>
      <c r="I1470" s="586"/>
      <c r="J1470" s="586"/>
      <c r="K1470" s="586"/>
      <c r="L1470" s="591"/>
      <c r="M1470" s="592"/>
      <c r="N1470" s="588"/>
    </row>
    <row r="1471" spans="2:14">
      <c r="B1471" s="590"/>
      <c r="C1471" s="590"/>
      <c r="D1471" s="586"/>
      <c r="E1471" s="586"/>
      <c r="F1471" s="586"/>
      <c r="G1471" s="586"/>
      <c r="H1471" s="586"/>
      <c r="I1471" s="586"/>
      <c r="J1471" s="586"/>
      <c r="K1471" s="586"/>
      <c r="L1471" s="591"/>
      <c r="M1471" s="592"/>
      <c r="N1471" s="588"/>
    </row>
    <row r="1472" spans="2:14">
      <c r="B1472" s="590"/>
      <c r="C1472" s="590"/>
      <c r="D1472" s="586"/>
      <c r="E1472" s="586"/>
      <c r="F1472" s="586"/>
      <c r="G1472" s="586"/>
      <c r="H1472" s="586"/>
      <c r="I1472" s="586"/>
      <c r="J1472" s="586"/>
      <c r="K1472" s="586"/>
      <c r="L1472" s="591"/>
      <c r="M1472" s="592"/>
      <c r="N1472" s="588"/>
    </row>
    <row r="1473" spans="2:14">
      <c r="B1473" s="590"/>
      <c r="C1473" s="590"/>
      <c r="D1473" s="586"/>
      <c r="E1473" s="586"/>
      <c r="F1473" s="586"/>
      <c r="G1473" s="586"/>
      <c r="H1473" s="586"/>
      <c r="I1473" s="586"/>
      <c r="J1473" s="586"/>
      <c r="K1473" s="586"/>
      <c r="L1473" s="591"/>
      <c r="M1473" s="592"/>
      <c r="N1473" s="588"/>
    </row>
    <row r="1474" spans="2:14">
      <c r="B1474" s="590"/>
      <c r="C1474" s="590"/>
      <c r="D1474" s="586"/>
      <c r="E1474" s="586"/>
      <c r="F1474" s="586"/>
      <c r="G1474" s="586"/>
      <c r="H1474" s="586"/>
      <c r="I1474" s="586"/>
      <c r="J1474" s="586"/>
      <c r="K1474" s="586"/>
      <c r="L1474" s="591"/>
      <c r="M1474" s="592"/>
      <c r="N1474" s="588"/>
    </row>
    <row r="1475" spans="2:14">
      <c r="B1475" s="590"/>
      <c r="C1475" s="590"/>
      <c r="D1475" s="586"/>
      <c r="E1475" s="586"/>
      <c r="F1475" s="586"/>
      <c r="G1475" s="586"/>
      <c r="H1475" s="586"/>
      <c r="I1475" s="586"/>
      <c r="J1475" s="586"/>
      <c r="K1475" s="586"/>
      <c r="L1475" s="591"/>
      <c r="M1475" s="592"/>
      <c r="N1475" s="588"/>
    </row>
    <row r="1476" spans="2:14">
      <c r="B1476" s="590"/>
      <c r="C1476" s="590"/>
      <c r="D1476" s="586"/>
      <c r="E1476" s="586"/>
      <c r="F1476" s="586"/>
      <c r="G1476" s="586"/>
      <c r="H1476" s="586"/>
      <c r="I1476" s="586"/>
      <c r="J1476" s="586"/>
      <c r="K1476" s="586"/>
      <c r="L1476" s="591"/>
      <c r="M1476" s="592"/>
      <c r="N1476" s="588"/>
    </row>
    <row r="1477" spans="2:14">
      <c r="B1477" s="590"/>
      <c r="C1477" s="590"/>
      <c r="D1477" s="586"/>
      <c r="E1477" s="586"/>
      <c r="F1477" s="586"/>
      <c r="G1477" s="586"/>
      <c r="H1477" s="586"/>
      <c r="I1477" s="586"/>
      <c r="J1477" s="586"/>
      <c r="K1477" s="586"/>
      <c r="L1477" s="591"/>
      <c r="M1477" s="592"/>
      <c r="N1477" s="588"/>
    </row>
    <row r="1478" spans="2:14">
      <c r="B1478" s="590"/>
      <c r="C1478" s="590"/>
      <c r="D1478" s="586"/>
      <c r="E1478" s="586"/>
      <c r="F1478" s="586"/>
      <c r="G1478" s="586"/>
      <c r="H1478" s="586"/>
      <c r="I1478" s="586"/>
      <c r="J1478" s="586"/>
      <c r="K1478" s="586"/>
      <c r="L1478" s="591"/>
      <c r="M1478" s="592"/>
      <c r="N1478" s="588"/>
    </row>
    <row r="1479" spans="2:14">
      <c r="B1479" s="590"/>
      <c r="C1479" s="590"/>
      <c r="D1479" s="586"/>
      <c r="E1479" s="586"/>
      <c r="F1479" s="586"/>
      <c r="G1479" s="586"/>
      <c r="H1479" s="586"/>
      <c r="I1479" s="586"/>
      <c r="J1479" s="586"/>
      <c r="K1479" s="586"/>
      <c r="L1479" s="591"/>
      <c r="M1479" s="592"/>
      <c r="N1479" s="588"/>
    </row>
    <row r="1480" spans="2:14">
      <c r="B1480" s="590"/>
      <c r="C1480" s="590"/>
      <c r="D1480" s="586"/>
      <c r="E1480" s="586"/>
      <c r="F1480" s="586"/>
      <c r="G1480" s="586"/>
      <c r="H1480" s="586"/>
      <c r="I1480" s="586"/>
      <c r="J1480" s="586"/>
      <c r="K1480" s="586"/>
      <c r="L1480" s="591"/>
      <c r="M1480" s="592"/>
      <c r="N1480" s="588"/>
    </row>
    <row r="1481" spans="2:14">
      <c r="B1481" s="590"/>
      <c r="C1481" s="590"/>
      <c r="D1481" s="586"/>
      <c r="E1481" s="586"/>
      <c r="F1481" s="586"/>
      <c r="G1481" s="586"/>
      <c r="H1481" s="586"/>
      <c r="I1481" s="586"/>
      <c r="J1481" s="586"/>
      <c r="K1481" s="586"/>
      <c r="L1481" s="591"/>
      <c r="M1481" s="592"/>
      <c r="N1481" s="588"/>
    </row>
    <row r="1482" spans="2:14">
      <c r="B1482" s="590"/>
      <c r="C1482" s="590"/>
      <c r="D1482" s="586"/>
      <c r="E1482" s="586"/>
      <c r="F1482" s="586"/>
      <c r="G1482" s="586"/>
      <c r="H1482" s="586"/>
      <c r="I1482" s="586"/>
      <c r="J1482" s="586"/>
      <c r="K1482" s="586"/>
      <c r="L1482" s="591"/>
      <c r="M1482" s="592"/>
      <c r="N1482" s="588"/>
    </row>
    <row r="1483" spans="2:14">
      <c r="B1483" s="590"/>
      <c r="C1483" s="590"/>
      <c r="D1483" s="586"/>
      <c r="E1483" s="586"/>
      <c r="F1483" s="586"/>
      <c r="G1483" s="586"/>
      <c r="H1483" s="586"/>
      <c r="I1483" s="586"/>
      <c r="J1483" s="586"/>
      <c r="K1483" s="586"/>
      <c r="L1483" s="591"/>
      <c r="M1483" s="592"/>
      <c r="N1483" s="588"/>
    </row>
    <row r="1484" spans="2:14">
      <c r="B1484" s="590"/>
      <c r="C1484" s="590"/>
      <c r="D1484" s="586"/>
      <c r="E1484" s="586"/>
      <c r="F1484" s="586"/>
      <c r="G1484" s="586"/>
      <c r="H1484" s="586"/>
      <c r="I1484" s="586"/>
      <c r="J1484" s="586"/>
      <c r="K1484" s="586"/>
      <c r="L1484" s="591"/>
      <c r="M1484" s="592"/>
      <c r="N1484" s="588"/>
    </row>
    <row r="1485" spans="2:14">
      <c r="B1485" s="590"/>
      <c r="C1485" s="590"/>
      <c r="D1485" s="586"/>
      <c r="E1485" s="586"/>
      <c r="F1485" s="586"/>
      <c r="G1485" s="586"/>
      <c r="H1485" s="586"/>
      <c r="I1485" s="586"/>
      <c r="J1485" s="586"/>
      <c r="K1485" s="586"/>
      <c r="L1485" s="591"/>
      <c r="M1485" s="592"/>
      <c r="N1485" s="588"/>
    </row>
    <row r="1486" spans="2:14">
      <c r="B1486" s="590"/>
      <c r="C1486" s="590"/>
      <c r="D1486" s="586"/>
      <c r="E1486" s="586"/>
      <c r="F1486" s="586"/>
      <c r="G1486" s="586"/>
      <c r="H1486" s="586"/>
      <c r="I1486" s="586"/>
      <c r="J1486" s="586"/>
      <c r="K1486" s="586"/>
      <c r="L1486" s="591"/>
      <c r="M1486" s="592"/>
      <c r="N1486" s="588"/>
    </row>
    <row r="1487" spans="2:14">
      <c r="B1487" s="590"/>
      <c r="C1487" s="590"/>
      <c r="D1487" s="586"/>
      <c r="E1487" s="586"/>
      <c r="F1487" s="586"/>
      <c r="G1487" s="586"/>
      <c r="H1487" s="586"/>
      <c r="I1487" s="586"/>
      <c r="J1487" s="586"/>
      <c r="K1487" s="586"/>
      <c r="L1487" s="591"/>
      <c r="M1487" s="592"/>
      <c r="N1487" s="588"/>
    </row>
    <row r="1488" spans="2:14">
      <c r="B1488" s="590"/>
      <c r="C1488" s="590"/>
      <c r="D1488" s="586"/>
      <c r="E1488" s="586"/>
      <c r="F1488" s="586"/>
      <c r="G1488" s="586"/>
      <c r="H1488" s="586"/>
      <c r="I1488" s="586"/>
      <c r="J1488" s="586"/>
      <c r="K1488" s="586"/>
      <c r="L1488" s="591"/>
      <c r="M1488" s="592"/>
      <c r="N1488" s="588"/>
    </row>
    <row r="1489" spans="2:14">
      <c r="B1489" s="590"/>
      <c r="C1489" s="590"/>
      <c r="D1489" s="586"/>
      <c r="E1489" s="586"/>
      <c r="F1489" s="586"/>
      <c r="G1489" s="586"/>
      <c r="H1489" s="586"/>
      <c r="I1489" s="586"/>
      <c r="J1489" s="586"/>
      <c r="K1489" s="586"/>
      <c r="L1489" s="591"/>
      <c r="M1489" s="592"/>
      <c r="N1489" s="588"/>
    </row>
    <row r="1490" spans="2:14">
      <c r="B1490" s="590"/>
      <c r="C1490" s="590"/>
      <c r="D1490" s="586"/>
      <c r="E1490" s="586"/>
      <c r="F1490" s="586"/>
      <c r="G1490" s="586"/>
      <c r="H1490" s="586"/>
      <c r="I1490" s="586"/>
      <c r="J1490" s="586"/>
      <c r="K1490" s="586"/>
      <c r="L1490" s="591"/>
      <c r="M1490" s="592"/>
      <c r="N1490" s="588"/>
    </row>
    <row r="1491" spans="2:14">
      <c r="B1491" s="590"/>
      <c r="C1491" s="590"/>
      <c r="D1491" s="586"/>
      <c r="E1491" s="586"/>
      <c r="F1491" s="586"/>
      <c r="G1491" s="586"/>
      <c r="H1491" s="586"/>
      <c r="I1491" s="586"/>
      <c r="J1491" s="586"/>
      <c r="K1491" s="586"/>
      <c r="L1491" s="591"/>
      <c r="M1491" s="592"/>
      <c r="N1491" s="588"/>
    </row>
    <row r="1492" spans="2:14">
      <c r="B1492" s="590"/>
      <c r="C1492" s="590"/>
      <c r="D1492" s="586"/>
      <c r="E1492" s="586"/>
      <c r="F1492" s="586"/>
      <c r="G1492" s="586"/>
      <c r="H1492" s="586"/>
      <c r="I1492" s="586"/>
      <c r="J1492" s="586"/>
      <c r="K1492" s="586"/>
      <c r="L1492" s="591"/>
      <c r="M1492" s="592"/>
      <c r="N1492" s="588"/>
    </row>
    <row r="1493" spans="2:14">
      <c r="B1493" s="590"/>
      <c r="C1493" s="590"/>
      <c r="D1493" s="586"/>
      <c r="E1493" s="586"/>
      <c r="F1493" s="586"/>
      <c r="G1493" s="586"/>
      <c r="H1493" s="586"/>
      <c r="I1493" s="586"/>
      <c r="J1493" s="586"/>
      <c r="K1493" s="586"/>
      <c r="L1493" s="591"/>
      <c r="M1493" s="592"/>
      <c r="N1493" s="588"/>
    </row>
    <row r="1494" spans="2:14">
      <c r="B1494" s="590"/>
      <c r="C1494" s="590"/>
      <c r="D1494" s="586"/>
      <c r="E1494" s="586"/>
      <c r="F1494" s="586"/>
      <c r="G1494" s="586"/>
      <c r="H1494" s="586"/>
      <c r="I1494" s="586"/>
      <c r="J1494" s="586"/>
      <c r="K1494" s="586"/>
      <c r="L1494" s="591"/>
      <c r="M1494" s="592"/>
      <c r="N1494" s="588"/>
    </row>
    <row r="1495" spans="2:14">
      <c r="B1495" s="590"/>
      <c r="C1495" s="590"/>
      <c r="D1495" s="586"/>
      <c r="E1495" s="586"/>
      <c r="F1495" s="586"/>
      <c r="G1495" s="586"/>
      <c r="H1495" s="586"/>
      <c r="I1495" s="586"/>
      <c r="J1495" s="586"/>
      <c r="K1495" s="586"/>
      <c r="L1495" s="591"/>
      <c r="M1495" s="592"/>
      <c r="N1495" s="588"/>
    </row>
    <row r="1496" spans="2:14">
      <c r="B1496" s="590"/>
      <c r="C1496" s="590"/>
      <c r="D1496" s="586"/>
      <c r="E1496" s="586"/>
      <c r="F1496" s="586"/>
      <c r="G1496" s="586"/>
      <c r="H1496" s="586"/>
      <c r="I1496" s="586"/>
      <c r="J1496" s="586"/>
      <c r="K1496" s="586"/>
      <c r="L1496" s="591"/>
      <c r="M1496" s="592"/>
      <c r="N1496" s="588"/>
    </row>
  </sheetData>
  <sheetProtection algorithmName="SHA-512" hashValue="inmeuMMmWh5ulQ7yjJRg/5IlqretI1PqRnPBX9Dq3AkzuRt/2iHFU8ur9l0zWHZYzcGut++5xDHF+tGZlB9DFw==" saltValue="pqnBbVHe4v/W32xTtXskGg==" spinCount="100000" sheet="1" insertColumns="0" insertRows="0" deleteColumns="0" deleteRows="0" selectLockedCells="1" sort="0" autoFilter="0" pivotTables="0"/>
  <mergeCells count="4">
    <mergeCell ref="O2:P2"/>
    <mergeCell ref="O3:P3"/>
    <mergeCell ref="O4:P4"/>
    <mergeCell ref="O5:P5"/>
  </mergeCells>
  <conditionalFormatting sqref="D2:K144">
    <cfRule type="cellIs" dxfId="4" priority="3" operator="greaterThan">
      <formula>0</formula>
    </cfRule>
  </conditionalFormatting>
  <conditionalFormatting sqref="M2:N144">
    <cfRule type="colorScale" priority="2">
      <colorScale>
        <cfvo type="min"/>
        <cfvo type="max"/>
        <color theme="0" tint="-0.249977111117893"/>
        <color rgb="FFFFFF00"/>
      </colorScale>
    </cfRule>
  </conditionalFormatting>
  <dataValidations disablePrompts="1" count="1">
    <dataValidation type="list" allowBlank="1" showInputMessage="1" showErrorMessage="1" sqref="WVP983042:WVP1048576 JD2:JD65536 SZ2:SZ65536 ACV2:ACV65536 AMR2:AMR65536 AWN2:AWN65536 BGJ2:BGJ65536 BQF2:BQF65536 CAB2:CAB65536 CJX2:CJX65536 CTT2:CTT65536 DDP2:DDP65536 DNL2:DNL65536 DXH2:DXH65536 EHD2:EHD65536 EQZ2:EQZ65536 FAV2:FAV65536 FKR2:FKR65536 FUN2:FUN65536 GEJ2:GEJ65536 GOF2:GOF65536 GYB2:GYB65536 HHX2:HHX65536 HRT2:HRT65536 IBP2:IBP65536 ILL2:ILL65536 IVH2:IVH65536 JFD2:JFD65536 JOZ2:JOZ65536 JYV2:JYV65536 KIR2:KIR65536 KSN2:KSN65536 LCJ2:LCJ65536 LMF2:LMF65536 LWB2:LWB65536 MFX2:MFX65536 MPT2:MPT65536 MZP2:MZP65536 NJL2:NJL65536 NTH2:NTH65536 ODD2:ODD65536 OMZ2:OMZ65536 OWV2:OWV65536 PGR2:PGR65536 PQN2:PQN65536 QAJ2:QAJ65536 QKF2:QKF65536 QUB2:QUB65536 RDX2:RDX65536 RNT2:RNT65536 RXP2:RXP65536 SHL2:SHL65536 SRH2:SRH65536 TBD2:TBD65536 TKZ2:TKZ65536 TUV2:TUV65536 UER2:UER65536 UON2:UON65536 UYJ2:UYJ65536 VIF2:VIF65536 VSB2:VSB65536 WBX2:WBX65536 WLT2:WLT65536 WVP2:WVP65536 A65538:A131072 JD65538:JD131072 SZ65538:SZ131072 ACV65538:ACV131072 AMR65538:AMR131072 AWN65538:AWN131072 BGJ65538:BGJ131072 BQF65538:BQF131072 CAB65538:CAB131072 CJX65538:CJX131072 CTT65538:CTT131072 DDP65538:DDP131072 DNL65538:DNL131072 DXH65538:DXH131072 EHD65538:EHD131072 EQZ65538:EQZ131072 FAV65538:FAV131072 FKR65538:FKR131072 FUN65538:FUN131072 GEJ65538:GEJ131072 GOF65538:GOF131072 GYB65538:GYB131072 HHX65538:HHX131072 HRT65538:HRT131072 IBP65538:IBP131072 ILL65538:ILL131072 IVH65538:IVH131072 JFD65538:JFD131072 JOZ65538:JOZ131072 JYV65538:JYV131072 KIR65538:KIR131072 KSN65538:KSN131072 LCJ65538:LCJ131072 LMF65538:LMF131072 LWB65538:LWB131072 MFX65538:MFX131072 MPT65538:MPT131072 MZP65538:MZP131072 NJL65538:NJL131072 NTH65538:NTH131072 ODD65538:ODD131072 OMZ65538:OMZ131072 OWV65538:OWV131072 PGR65538:PGR131072 PQN65538:PQN131072 QAJ65538:QAJ131072 QKF65538:QKF131072 QUB65538:QUB131072 RDX65538:RDX131072 RNT65538:RNT131072 RXP65538:RXP131072 SHL65538:SHL131072 SRH65538:SRH131072 TBD65538:TBD131072 TKZ65538:TKZ131072 TUV65538:TUV131072 UER65538:UER131072 UON65538:UON131072 UYJ65538:UYJ131072 VIF65538:VIF131072 VSB65538:VSB131072 WBX65538:WBX131072 WLT65538:WLT131072 WVP65538:WVP131072 A131074:A196608 JD131074:JD196608 SZ131074:SZ196608 ACV131074:ACV196608 AMR131074:AMR196608 AWN131074:AWN196608 BGJ131074:BGJ196608 BQF131074:BQF196608 CAB131074:CAB196608 CJX131074:CJX196608 CTT131074:CTT196608 DDP131074:DDP196608 DNL131074:DNL196608 DXH131074:DXH196608 EHD131074:EHD196608 EQZ131074:EQZ196608 FAV131074:FAV196608 FKR131074:FKR196608 FUN131074:FUN196608 GEJ131074:GEJ196608 GOF131074:GOF196608 GYB131074:GYB196608 HHX131074:HHX196608 HRT131074:HRT196608 IBP131074:IBP196608 ILL131074:ILL196608 IVH131074:IVH196608 JFD131074:JFD196608 JOZ131074:JOZ196608 JYV131074:JYV196608 KIR131074:KIR196608 KSN131074:KSN196608 LCJ131074:LCJ196608 LMF131074:LMF196608 LWB131074:LWB196608 MFX131074:MFX196608 MPT131074:MPT196608 MZP131074:MZP196608 NJL131074:NJL196608 NTH131074:NTH196608 ODD131074:ODD196608 OMZ131074:OMZ196608 OWV131074:OWV196608 PGR131074:PGR196608 PQN131074:PQN196608 QAJ131074:QAJ196608 QKF131074:QKF196608 QUB131074:QUB196608 RDX131074:RDX196608 RNT131074:RNT196608 RXP131074:RXP196608 SHL131074:SHL196608 SRH131074:SRH196608 TBD131074:TBD196608 TKZ131074:TKZ196608 TUV131074:TUV196608 UER131074:UER196608 UON131074:UON196608 UYJ131074:UYJ196608 VIF131074:VIF196608 VSB131074:VSB196608 WBX131074:WBX196608 WLT131074:WLT196608 WVP131074:WVP196608 A196610:A262144 JD196610:JD262144 SZ196610:SZ262144 ACV196610:ACV262144 AMR196610:AMR262144 AWN196610:AWN262144 BGJ196610:BGJ262144 BQF196610:BQF262144 CAB196610:CAB262144 CJX196610:CJX262144 CTT196610:CTT262144 DDP196610:DDP262144 DNL196610:DNL262144 DXH196610:DXH262144 EHD196610:EHD262144 EQZ196610:EQZ262144 FAV196610:FAV262144 FKR196610:FKR262144 FUN196610:FUN262144 GEJ196610:GEJ262144 GOF196610:GOF262144 GYB196610:GYB262144 HHX196610:HHX262144 HRT196610:HRT262144 IBP196610:IBP262144 ILL196610:ILL262144 IVH196610:IVH262144 JFD196610:JFD262144 JOZ196610:JOZ262144 JYV196610:JYV262144 KIR196610:KIR262144 KSN196610:KSN262144 LCJ196610:LCJ262144 LMF196610:LMF262144 LWB196610:LWB262144 MFX196610:MFX262144 MPT196610:MPT262144 MZP196610:MZP262144 NJL196610:NJL262144 NTH196610:NTH262144 ODD196610:ODD262144 OMZ196610:OMZ262144 OWV196610:OWV262144 PGR196610:PGR262144 PQN196610:PQN262144 QAJ196610:QAJ262144 QKF196610:QKF262144 QUB196610:QUB262144 RDX196610:RDX262144 RNT196610:RNT262144 RXP196610:RXP262144 SHL196610:SHL262144 SRH196610:SRH262144 TBD196610:TBD262144 TKZ196610:TKZ262144 TUV196610:TUV262144 UER196610:UER262144 UON196610:UON262144 UYJ196610:UYJ262144 VIF196610:VIF262144 VSB196610:VSB262144 WBX196610:WBX262144 WLT196610:WLT262144 WVP196610:WVP262144 A262146:A327680 JD262146:JD327680 SZ262146:SZ327680 ACV262146:ACV327680 AMR262146:AMR327680 AWN262146:AWN327680 BGJ262146:BGJ327680 BQF262146:BQF327680 CAB262146:CAB327680 CJX262146:CJX327680 CTT262146:CTT327680 DDP262146:DDP327680 DNL262146:DNL327680 DXH262146:DXH327680 EHD262146:EHD327680 EQZ262146:EQZ327680 FAV262146:FAV327680 FKR262146:FKR327680 FUN262146:FUN327680 GEJ262146:GEJ327680 GOF262146:GOF327680 GYB262146:GYB327680 HHX262146:HHX327680 HRT262146:HRT327680 IBP262146:IBP327680 ILL262146:ILL327680 IVH262146:IVH327680 JFD262146:JFD327680 JOZ262146:JOZ327680 JYV262146:JYV327680 KIR262146:KIR327680 KSN262146:KSN327680 LCJ262146:LCJ327680 LMF262146:LMF327680 LWB262146:LWB327680 MFX262146:MFX327680 MPT262146:MPT327680 MZP262146:MZP327680 NJL262146:NJL327680 NTH262146:NTH327680 ODD262146:ODD327680 OMZ262146:OMZ327680 OWV262146:OWV327680 PGR262146:PGR327680 PQN262146:PQN327680 QAJ262146:QAJ327680 QKF262146:QKF327680 QUB262146:QUB327680 RDX262146:RDX327680 RNT262146:RNT327680 RXP262146:RXP327680 SHL262146:SHL327680 SRH262146:SRH327680 TBD262146:TBD327680 TKZ262146:TKZ327680 TUV262146:TUV327680 UER262146:UER327680 UON262146:UON327680 UYJ262146:UYJ327680 VIF262146:VIF327680 VSB262146:VSB327680 WBX262146:WBX327680 WLT262146:WLT327680 WVP262146:WVP327680 A327682:A393216 JD327682:JD393216 SZ327682:SZ393216 ACV327682:ACV393216 AMR327682:AMR393216 AWN327682:AWN393216 BGJ327682:BGJ393216 BQF327682:BQF393216 CAB327682:CAB393216 CJX327682:CJX393216 CTT327682:CTT393216 DDP327682:DDP393216 DNL327682:DNL393216 DXH327682:DXH393216 EHD327682:EHD393216 EQZ327682:EQZ393216 FAV327682:FAV393216 FKR327682:FKR393216 FUN327682:FUN393216 GEJ327682:GEJ393216 GOF327682:GOF393216 GYB327682:GYB393216 HHX327682:HHX393216 HRT327682:HRT393216 IBP327682:IBP393216 ILL327682:ILL393216 IVH327682:IVH393216 JFD327682:JFD393216 JOZ327682:JOZ393216 JYV327682:JYV393216 KIR327682:KIR393216 KSN327682:KSN393216 LCJ327682:LCJ393216 LMF327682:LMF393216 LWB327682:LWB393216 MFX327682:MFX393216 MPT327682:MPT393216 MZP327682:MZP393216 NJL327682:NJL393216 NTH327682:NTH393216 ODD327682:ODD393216 OMZ327682:OMZ393216 OWV327682:OWV393216 PGR327682:PGR393216 PQN327682:PQN393216 QAJ327682:QAJ393216 QKF327682:QKF393216 QUB327682:QUB393216 RDX327682:RDX393216 RNT327682:RNT393216 RXP327682:RXP393216 SHL327682:SHL393216 SRH327682:SRH393216 TBD327682:TBD393216 TKZ327682:TKZ393216 TUV327682:TUV393216 UER327682:UER393216 UON327682:UON393216 UYJ327682:UYJ393216 VIF327682:VIF393216 VSB327682:VSB393216 WBX327682:WBX393216 WLT327682:WLT393216 WVP327682:WVP393216 A393218:A458752 JD393218:JD458752 SZ393218:SZ458752 ACV393218:ACV458752 AMR393218:AMR458752 AWN393218:AWN458752 BGJ393218:BGJ458752 BQF393218:BQF458752 CAB393218:CAB458752 CJX393218:CJX458752 CTT393218:CTT458752 DDP393218:DDP458752 DNL393218:DNL458752 DXH393218:DXH458752 EHD393218:EHD458752 EQZ393218:EQZ458752 FAV393218:FAV458752 FKR393218:FKR458752 FUN393218:FUN458752 GEJ393218:GEJ458752 GOF393218:GOF458752 GYB393218:GYB458752 HHX393218:HHX458752 HRT393218:HRT458752 IBP393218:IBP458752 ILL393218:ILL458752 IVH393218:IVH458752 JFD393218:JFD458752 JOZ393218:JOZ458752 JYV393218:JYV458752 KIR393218:KIR458752 KSN393218:KSN458752 LCJ393218:LCJ458752 LMF393218:LMF458752 LWB393218:LWB458752 MFX393218:MFX458752 MPT393218:MPT458752 MZP393218:MZP458752 NJL393218:NJL458752 NTH393218:NTH458752 ODD393218:ODD458752 OMZ393218:OMZ458752 OWV393218:OWV458752 PGR393218:PGR458752 PQN393218:PQN458752 QAJ393218:QAJ458752 QKF393218:QKF458752 QUB393218:QUB458752 RDX393218:RDX458752 RNT393218:RNT458752 RXP393218:RXP458752 SHL393218:SHL458752 SRH393218:SRH458752 TBD393218:TBD458752 TKZ393218:TKZ458752 TUV393218:TUV458752 UER393218:UER458752 UON393218:UON458752 UYJ393218:UYJ458752 VIF393218:VIF458752 VSB393218:VSB458752 WBX393218:WBX458752 WLT393218:WLT458752 WVP393218:WVP458752 A458754:A524288 JD458754:JD524288 SZ458754:SZ524288 ACV458754:ACV524288 AMR458754:AMR524288 AWN458754:AWN524288 BGJ458754:BGJ524288 BQF458754:BQF524288 CAB458754:CAB524288 CJX458754:CJX524288 CTT458754:CTT524288 DDP458754:DDP524288 DNL458754:DNL524288 DXH458754:DXH524288 EHD458754:EHD524288 EQZ458754:EQZ524288 FAV458754:FAV524288 FKR458754:FKR524288 FUN458754:FUN524288 GEJ458754:GEJ524288 GOF458754:GOF524288 GYB458754:GYB524288 HHX458754:HHX524288 HRT458754:HRT524288 IBP458754:IBP524288 ILL458754:ILL524288 IVH458754:IVH524288 JFD458754:JFD524288 JOZ458754:JOZ524288 JYV458754:JYV524288 KIR458754:KIR524288 KSN458754:KSN524288 LCJ458754:LCJ524288 LMF458754:LMF524288 LWB458754:LWB524288 MFX458754:MFX524288 MPT458754:MPT524288 MZP458754:MZP524288 NJL458754:NJL524288 NTH458754:NTH524288 ODD458754:ODD524288 OMZ458754:OMZ524288 OWV458754:OWV524288 PGR458754:PGR524288 PQN458754:PQN524288 QAJ458754:QAJ524288 QKF458754:QKF524288 QUB458754:QUB524288 RDX458754:RDX524288 RNT458754:RNT524288 RXP458754:RXP524288 SHL458754:SHL524288 SRH458754:SRH524288 TBD458754:TBD524288 TKZ458754:TKZ524288 TUV458754:TUV524288 UER458754:UER524288 UON458754:UON524288 UYJ458754:UYJ524288 VIF458754:VIF524288 VSB458754:VSB524288 WBX458754:WBX524288 WLT458754:WLT524288 WVP458754:WVP524288 A524290:A589824 JD524290:JD589824 SZ524290:SZ589824 ACV524290:ACV589824 AMR524290:AMR589824 AWN524290:AWN589824 BGJ524290:BGJ589824 BQF524290:BQF589824 CAB524290:CAB589824 CJX524290:CJX589824 CTT524290:CTT589824 DDP524290:DDP589824 DNL524290:DNL589824 DXH524290:DXH589824 EHD524290:EHD589824 EQZ524290:EQZ589824 FAV524290:FAV589824 FKR524290:FKR589824 FUN524290:FUN589824 GEJ524290:GEJ589824 GOF524290:GOF589824 GYB524290:GYB589824 HHX524290:HHX589824 HRT524290:HRT589824 IBP524290:IBP589824 ILL524290:ILL589824 IVH524290:IVH589824 JFD524290:JFD589824 JOZ524290:JOZ589824 JYV524290:JYV589824 KIR524290:KIR589824 KSN524290:KSN589824 LCJ524290:LCJ589824 LMF524290:LMF589824 LWB524290:LWB589824 MFX524290:MFX589824 MPT524290:MPT589824 MZP524290:MZP589824 NJL524290:NJL589824 NTH524290:NTH589824 ODD524290:ODD589824 OMZ524290:OMZ589824 OWV524290:OWV589824 PGR524290:PGR589824 PQN524290:PQN589824 QAJ524290:QAJ589824 QKF524290:QKF589824 QUB524290:QUB589824 RDX524290:RDX589824 RNT524290:RNT589824 RXP524290:RXP589824 SHL524290:SHL589824 SRH524290:SRH589824 TBD524290:TBD589824 TKZ524290:TKZ589824 TUV524290:TUV589824 UER524290:UER589824 UON524290:UON589824 UYJ524290:UYJ589824 VIF524290:VIF589824 VSB524290:VSB589824 WBX524290:WBX589824 WLT524290:WLT589824 WVP524290:WVP589824 A589826:A655360 JD589826:JD655360 SZ589826:SZ655360 ACV589826:ACV655360 AMR589826:AMR655360 AWN589826:AWN655360 BGJ589826:BGJ655360 BQF589826:BQF655360 CAB589826:CAB655360 CJX589826:CJX655360 CTT589826:CTT655360 DDP589826:DDP655360 DNL589826:DNL655360 DXH589826:DXH655360 EHD589826:EHD655360 EQZ589826:EQZ655360 FAV589826:FAV655360 FKR589826:FKR655360 FUN589826:FUN655360 GEJ589826:GEJ655360 GOF589826:GOF655360 GYB589826:GYB655360 HHX589826:HHX655360 HRT589826:HRT655360 IBP589826:IBP655360 ILL589826:ILL655360 IVH589826:IVH655360 JFD589826:JFD655360 JOZ589826:JOZ655360 JYV589826:JYV655360 KIR589826:KIR655360 KSN589826:KSN655360 LCJ589826:LCJ655360 LMF589826:LMF655360 LWB589826:LWB655360 MFX589826:MFX655360 MPT589826:MPT655360 MZP589826:MZP655360 NJL589826:NJL655360 NTH589826:NTH655360 ODD589826:ODD655360 OMZ589826:OMZ655360 OWV589826:OWV655360 PGR589826:PGR655360 PQN589826:PQN655360 QAJ589826:QAJ655360 QKF589826:QKF655360 QUB589826:QUB655360 RDX589826:RDX655360 RNT589826:RNT655360 RXP589826:RXP655360 SHL589826:SHL655360 SRH589826:SRH655360 TBD589826:TBD655360 TKZ589826:TKZ655360 TUV589826:TUV655360 UER589826:UER655360 UON589826:UON655360 UYJ589826:UYJ655360 VIF589826:VIF655360 VSB589826:VSB655360 WBX589826:WBX655360 WLT589826:WLT655360 WVP589826:WVP655360 A655362:A720896 JD655362:JD720896 SZ655362:SZ720896 ACV655362:ACV720896 AMR655362:AMR720896 AWN655362:AWN720896 BGJ655362:BGJ720896 BQF655362:BQF720896 CAB655362:CAB720896 CJX655362:CJX720896 CTT655362:CTT720896 DDP655362:DDP720896 DNL655362:DNL720896 DXH655362:DXH720896 EHD655362:EHD720896 EQZ655362:EQZ720896 FAV655362:FAV720896 FKR655362:FKR720896 FUN655362:FUN720896 GEJ655362:GEJ720896 GOF655362:GOF720896 GYB655362:GYB720896 HHX655362:HHX720896 HRT655362:HRT720896 IBP655362:IBP720896 ILL655362:ILL720896 IVH655362:IVH720896 JFD655362:JFD720896 JOZ655362:JOZ720896 JYV655362:JYV720896 KIR655362:KIR720896 KSN655362:KSN720896 LCJ655362:LCJ720896 LMF655362:LMF720896 LWB655362:LWB720896 MFX655362:MFX720896 MPT655362:MPT720896 MZP655362:MZP720896 NJL655362:NJL720896 NTH655362:NTH720896 ODD655362:ODD720896 OMZ655362:OMZ720896 OWV655362:OWV720896 PGR655362:PGR720896 PQN655362:PQN720896 QAJ655362:QAJ720896 QKF655362:QKF720896 QUB655362:QUB720896 RDX655362:RDX720896 RNT655362:RNT720896 RXP655362:RXP720896 SHL655362:SHL720896 SRH655362:SRH720896 TBD655362:TBD720896 TKZ655362:TKZ720896 TUV655362:TUV720896 UER655362:UER720896 UON655362:UON720896 UYJ655362:UYJ720896 VIF655362:VIF720896 VSB655362:VSB720896 WBX655362:WBX720896 WLT655362:WLT720896 WVP655362:WVP720896 A720898:A786432 JD720898:JD786432 SZ720898:SZ786432 ACV720898:ACV786432 AMR720898:AMR786432 AWN720898:AWN786432 BGJ720898:BGJ786432 BQF720898:BQF786432 CAB720898:CAB786432 CJX720898:CJX786432 CTT720898:CTT786432 DDP720898:DDP786432 DNL720898:DNL786432 DXH720898:DXH786432 EHD720898:EHD786432 EQZ720898:EQZ786432 FAV720898:FAV786432 FKR720898:FKR786432 FUN720898:FUN786432 GEJ720898:GEJ786432 GOF720898:GOF786432 GYB720898:GYB786432 HHX720898:HHX786432 HRT720898:HRT786432 IBP720898:IBP786432 ILL720898:ILL786432 IVH720898:IVH786432 JFD720898:JFD786432 JOZ720898:JOZ786432 JYV720898:JYV786432 KIR720898:KIR786432 KSN720898:KSN786432 LCJ720898:LCJ786432 LMF720898:LMF786432 LWB720898:LWB786432 MFX720898:MFX786432 MPT720898:MPT786432 MZP720898:MZP786432 NJL720898:NJL786432 NTH720898:NTH786432 ODD720898:ODD786432 OMZ720898:OMZ786432 OWV720898:OWV786432 PGR720898:PGR786432 PQN720898:PQN786432 QAJ720898:QAJ786432 QKF720898:QKF786432 QUB720898:QUB786432 RDX720898:RDX786432 RNT720898:RNT786432 RXP720898:RXP786432 SHL720898:SHL786432 SRH720898:SRH786432 TBD720898:TBD786432 TKZ720898:TKZ786432 TUV720898:TUV786432 UER720898:UER786432 UON720898:UON786432 UYJ720898:UYJ786432 VIF720898:VIF786432 VSB720898:VSB786432 WBX720898:WBX786432 WLT720898:WLT786432 WVP720898:WVP786432 A786434:A851968 JD786434:JD851968 SZ786434:SZ851968 ACV786434:ACV851968 AMR786434:AMR851968 AWN786434:AWN851968 BGJ786434:BGJ851968 BQF786434:BQF851968 CAB786434:CAB851968 CJX786434:CJX851968 CTT786434:CTT851968 DDP786434:DDP851968 DNL786434:DNL851968 DXH786434:DXH851968 EHD786434:EHD851968 EQZ786434:EQZ851968 FAV786434:FAV851968 FKR786434:FKR851968 FUN786434:FUN851968 GEJ786434:GEJ851968 GOF786434:GOF851968 GYB786434:GYB851968 HHX786434:HHX851968 HRT786434:HRT851968 IBP786434:IBP851968 ILL786434:ILL851968 IVH786434:IVH851968 JFD786434:JFD851968 JOZ786434:JOZ851968 JYV786434:JYV851968 KIR786434:KIR851968 KSN786434:KSN851968 LCJ786434:LCJ851968 LMF786434:LMF851968 LWB786434:LWB851968 MFX786434:MFX851968 MPT786434:MPT851968 MZP786434:MZP851968 NJL786434:NJL851968 NTH786434:NTH851968 ODD786434:ODD851968 OMZ786434:OMZ851968 OWV786434:OWV851968 PGR786434:PGR851968 PQN786434:PQN851968 QAJ786434:QAJ851968 QKF786434:QKF851968 QUB786434:QUB851968 RDX786434:RDX851968 RNT786434:RNT851968 RXP786434:RXP851968 SHL786434:SHL851968 SRH786434:SRH851968 TBD786434:TBD851968 TKZ786434:TKZ851968 TUV786434:TUV851968 UER786434:UER851968 UON786434:UON851968 UYJ786434:UYJ851968 VIF786434:VIF851968 VSB786434:VSB851968 WBX786434:WBX851968 WLT786434:WLT851968 WVP786434:WVP851968 A851970:A917504 JD851970:JD917504 SZ851970:SZ917504 ACV851970:ACV917504 AMR851970:AMR917504 AWN851970:AWN917504 BGJ851970:BGJ917504 BQF851970:BQF917504 CAB851970:CAB917504 CJX851970:CJX917504 CTT851970:CTT917504 DDP851970:DDP917504 DNL851970:DNL917504 DXH851970:DXH917504 EHD851970:EHD917504 EQZ851970:EQZ917504 FAV851970:FAV917504 FKR851970:FKR917504 FUN851970:FUN917504 GEJ851970:GEJ917504 GOF851970:GOF917504 GYB851970:GYB917504 HHX851970:HHX917504 HRT851970:HRT917504 IBP851970:IBP917504 ILL851970:ILL917504 IVH851970:IVH917504 JFD851970:JFD917504 JOZ851970:JOZ917504 JYV851970:JYV917504 KIR851970:KIR917504 KSN851970:KSN917504 LCJ851970:LCJ917504 LMF851970:LMF917504 LWB851970:LWB917504 MFX851970:MFX917504 MPT851970:MPT917504 MZP851970:MZP917504 NJL851970:NJL917504 NTH851970:NTH917504 ODD851970:ODD917504 OMZ851970:OMZ917504 OWV851970:OWV917504 PGR851970:PGR917504 PQN851970:PQN917504 QAJ851970:QAJ917504 QKF851970:QKF917504 QUB851970:QUB917504 RDX851970:RDX917504 RNT851970:RNT917504 RXP851970:RXP917504 SHL851970:SHL917504 SRH851970:SRH917504 TBD851970:TBD917504 TKZ851970:TKZ917504 TUV851970:TUV917504 UER851970:UER917504 UON851970:UON917504 UYJ851970:UYJ917504 VIF851970:VIF917504 VSB851970:VSB917504 WBX851970:WBX917504 WLT851970:WLT917504 WVP851970:WVP917504 A917506:A983040 JD917506:JD983040 SZ917506:SZ983040 ACV917506:ACV983040 AMR917506:AMR983040 AWN917506:AWN983040 BGJ917506:BGJ983040 BQF917506:BQF983040 CAB917506:CAB983040 CJX917506:CJX983040 CTT917506:CTT983040 DDP917506:DDP983040 DNL917506:DNL983040 DXH917506:DXH983040 EHD917506:EHD983040 EQZ917506:EQZ983040 FAV917506:FAV983040 FKR917506:FKR983040 FUN917506:FUN983040 GEJ917506:GEJ983040 GOF917506:GOF983040 GYB917506:GYB983040 HHX917506:HHX983040 HRT917506:HRT983040 IBP917506:IBP983040 ILL917506:ILL983040 IVH917506:IVH983040 JFD917506:JFD983040 JOZ917506:JOZ983040 JYV917506:JYV983040 KIR917506:KIR983040 KSN917506:KSN983040 LCJ917506:LCJ983040 LMF917506:LMF983040 LWB917506:LWB983040 MFX917506:MFX983040 MPT917506:MPT983040 MZP917506:MZP983040 NJL917506:NJL983040 NTH917506:NTH983040 ODD917506:ODD983040 OMZ917506:OMZ983040 OWV917506:OWV983040 PGR917506:PGR983040 PQN917506:PQN983040 QAJ917506:QAJ983040 QKF917506:QKF983040 QUB917506:QUB983040 RDX917506:RDX983040 RNT917506:RNT983040 RXP917506:RXP983040 SHL917506:SHL983040 SRH917506:SRH983040 TBD917506:TBD983040 TKZ917506:TKZ983040 TUV917506:TUV983040 UER917506:UER983040 UON917506:UON983040 UYJ917506:UYJ983040 VIF917506:VIF983040 VSB917506:VSB983040 WBX917506:WBX983040 WLT917506:WLT983040 WVP917506:WVP983040 A983042:A1048576 JD983042:JD1048576 SZ983042:SZ1048576 ACV983042:ACV1048576 AMR983042:AMR1048576 AWN983042:AWN1048576 BGJ983042:BGJ1048576 BQF983042:BQF1048576 CAB983042:CAB1048576 CJX983042:CJX1048576 CTT983042:CTT1048576 DDP983042:DDP1048576 DNL983042:DNL1048576 DXH983042:DXH1048576 EHD983042:EHD1048576 EQZ983042:EQZ1048576 FAV983042:FAV1048576 FKR983042:FKR1048576 FUN983042:FUN1048576 GEJ983042:GEJ1048576 GOF983042:GOF1048576 GYB983042:GYB1048576 HHX983042:HHX1048576 HRT983042:HRT1048576 IBP983042:IBP1048576 ILL983042:ILL1048576 IVH983042:IVH1048576 JFD983042:JFD1048576 JOZ983042:JOZ1048576 JYV983042:JYV1048576 KIR983042:KIR1048576 KSN983042:KSN1048576 LCJ983042:LCJ1048576 LMF983042:LMF1048576 LWB983042:LWB1048576 MFX983042:MFX1048576 MPT983042:MPT1048576 MZP983042:MZP1048576 NJL983042:NJL1048576 NTH983042:NTH1048576 ODD983042:ODD1048576 OMZ983042:OMZ1048576 OWV983042:OWV1048576 PGR983042:PGR1048576 PQN983042:PQN1048576 QAJ983042:QAJ1048576 QKF983042:QKF1048576 QUB983042:QUB1048576 RDX983042:RDX1048576 RNT983042:RNT1048576 RXP983042:RXP1048576 SHL983042:SHL1048576 SRH983042:SRH1048576 TBD983042:TBD1048576 TKZ983042:TKZ1048576 TUV983042:TUV1048576 UER983042:UER1048576 UON983042:UON1048576 UYJ983042:UYJ1048576 VIF983042:VIF1048576 VSB983042:VSB1048576 WBX983042:WBX1048576 WLT983042:WLT1048576 A37 A49 A61 A73 A85 A97 A109 A121 A133 A145:A65536">
      <formula1>Relación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'BASE DE DATOS COLABORADORES'!$A$2:$A$26</xm:f>
          </x14:formula1>
          <xm:sqref>A2:A36 A38:A48 A50:A60 A62:A72 A74:A84 A86:A96 A98:A108 A110:A120 A122:A132 A134:A144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CC0099"/>
  </sheetPr>
  <dimension ref="A1:E1496"/>
  <sheetViews>
    <sheetView workbookViewId="0">
      <selection activeCell="C4" sqref="C4"/>
    </sheetView>
  </sheetViews>
  <sheetFormatPr baseColWidth="10" defaultRowHeight="16.5"/>
  <cols>
    <col min="1" max="1" width="21.5" style="13" customWidth="1"/>
    <col min="2" max="2" width="16" style="14" customWidth="1"/>
    <col min="3" max="3" width="21.875" style="14" customWidth="1"/>
    <col min="4" max="256" width="11" style="14"/>
    <col min="257" max="257" width="21.5" style="14" customWidth="1"/>
    <col min="258" max="258" width="11" style="14"/>
    <col min="259" max="259" width="54.625" style="14" bestFit="1" customWidth="1"/>
    <col min="260" max="512" width="11" style="14"/>
    <col min="513" max="513" width="21.5" style="14" customWidth="1"/>
    <col min="514" max="514" width="11" style="14"/>
    <col min="515" max="515" width="54.625" style="14" bestFit="1" customWidth="1"/>
    <col min="516" max="768" width="11" style="14"/>
    <col min="769" max="769" width="21.5" style="14" customWidth="1"/>
    <col min="770" max="770" width="11" style="14"/>
    <col min="771" max="771" width="54.625" style="14" bestFit="1" customWidth="1"/>
    <col min="772" max="1024" width="11" style="14"/>
    <col min="1025" max="1025" width="21.5" style="14" customWidth="1"/>
    <col min="1026" max="1026" width="11" style="14"/>
    <col min="1027" max="1027" width="54.625" style="14" bestFit="1" customWidth="1"/>
    <col min="1028" max="1280" width="11" style="14"/>
    <col min="1281" max="1281" width="21.5" style="14" customWidth="1"/>
    <col min="1282" max="1282" width="11" style="14"/>
    <col min="1283" max="1283" width="54.625" style="14" bestFit="1" customWidth="1"/>
    <col min="1284" max="1536" width="11" style="14"/>
    <col min="1537" max="1537" width="21.5" style="14" customWidth="1"/>
    <col min="1538" max="1538" width="11" style="14"/>
    <col min="1539" max="1539" width="54.625" style="14" bestFit="1" customWidth="1"/>
    <col min="1540" max="1792" width="11" style="14"/>
    <col min="1793" max="1793" width="21.5" style="14" customWidth="1"/>
    <col min="1794" max="1794" width="11" style="14"/>
    <col min="1795" max="1795" width="54.625" style="14" bestFit="1" customWidth="1"/>
    <col min="1796" max="2048" width="11" style="14"/>
    <col min="2049" max="2049" width="21.5" style="14" customWidth="1"/>
    <col min="2050" max="2050" width="11" style="14"/>
    <col min="2051" max="2051" width="54.625" style="14" bestFit="1" customWidth="1"/>
    <col min="2052" max="2304" width="11" style="14"/>
    <col min="2305" max="2305" width="21.5" style="14" customWidth="1"/>
    <col min="2306" max="2306" width="11" style="14"/>
    <col min="2307" max="2307" width="54.625" style="14" bestFit="1" customWidth="1"/>
    <col min="2308" max="2560" width="11" style="14"/>
    <col min="2561" max="2561" width="21.5" style="14" customWidth="1"/>
    <col min="2562" max="2562" width="11" style="14"/>
    <col min="2563" max="2563" width="54.625" style="14" bestFit="1" customWidth="1"/>
    <col min="2564" max="2816" width="11" style="14"/>
    <col min="2817" max="2817" width="21.5" style="14" customWidth="1"/>
    <col min="2818" max="2818" width="11" style="14"/>
    <col min="2819" max="2819" width="54.625" style="14" bestFit="1" customWidth="1"/>
    <col min="2820" max="3072" width="11" style="14"/>
    <col min="3073" max="3073" width="21.5" style="14" customWidth="1"/>
    <col min="3074" max="3074" width="11" style="14"/>
    <col min="3075" max="3075" width="54.625" style="14" bestFit="1" customWidth="1"/>
    <col min="3076" max="3328" width="11" style="14"/>
    <col min="3329" max="3329" width="21.5" style="14" customWidth="1"/>
    <col min="3330" max="3330" width="11" style="14"/>
    <col min="3331" max="3331" width="54.625" style="14" bestFit="1" customWidth="1"/>
    <col min="3332" max="3584" width="11" style="14"/>
    <col min="3585" max="3585" width="21.5" style="14" customWidth="1"/>
    <col min="3586" max="3586" width="11" style="14"/>
    <col min="3587" max="3587" width="54.625" style="14" bestFit="1" customWidth="1"/>
    <col min="3588" max="3840" width="11" style="14"/>
    <col min="3841" max="3841" width="21.5" style="14" customWidth="1"/>
    <col min="3842" max="3842" width="11" style="14"/>
    <col min="3843" max="3843" width="54.625" style="14" bestFit="1" customWidth="1"/>
    <col min="3844" max="4096" width="11" style="14"/>
    <col min="4097" max="4097" width="21.5" style="14" customWidth="1"/>
    <col min="4098" max="4098" width="11" style="14"/>
    <col min="4099" max="4099" width="54.625" style="14" bestFit="1" customWidth="1"/>
    <col min="4100" max="4352" width="11" style="14"/>
    <col min="4353" max="4353" width="21.5" style="14" customWidth="1"/>
    <col min="4354" max="4354" width="11" style="14"/>
    <col min="4355" max="4355" width="54.625" style="14" bestFit="1" customWidth="1"/>
    <col min="4356" max="4608" width="11" style="14"/>
    <col min="4609" max="4609" width="21.5" style="14" customWidth="1"/>
    <col min="4610" max="4610" width="11" style="14"/>
    <col min="4611" max="4611" width="54.625" style="14" bestFit="1" customWidth="1"/>
    <col min="4612" max="4864" width="11" style="14"/>
    <col min="4865" max="4865" width="21.5" style="14" customWidth="1"/>
    <col min="4866" max="4866" width="11" style="14"/>
    <col min="4867" max="4867" width="54.625" style="14" bestFit="1" customWidth="1"/>
    <col min="4868" max="5120" width="11" style="14"/>
    <col min="5121" max="5121" width="21.5" style="14" customWidth="1"/>
    <col min="5122" max="5122" width="11" style="14"/>
    <col min="5123" max="5123" width="54.625" style="14" bestFit="1" customWidth="1"/>
    <col min="5124" max="5376" width="11" style="14"/>
    <col min="5377" max="5377" width="21.5" style="14" customWidth="1"/>
    <col min="5378" max="5378" width="11" style="14"/>
    <col min="5379" max="5379" width="54.625" style="14" bestFit="1" customWidth="1"/>
    <col min="5380" max="5632" width="11" style="14"/>
    <col min="5633" max="5633" width="21.5" style="14" customWidth="1"/>
    <col min="5634" max="5634" width="11" style="14"/>
    <col min="5635" max="5635" width="54.625" style="14" bestFit="1" customWidth="1"/>
    <col min="5636" max="5888" width="11" style="14"/>
    <col min="5889" max="5889" width="21.5" style="14" customWidth="1"/>
    <col min="5890" max="5890" width="11" style="14"/>
    <col min="5891" max="5891" width="54.625" style="14" bestFit="1" customWidth="1"/>
    <col min="5892" max="6144" width="11" style="14"/>
    <col min="6145" max="6145" width="21.5" style="14" customWidth="1"/>
    <col min="6146" max="6146" width="11" style="14"/>
    <col min="6147" max="6147" width="54.625" style="14" bestFit="1" customWidth="1"/>
    <col min="6148" max="6400" width="11" style="14"/>
    <col min="6401" max="6401" width="21.5" style="14" customWidth="1"/>
    <col min="6402" max="6402" width="11" style="14"/>
    <col min="6403" max="6403" width="54.625" style="14" bestFit="1" customWidth="1"/>
    <col min="6404" max="6656" width="11" style="14"/>
    <col min="6657" max="6657" width="21.5" style="14" customWidth="1"/>
    <col min="6658" max="6658" width="11" style="14"/>
    <col min="6659" max="6659" width="54.625" style="14" bestFit="1" customWidth="1"/>
    <col min="6660" max="6912" width="11" style="14"/>
    <col min="6913" max="6913" width="21.5" style="14" customWidth="1"/>
    <col min="6914" max="6914" width="11" style="14"/>
    <col min="6915" max="6915" width="54.625" style="14" bestFit="1" customWidth="1"/>
    <col min="6916" max="7168" width="11" style="14"/>
    <col min="7169" max="7169" width="21.5" style="14" customWidth="1"/>
    <col min="7170" max="7170" width="11" style="14"/>
    <col min="7171" max="7171" width="54.625" style="14" bestFit="1" customWidth="1"/>
    <col min="7172" max="7424" width="11" style="14"/>
    <col min="7425" max="7425" width="21.5" style="14" customWidth="1"/>
    <col min="7426" max="7426" width="11" style="14"/>
    <col min="7427" max="7427" width="54.625" style="14" bestFit="1" customWidth="1"/>
    <col min="7428" max="7680" width="11" style="14"/>
    <col min="7681" max="7681" width="21.5" style="14" customWidth="1"/>
    <col min="7682" max="7682" width="11" style="14"/>
    <col min="7683" max="7683" width="54.625" style="14" bestFit="1" customWidth="1"/>
    <col min="7684" max="7936" width="11" style="14"/>
    <col min="7937" max="7937" width="21.5" style="14" customWidth="1"/>
    <col min="7938" max="7938" width="11" style="14"/>
    <col min="7939" max="7939" width="54.625" style="14" bestFit="1" customWidth="1"/>
    <col min="7940" max="8192" width="11" style="14"/>
    <col min="8193" max="8193" width="21.5" style="14" customWidth="1"/>
    <col min="8194" max="8194" width="11" style="14"/>
    <col min="8195" max="8195" width="54.625" style="14" bestFit="1" customWidth="1"/>
    <col min="8196" max="8448" width="11" style="14"/>
    <col min="8449" max="8449" width="21.5" style="14" customWidth="1"/>
    <col min="8450" max="8450" width="11" style="14"/>
    <col min="8451" max="8451" width="54.625" style="14" bestFit="1" customWidth="1"/>
    <col min="8452" max="8704" width="11" style="14"/>
    <col min="8705" max="8705" width="21.5" style="14" customWidth="1"/>
    <col min="8706" max="8706" width="11" style="14"/>
    <col min="8707" max="8707" width="54.625" style="14" bestFit="1" customWidth="1"/>
    <col min="8708" max="8960" width="11" style="14"/>
    <col min="8961" max="8961" width="21.5" style="14" customWidth="1"/>
    <col min="8962" max="8962" width="11" style="14"/>
    <col min="8963" max="8963" width="54.625" style="14" bestFit="1" customWidth="1"/>
    <col min="8964" max="9216" width="11" style="14"/>
    <col min="9217" max="9217" width="21.5" style="14" customWidth="1"/>
    <col min="9218" max="9218" width="11" style="14"/>
    <col min="9219" max="9219" width="54.625" style="14" bestFit="1" customWidth="1"/>
    <col min="9220" max="9472" width="11" style="14"/>
    <col min="9473" max="9473" width="21.5" style="14" customWidth="1"/>
    <col min="9474" max="9474" width="11" style="14"/>
    <col min="9475" max="9475" width="54.625" style="14" bestFit="1" customWidth="1"/>
    <col min="9476" max="9728" width="11" style="14"/>
    <col min="9729" max="9729" width="21.5" style="14" customWidth="1"/>
    <col min="9730" max="9730" width="11" style="14"/>
    <col min="9731" max="9731" width="54.625" style="14" bestFit="1" customWidth="1"/>
    <col min="9732" max="9984" width="11" style="14"/>
    <col min="9985" max="9985" width="21.5" style="14" customWidth="1"/>
    <col min="9986" max="9986" width="11" style="14"/>
    <col min="9987" max="9987" width="54.625" style="14" bestFit="1" customWidth="1"/>
    <col min="9988" max="10240" width="11" style="14"/>
    <col min="10241" max="10241" width="21.5" style="14" customWidth="1"/>
    <col min="10242" max="10242" width="11" style="14"/>
    <col min="10243" max="10243" width="54.625" style="14" bestFit="1" customWidth="1"/>
    <col min="10244" max="10496" width="11" style="14"/>
    <col min="10497" max="10497" width="21.5" style="14" customWidth="1"/>
    <col min="10498" max="10498" width="11" style="14"/>
    <col min="10499" max="10499" width="54.625" style="14" bestFit="1" customWidth="1"/>
    <col min="10500" max="10752" width="11" style="14"/>
    <col min="10753" max="10753" width="21.5" style="14" customWidth="1"/>
    <col min="10754" max="10754" width="11" style="14"/>
    <col min="10755" max="10755" width="54.625" style="14" bestFit="1" customWidth="1"/>
    <col min="10756" max="11008" width="11" style="14"/>
    <col min="11009" max="11009" width="21.5" style="14" customWidth="1"/>
    <col min="11010" max="11010" width="11" style="14"/>
    <col min="11011" max="11011" width="54.625" style="14" bestFit="1" customWidth="1"/>
    <col min="11012" max="11264" width="11" style="14"/>
    <col min="11265" max="11265" width="21.5" style="14" customWidth="1"/>
    <col min="11266" max="11266" width="11" style="14"/>
    <col min="11267" max="11267" width="54.625" style="14" bestFit="1" customWidth="1"/>
    <col min="11268" max="11520" width="11" style="14"/>
    <col min="11521" max="11521" width="21.5" style="14" customWidth="1"/>
    <col min="11522" max="11522" width="11" style="14"/>
    <col min="11523" max="11523" width="54.625" style="14" bestFit="1" customWidth="1"/>
    <col min="11524" max="11776" width="11" style="14"/>
    <col min="11777" max="11777" width="21.5" style="14" customWidth="1"/>
    <col min="11778" max="11778" width="11" style="14"/>
    <col min="11779" max="11779" width="54.625" style="14" bestFit="1" customWidth="1"/>
    <col min="11780" max="12032" width="11" style="14"/>
    <col min="12033" max="12033" width="21.5" style="14" customWidth="1"/>
    <col min="12034" max="12034" width="11" style="14"/>
    <col min="12035" max="12035" width="54.625" style="14" bestFit="1" customWidth="1"/>
    <col min="12036" max="12288" width="11" style="14"/>
    <col min="12289" max="12289" width="21.5" style="14" customWidth="1"/>
    <col min="12290" max="12290" width="11" style="14"/>
    <col min="12291" max="12291" width="54.625" style="14" bestFit="1" customWidth="1"/>
    <col min="12292" max="12544" width="11" style="14"/>
    <col min="12545" max="12545" width="21.5" style="14" customWidth="1"/>
    <col min="12546" max="12546" width="11" style="14"/>
    <col min="12547" max="12547" width="54.625" style="14" bestFit="1" customWidth="1"/>
    <col min="12548" max="12800" width="11" style="14"/>
    <col min="12801" max="12801" width="21.5" style="14" customWidth="1"/>
    <col min="12802" max="12802" width="11" style="14"/>
    <col min="12803" max="12803" width="54.625" style="14" bestFit="1" customWidth="1"/>
    <col min="12804" max="13056" width="11" style="14"/>
    <col min="13057" max="13057" width="21.5" style="14" customWidth="1"/>
    <col min="13058" max="13058" width="11" style="14"/>
    <col min="13059" max="13059" width="54.625" style="14" bestFit="1" customWidth="1"/>
    <col min="13060" max="13312" width="11" style="14"/>
    <col min="13313" max="13313" width="21.5" style="14" customWidth="1"/>
    <col min="13314" max="13314" width="11" style="14"/>
    <col min="13315" max="13315" width="54.625" style="14" bestFit="1" customWidth="1"/>
    <col min="13316" max="13568" width="11" style="14"/>
    <col min="13569" max="13569" width="21.5" style="14" customWidth="1"/>
    <col min="13570" max="13570" width="11" style="14"/>
    <col min="13571" max="13571" width="54.625" style="14" bestFit="1" customWidth="1"/>
    <col min="13572" max="13824" width="11" style="14"/>
    <col min="13825" max="13825" width="21.5" style="14" customWidth="1"/>
    <col min="13826" max="13826" width="11" style="14"/>
    <col min="13827" max="13827" width="54.625" style="14" bestFit="1" customWidth="1"/>
    <col min="13828" max="14080" width="11" style="14"/>
    <col min="14081" max="14081" width="21.5" style="14" customWidth="1"/>
    <col min="14082" max="14082" width="11" style="14"/>
    <col min="14083" max="14083" width="54.625" style="14" bestFit="1" customWidth="1"/>
    <col min="14084" max="14336" width="11" style="14"/>
    <col min="14337" max="14337" width="21.5" style="14" customWidth="1"/>
    <col min="14338" max="14338" width="11" style="14"/>
    <col min="14339" max="14339" width="54.625" style="14" bestFit="1" customWidth="1"/>
    <col min="14340" max="14592" width="11" style="14"/>
    <col min="14593" max="14593" width="21.5" style="14" customWidth="1"/>
    <col min="14594" max="14594" width="11" style="14"/>
    <col min="14595" max="14595" width="54.625" style="14" bestFit="1" customWidth="1"/>
    <col min="14596" max="14848" width="11" style="14"/>
    <col min="14849" max="14849" width="21.5" style="14" customWidth="1"/>
    <col min="14850" max="14850" width="11" style="14"/>
    <col min="14851" max="14851" width="54.625" style="14" bestFit="1" customWidth="1"/>
    <col min="14852" max="15104" width="11" style="14"/>
    <col min="15105" max="15105" width="21.5" style="14" customWidth="1"/>
    <col min="15106" max="15106" width="11" style="14"/>
    <col min="15107" max="15107" width="54.625" style="14" bestFit="1" customWidth="1"/>
    <col min="15108" max="15360" width="11" style="14"/>
    <col min="15361" max="15361" width="21.5" style="14" customWidth="1"/>
    <col min="15362" max="15362" width="11" style="14"/>
    <col min="15363" max="15363" width="54.625" style="14" bestFit="1" customWidth="1"/>
    <col min="15364" max="15616" width="11" style="14"/>
    <col min="15617" max="15617" width="21.5" style="14" customWidth="1"/>
    <col min="15618" max="15618" width="11" style="14"/>
    <col min="15619" max="15619" width="54.625" style="14" bestFit="1" customWidth="1"/>
    <col min="15620" max="15872" width="11" style="14"/>
    <col min="15873" max="15873" width="21.5" style="14" customWidth="1"/>
    <col min="15874" max="15874" width="11" style="14"/>
    <col min="15875" max="15875" width="54.625" style="14" bestFit="1" customWidth="1"/>
    <col min="15876" max="16128" width="11" style="14"/>
    <col min="16129" max="16129" width="21.5" style="14" customWidth="1"/>
    <col min="16130" max="16130" width="11" style="14"/>
    <col min="16131" max="16131" width="54.625" style="14" bestFit="1" customWidth="1"/>
    <col min="16132" max="16384" width="11" style="14"/>
  </cols>
  <sheetData>
    <row r="1" spans="1:5" ht="20.25" customHeight="1">
      <c r="A1" s="444" t="s">
        <v>860</v>
      </c>
      <c r="B1" s="445" t="s">
        <v>859</v>
      </c>
      <c r="C1" s="446" t="s">
        <v>858</v>
      </c>
      <c r="D1" s="669" t="s">
        <v>18</v>
      </c>
      <c r="E1" s="669"/>
    </row>
    <row r="2" spans="1:5">
      <c r="A2" s="447">
        <v>1321648522</v>
      </c>
      <c r="B2" s="448" t="s">
        <v>164</v>
      </c>
      <c r="C2" s="448" t="s">
        <v>229</v>
      </c>
      <c r="D2" s="670" t="s">
        <v>17</v>
      </c>
      <c r="E2" s="670"/>
    </row>
    <row r="3" spans="1:5">
      <c r="A3" s="447">
        <v>1323384207</v>
      </c>
      <c r="B3" s="448" t="s">
        <v>170</v>
      </c>
      <c r="C3" s="448" t="s">
        <v>232</v>
      </c>
      <c r="D3" s="670" t="s">
        <v>1029</v>
      </c>
      <c r="E3" s="670"/>
    </row>
    <row r="4" spans="1:5">
      <c r="A4" s="447">
        <v>1237462775</v>
      </c>
      <c r="B4" s="448" t="s">
        <v>171</v>
      </c>
      <c r="C4" s="448" t="s">
        <v>228</v>
      </c>
      <c r="D4" s="670" t="s">
        <v>1030</v>
      </c>
      <c r="E4" s="670"/>
    </row>
    <row r="5" spans="1:5">
      <c r="A5" s="447">
        <v>1285748000</v>
      </c>
      <c r="B5" s="448" t="s">
        <v>172</v>
      </c>
      <c r="C5" s="448" t="s">
        <v>234</v>
      </c>
    </row>
    <row r="6" spans="1:5">
      <c r="A6" s="447">
        <v>1247550875</v>
      </c>
      <c r="B6" s="448" t="s">
        <v>167</v>
      </c>
      <c r="C6" s="448" t="s">
        <v>231</v>
      </c>
    </row>
    <row r="7" spans="1:5">
      <c r="A7" s="447">
        <v>1311966071</v>
      </c>
      <c r="B7" s="448" t="s">
        <v>40</v>
      </c>
      <c r="C7" s="448" t="s">
        <v>228</v>
      </c>
    </row>
    <row r="8" spans="1:5">
      <c r="A8" s="447">
        <v>1317424267</v>
      </c>
      <c r="B8" s="448" t="s">
        <v>165</v>
      </c>
      <c r="C8" s="448" t="s">
        <v>230</v>
      </c>
    </row>
    <row r="9" spans="1:5">
      <c r="A9" s="447">
        <v>1315211554</v>
      </c>
      <c r="B9" s="448" t="s">
        <v>166</v>
      </c>
      <c r="C9" s="448" t="s">
        <v>229</v>
      </c>
    </row>
    <row r="10" spans="1:5">
      <c r="A10" s="447">
        <v>1241318672</v>
      </c>
      <c r="B10" s="448" t="s">
        <v>168</v>
      </c>
      <c r="C10" s="448" t="s">
        <v>232</v>
      </c>
    </row>
    <row r="11" spans="1:5">
      <c r="A11" s="447">
        <v>1324063080</v>
      </c>
      <c r="B11" s="448" t="s">
        <v>169</v>
      </c>
      <c r="C11" s="448" t="s">
        <v>233</v>
      </c>
    </row>
    <row r="12" spans="1:5">
      <c r="A12" s="449">
        <v>1259425899</v>
      </c>
      <c r="B12" s="448" t="s">
        <v>175</v>
      </c>
      <c r="C12" s="448" t="s">
        <v>234</v>
      </c>
    </row>
    <row r="13" spans="1:5">
      <c r="A13" s="447"/>
      <c r="B13" s="448"/>
      <c r="C13" s="448"/>
    </row>
    <row r="14" spans="1:5">
      <c r="A14" s="450"/>
      <c r="B14" s="450"/>
      <c r="C14" s="450"/>
    </row>
    <row r="15" spans="1:5">
      <c r="A15" s="450"/>
      <c r="B15" s="450"/>
      <c r="C15" s="450"/>
    </row>
    <row r="16" spans="1:5">
      <c r="A16" s="450"/>
      <c r="B16" s="450"/>
      <c r="C16" s="450"/>
    </row>
    <row r="17" spans="1:3">
      <c r="A17" s="450"/>
      <c r="B17" s="450"/>
      <c r="C17" s="450"/>
    </row>
    <row r="18" spans="1:3">
      <c r="A18" s="450"/>
      <c r="B18" s="450"/>
      <c r="C18" s="450"/>
    </row>
    <row r="19" spans="1:3">
      <c r="A19" s="450"/>
      <c r="B19" s="450"/>
      <c r="C19" s="450"/>
    </row>
    <row r="20" spans="1:3">
      <c r="A20" s="450"/>
      <c r="B20" s="450"/>
      <c r="C20" s="450"/>
    </row>
    <row r="21" spans="1:3">
      <c r="A21" s="450"/>
      <c r="B21" s="450"/>
      <c r="C21" s="450"/>
    </row>
    <row r="22" spans="1:3">
      <c r="A22" s="450"/>
      <c r="B22" s="450"/>
      <c r="C22" s="450"/>
    </row>
    <row r="23" spans="1:3">
      <c r="A23" s="450"/>
      <c r="B23" s="450"/>
      <c r="C23" s="450"/>
    </row>
    <row r="24" spans="1:3">
      <c r="A24" s="450"/>
      <c r="B24" s="450"/>
      <c r="C24" s="450"/>
    </row>
    <row r="25" spans="1:3">
      <c r="A25" s="450"/>
      <c r="B25" s="450"/>
      <c r="C25" s="450"/>
    </row>
    <row r="26" spans="1:3">
      <c r="A26" s="450"/>
      <c r="B26" s="450"/>
      <c r="C26" s="450"/>
    </row>
    <row r="27" spans="1:3">
      <c r="A27" s="12"/>
    </row>
    <row r="28" spans="1:3">
      <c r="A28" s="12"/>
    </row>
    <row r="29" spans="1:3">
      <c r="A29" s="12"/>
    </row>
    <row r="30" spans="1:3">
      <c r="A30" s="12"/>
    </row>
    <row r="31" spans="1:3">
      <c r="A31" s="12"/>
    </row>
    <row r="32" spans="1:3">
      <c r="A32" s="12"/>
    </row>
    <row r="33" spans="1:1">
      <c r="A33" s="12"/>
    </row>
    <row r="34" spans="1:1">
      <c r="A34" s="12"/>
    </row>
    <row r="35" spans="1:1">
      <c r="A35" s="12"/>
    </row>
    <row r="36" spans="1:1">
      <c r="A36" s="12"/>
    </row>
    <row r="37" spans="1:1">
      <c r="A37" s="12"/>
    </row>
    <row r="38" spans="1:1">
      <c r="A38" s="12"/>
    </row>
    <row r="39" spans="1:1">
      <c r="A39" s="12"/>
    </row>
    <row r="40" spans="1:1">
      <c r="A40" s="12"/>
    </row>
    <row r="41" spans="1:1">
      <c r="A41" s="12"/>
    </row>
    <row r="42" spans="1:1">
      <c r="A42" s="12"/>
    </row>
    <row r="43" spans="1:1">
      <c r="A43" s="12"/>
    </row>
    <row r="44" spans="1:1">
      <c r="A44" s="12"/>
    </row>
    <row r="45" spans="1:1">
      <c r="A45" s="12"/>
    </row>
    <row r="46" spans="1:1">
      <c r="A46" s="12"/>
    </row>
    <row r="47" spans="1:1">
      <c r="A47" s="12"/>
    </row>
    <row r="48" spans="1:1">
      <c r="A48" s="12"/>
    </row>
    <row r="49" spans="1:1">
      <c r="A49" s="12"/>
    </row>
    <row r="50" spans="1:1">
      <c r="A50" s="12"/>
    </row>
    <row r="51" spans="1:1">
      <c r="A51" s="12"/>
    </row>
    <row r="52" spans="1:1">
      <c r="A52" s="12"/>
    </row>
    <row r="53" spans="1:1">
      <c r="A53" s="12"/>
    </row>
    <row r="54" spans="1:1">
      <c r="A54" s="12"/>
    </row>
    <row r="55" spans="1:1">
      <c r="A55" s="12"/>
    </row>
    <row r="56" spans="1:1">
      <c r="A56" s="12"/>
    </row>
    <row r="57" spans="1:1">
      <c r="A57" s="12"/>
    </row>
    <row r="58" spans="1:1">
      <c r="A58" s="12"/>
    </row>
    <row r="59" spans="1:1">
      <c r="A59" s="12"/>
    </row>
    <row r="60" spans="1:1">
      <c r="A60" s="12"/>
    </row>
    <row r="61" spans="1:1">
      <c r="A61" s="12"/>
    </row>
    <row r="62" spans="1:1">
      <c r="A62" s="12"/>
    </row>
    <row r="63" spans="1:1">
      <c r="A63" s="12"/>
    </row>
    <row r="64" spans="1:1">
      <c r="A64" s="12"/>
    </row>
    <row r="65" spans="1:1">
      <c r="A65" s="12"/>
    </row>
    <row r="66" spans="1:1">
      <c r="A66" s="12"/>
    </row>
    <row r="67" spans="1:1">
      <c r="A67" s="12"/>
    </row>
    <row r="68" spans="1:1">
      <c r="A68" s="12"/>
    </row>
    <row r="69" spans="1:1">
      <c r="A69" s="12"/>
    </row>
    <row r="70" spans="1:1">
      <c r="A70" s="12"/>
    </row>
    <row r="71" spans="1:1">
      <c r="A71" s="12"/>
    </row>
    <row r="72" spans="1:1">
      <c r="A72" s="12"/>
    </row>
    <row r="73" spans="1:1">
      <c r="A73" s="12"/>
    </row>
    <row r="74" spans="1:1">
      <c r="A74" s="12"/>
    </row>
    <row r="75" spans="1:1">
      <c r="A75" s="12"/>
    </row>
    <row r="76" spans="1:1">
      <c r="A76" s="12"/>
    </row>
    <row r="77" spans="1:1">
      <c r="A77" s="12"/>
    </row>
    <row r="78" spans="1:1">
      <c r="A78" s="12"/>
    </row>
    <row r="79" spans="1:1">
      <c r="A79" s="12"/>
    </row>
    <row r="80" spans="1:1">
      <c r="A80" s="12"/>
    </row>
    <row r="81" spans="1:1">
      <c r="A81" s="12"/>
    </row>
    <row r="82" spans="1:1">
      <c r="A82" s="12"/>
    </row>
    <row r="83" spans="1:1">
      <c r="A83" s="12"/>
    </row>
    <row r="84" spans="1:1">
      <c r="A84" s="12"/>
    </row>
    <row r="85" spans="1:1">
      <c r="A85" s="12"/>
    </row>
    <row r="86" spans="1:1">
      <c r="A86" s="12"/>
    </row>
    <row r="87" spans="1:1">
      <c r="A87" s="12"/>
    </row>
    <row r="88" spans="1:1">
      <c r="A88" s="12"/>
    </row>
    <row r="89" spans="1:1">
      <c r="A89" s="12"/>
    </row>
    <row r="90" spans="1:1">
      <c r="A90" s="12"/>
    </row>
    <row r="91" spans="1:1">
      <c r="A91" s="12"/>
    </row>
    <row r="92" spans="1:1">
      <c r="A92" s="12"/>
    </row>
    <row r="93" spans="1:1">
      <c r="A93" s="12"/>
    </row>
    <row r="94" spans="1:1">
      <c r="A94" s="12"/>
    </row>
    <row r="95" spans="1:1">
      <c r="A95" s="12"/>
    </row>
    <row r="96" spans="1:1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1">
      <c r="A113" s="12"/>
    </row>
    <row r="114" spans="1:1">
      <c r="A114" s="12"/>
    </row>
    <row r="115" spans="1:1">
      <c r="A115" s="12"/>
    </row>
    <row r="116" spans="1:1">
      <c r="A116" s="12"/>
    </row>
    <row r="117" spans="1:1">
      <c r="A117" s="12"/>
    </row>
    <row r="118" spans="1:1">
      <c r="A118" s="12"/>
    </row>
    <row r="119" spans="1:1">
      <c r="A119" s="12"/>
    </row>
    <row r="120" spans="1:1">
      <c r="A120" s="12"/>
    </row>
    <row r="121" spans="1:1">
      <c r="A121" s="12"/>
    </row>
    <row r="122" spans="1:1">
      <c r="A122" s="12"/>
    </row>
    <row r="123" spans="1:1">
      <c r="A123" s="12"/>
    </row>
    <row r="124" spans="1:1">
      <c r="A124" s="12"/>
    </row>
    <row r="125" spans="1:1">
      <c r="A125" s="12"/>
    </row>
    <row r="126" spans="1:1">
      <c r="A126" s="12"/>
    </row>
    <row r="127" spans="1:1">
      <c r="A127" s="12"/>
    </row>
    <row r="128" spans="1:1">
      <c r="A128" s="12"/>
    </row>
    <row r="129" spans="1:1">
      <c r="A129" s="12"/>
    </row>
    <row r="130" spans="1:1">
      <c r="A130" s="12"/>
    </row>
    <row r="131" spans="1:1">
      <c r="A131" s="12"/>
    </row>
    <row r="132" spans="1:1">
      <c r="A132" s="12"/>
    </row>
    <row r="133" spans="1:1">
      <c r="A133" s="12"/>
    </row>
    <row r="134" spans="1:1">
      <c r="A134" s="12"/>
    </row>
    <row r="135" spans="1:1">
      <c r="A135" s="12"/>
    </row>
    <row r="136" spans="1:1">
      <c r="A136" s="12"/>
    </row>
    <row r="137" spans="1:1">
      <c r="A137" s="12"/>
    </row>
    <row r="138" spans="1:1">
      <c r="A138" s="12"/>
    </row>
    <row r="139" spans="1:1">
      <c r="A139" s="12"/>
    </row>
    <row r="140" spans="1:1">
      <c r="A140" s="12"/>
    </row>
    <row r="141" spans="1:1">
      <c r="A141" s="12"/>
    </row>
    <row r="142" spans="1:1">
      <c r="A142" s="12"/>
    </row>
    <row r="143" spans="1:1">
      <c r="A143" s="12"/>
    </row>
    <row r="144" spans="1:1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  <row r="205" spans="1:1">
      <c r="A205" s="12"/>
    </row>
    <row r="206" spans="1:1">
      <c r="A206" s="12"/>
    </row>
    <row r="207" spans="1:1">
      <c r="A207" s="12"/>
    </row>
    <row r="208" spans="1:1">
      <c r="A208" s="12"/>
    </row>
    <row r="209" spans="1:1">
      <c r="A209" s="12"/>
    </row>
    <row r="210" spans="1:1">
      <c r="A210" s="12"/>
    </row>
    <row r="211" spans="1:1">
      <c r="A211" s="12"/>
    </row>
    <row r="212" spans="1:1">
      <c r="A212" s="12"/>
    </row>
    <row r="213" spans="1:1">
      <c r="A213" s="12"/>
    </row>
    <row r="214" spans="1:1">
      <c r="A214" s="12"/>
    </row>
    <row r="215" spans="1:1">
      <c r="A215" s="12"/>
    </row>
    <row r="216" spans="1:1">
      <c r="A216" s="12"/>
    </row>
    <row r="217" spans="1:1">
      <c r="A217" s="12"/>
    </row>
    <row r="218" spans="1:1">
      <c r="A218" s="12"/>
    </row>
    <row r="219" spans="1:1">
      <c r="A219" s="12"/>
    </row>
    <row r="220" spans="1:1">
      <c r="A220" s="12"/>
    </row>
    <row r="221" spans="1:1">
      <c r="A221" s="12"/>
    </row>
    <row r="222" spans="1:1">
      <c r="A222" s="12"/>
    </row>
    <row r="223" spans="1:1">
      <c r="A223" s="12"/>
    </row>
    <row r="224" spans="1:1">
      <c r="A224" s="12"/>
    </row>
    <row r="225" spans="1:1">
      <c r="A225" s="12"/>
    </row>
    <row r="226" spans="1:1">
      <c r="A226" s="12"/>
    </row>
    <row r="227" spans="1:1">
      <c r="A227" s="12"/>
    </row>
    <row r="228" spans="1:1">
      <c r="A228" s="12"/>
    </row>
    <row r="229" spans="1:1">
      <c r="A229" s="12"/>
    </row>
    <row r="230" spans="1:1">
      <c r="A230" s="12"/>
    </row>
    <row r="231" spans="1:1">
      <c r="A231" s="12"/>
    </row>
    <row r="232" spans="1:1">
      <c r="A232" s="12"/>
    </row>
    <row r="233" spans="1:1">
      <c r="A233" s="12"/>
    </row>
    <row r="234" spans="1:1">
      <c r="A234" s="12"/>
    </row>
    <row r="235" spans="1:1">
      <c r="A235" s="12"/>
    </row>
    <row r="236" spans="1:1">
      <c r="A236" s="12"/>
    </row>
    <row r="237" spans="1:1">
      <c r="A237" s="12"/>
    </row>
    <row r="238" spans="1:1">
      <c r="A238" s="12"/>
    </row>
    <row r="239" spans="1:1">
      <c r="A239" s="12"/>
    </row>
    <row r="240" spans="1:1">
      <c r="A240" s="12"/>
    </row>
    <row r="241" spans="1:1">
      <c r="A241" s="12"/>
    </row>
    <row r="242" spans="1:1">
      <c r="A242" s="12"/>
    </row>
    <row r="243" spans="1:1">
      <c r="A243" s="12"/>
    </row>
    <row r="244" spans="1:1">
      <c r="A244" s="12"/>
    </row>
    <row r="245" spans="1:1">
      <c r="A245" s="12"/>
    </row>
    <row r="246" spans="1:1">
      <c r="A246" s="12"/>
    </row>
    <row r="247" spans="1:1">
      <c r="A247" s="12"/>
    </row>
    <row r="248" spans="1:1">
      <c r="A248" s="12"/>
    </row>
    <row r="249" spans="1:1">
      <c r="A249" s="12"/>
    </row>
    <row r="250" spans="1:1">
      <c r="A250" s="12"/>
    </row>
    <row r="251" spans="1:1">
      <c r="A251" s="12"/>
    </row>
    <row r="252" spans="1:1">
      <c r="A252" s="12"/>
    </row>
    <row r="253" spans="1:1">
      <c r="A253" s="12"/>
    </row>
    <row r="254" spans="1:1">
      <c r="A254" s="12"/>
    </row>
    <row r="255" spans="1:1">
      <c r="A255" s="12"/>
    </row>
    <row r="256" spans="1:1">
      <c r="A256" s="12"/>
    </row>
    <row r="257" spans="1:1">
      <c r="A257" s="12"/>
    </row>
    <row r="258" spans="1:1">
      <c r="A258" s="12"/>
    </row>
    <row r="259" spans="1:1">
      <c r="A259" s="12"/>
    </row>
    <row r="260" spans="1:1">
      <c r="A260" s="12"/>
    </row>
    <row r="261" spans="1:1">
      <c r="A261" s="12"/>
    </row>
    <row r="262" spans="1:1">
      <c r="A262" s="12"/>
    </row>
    <row r="263" spans="1:1">
      <c r="A263" s="12"/>
    </row>
    <row r="264" spans="1:1">
      <c r="A264" s="12"/>
    </row>
    <row r="265" spans="1:1">
      <c r="A265" s="12"/>
    </row>
    <row r="266" spans="1:1">
      <c r="A266" s="12"/>
    </row>
    <row r="267" spans="1:1">
      <c r="A267" s="12"/>
    </row>
    <row r="268" spans="1:1">
      <c r="A268" s="12"/>
    </row>
    <row r="269" spans="1:1">
      <c r="A269" s="12"/>
    </row>
    <row r="270" spans="1:1">
      <c r="A270" s="12"/>
    </row>
    <row r="271" spans="1:1">
      <c r="A271" s="12"/>
    </row>
    <row r="272" spans="1:1">
      <c r="A272" s="12"/>
    </row>
    <row r="273" spans="1:1">
      <c r="A273" s="12"/>
    </row>
    <row r="274" spans="1:1">
      <c r="A274" s="12"/>
    </row>
    <row r="275" spans="1:1">
      <c r="A275" s="12"/>
    </row>
    <row r="276" spans="1:1">
      <c r="A276" s="12"/>
    </row>
    <row r="277" spans="1:1">
      <c r="A277" s="12"/>
    </row>
    <row r="278" spans="1:1">
      <c r="A278" s="12"/>
    </row>
    <row r="279" spans="1:1">
      <c r="A279" s="12"/>
    </row>
    <row r="280" spans="1:1">
      <c r="A280" s="12"/>
    </row>
    <row r="281" spans="1:1">
      <c r="A281" s="12"/>
    </row>
    <row r="282" spans="1:1">
      <c r="A282" s="12"/>
    </row>
    <row r="283" spans="1:1">
      <c r="A283" s="12"/>
    </row>
    <row r="284" spans="1:1">
      <c r="A284" s="12"/>
    </row>
    <row r="285" spans="1:1">
      <c r="A285" s="12"/>
    </row>
    <row r="286" spans="1:1">
      <c r="A286" s="12"/>
    </row>
    <row r="287" spans="1:1">
      <c r="A287" s="12"/>
    </row>
    <row r="288" spans="1:1">
      <c r="A288" s="12"/>
    </row>
    <row r="289" spans="1:1">
      <c r="A289" s="12"/>
    </row>
    <row r="290" spans="1:1">
      <c r="A290" s="12"/>
    </row>
    <row r="291" spans="1:1">
      <c r="A291" s="12"/>
    </row>
    <row r="292" spans="1:1">
      <c r="A292" s="12"/>
    </row>
    <row r="293" spans="1:1">
      <c r="A293" s="12"/>
    </row>
    <row r="294" spans="1:1">
      <c r="A294" s="12"/>
    </row>
    <row r="295" spans="1:1">
      <c r="A295" s="12"/>
    </row>
    <row r="296" spans="1:1">
      <c r="A296" s="12"/>
    </row>
    <row r="297" spans="1:1">
      <c r="A297" s="12"/>
    </row>
    <row r="298" spans="1:1">
      <c r="A298" s="12"/>
    </row>
    <row r="299" spans="1:1">
      <c r="A299" s="12"/>
    </row>
    <row r="300" spans="1:1">
      <c r="A300" s="12"/>
    </row>
    <row r="301" spans="1:1">
      <c r="A301" s="12"/>
    </row>
    <row r="302" spans="1:1">
      <c r="A302" s="12"/>
    </row>
    <row r="303" spans="1:1">
      <c r="A303" s="12"/>
    </row>
    <row r="304" spans="1:1">
      <c r="A304" s="12"/>
    </row>
    <row r="305" spans="1:1">
      <c r="A305" s="12"/>
    </row>
    <row r="306" spans="1:1">
      <c r="A306" s="12"/>
    </row>
    <row r="307" spans="1:1">
      <c r="A307" s="12"/>
    </row>
    <row r="308" spans="1:1">
      <c r="A308" s="12"/>
    </row>
    <row r="309" spans="1:1">
      <c r="A309" s="12"/>
    </row>
    <row r="310" spans="1:1">
      <c r="A310" s="12"/>
    </row>
    <row r="311" spans="1:1">
      <c r="A311" s="12"/>
    </row>
    <row r="312" spans="1:1">
      <c r="A312" s="12"/>
    </row>
    <row r="313" spans="1:1">
      <c r="A313" s="12"/>
    </row>
    <row r="314" spans="1:1">
      <c r="A314" s="12"/>
    </row>
    <row r="315" spans="1:1">
      <c r="A315" s="12"/>
    </row>
    <row r="316" spans="1:1">
      <c r="A316" s="12"/>
    </row>
    <row r="317" spans="1:1">
      <c r="A317" s="12"/>
    </row>
    <row r="318" spans="1:1">
      <c r="A318" s="12"/>
    </row>
    <row r="319" spans="1:1">
      <c r="A319" s="12"/>
    </row>
    <row r="320" spans="1:1">
      <c r="A320" s="12"/>
    </row>
    <row r="321" spans="1:1">
      <c r="A321" s="12"/>
    </row>
    <row r="322" spans="1:1">
      <c r="A322" s="12"/>
    </row>
    <row r="323" spans="1:1">
      <c r="A323" s="12"/>
    </row>
    <row r="324" spans="1:1">
      <c r="A324" s="12"/>
    </row>
    <row r="325" spans="1:1">
      <c r="A325" s="12"/>
    </row>
    <row r="326" spans="1:1">
      <c r="A326" s="12"/>
    </row>
    <row r="327" spans="1:1">
      <c r="A327" s="12"/>
    </row>
    <row r="328" spans="1:1">
      <c r="A328" s="12"/>
    </row>
    <row r="329" spans="1:1">
      <c r="A329" s="12"/>
    </row>
    <row r="330" spans="1:1">
      <c r="A330" s="12"/>
    </row>
    <row r="331" spans="1:1">
      <c r="A331" s="12"/>
    </row>
    <row r="332" spans="1:1">
      <c r="A332" s="12"/>
    </row>
    <row r="333" spans="1:1">
      <c r="A333" s="12"/>
    </row>
    <row r="334" spans="1:1">
      <c r="A334" s="12"/>
    </row>
    <row r="335" spans="1:1">
      <c r="A335" s="12"/>
    </row>
    <row r="336" spans="1:1">
      <c r="A336" s="12"/>
    </row>
    <row r="337" spans="1:1">
      <c r="A337" s="12"/>
    </row>
    <row r="338" spans="1:1">
      <c r="A338" s="12"/>
    </row>
    <row r="339" spans="1:1">
      <c r="A339" s="12"/>
    </row>
    <row r="340" spans="1:1">
      <c r="A340" s="12"/>
    </row>
    <row r="341" spans="1:1">
      <c r="A341" s="12"/>
    </row>
    <row r="342" spans="1:1">
      <c r="A342" s="12"/>
    </row>
    <row r="343" spans="1:1">
      <c r="A343" s="12"/>
    </row>
    <row r="344" spans="1:1">
      <c r="A344" s="12"/>
    </row>
    <row r="345" spans="1:1">
      <c r="A345" s="12"/>
    </row>
    <row r="346" spans="1:1">
      <c r="A346" s="12"/>
    </row>
    <row r="347" spans="1:1">
      <c r="A347" s="12"/>
    </row>
    <row r="348" spans="1:1">
      <c r="A348" s="12"/>
    </row>
    <row r="349" spans="1:1">
      <c r="A349" s="12"/>
    </row>
    <row r="350" spans="1:1">
      <c r="A350" s="12"/>
    </row>
    <row r="351" spans="1:1">
      <c r="A351" s="12"/>
    </row>
    <row r="352" spans="1:1">
      <c r="A352" s="12"/>
    </row>
    <row r="353" spans="1:1">
      <c r="A353" s="12"/>
    </row>
    <row r="354" spans="1:1">
      <c r="A354" s="12"/>
    </row>
    <row r="355" spans="1:1">
      <c r="A355" s="12"/>
    </row>
    <row r="356" spans="1:1">
      <c r="A356" s="12"/>
    </row>
    <row r="357" spans="1:1">
      <c r="A357" s="12"/>
    </row>
    <row r="358" spans="1:1">
      <c r="A358" s="12"/>
    </row>
    <row r="359" spans="1:1">
      <c r="A359" s="12"/>
    </row>
    <row r="360" spans="1:1">
      <c r="A360" s="12"/>
    </row>
    <row r="361" spans="1:1">
      <c r="A361" s="12"/>
    </row>
    <row r="362" spans="1:1">
      <c r="A362" s="12"/>
    </row>
    <row r="363" spans="1:1">
      <c r="A363" s="12"/>
    </row>
    <row r="364" spans="1:1">
      <c r="A364" s="12"/>
    </row>
    <row r="365" spans="1:1">
      <c r="A365" s="12"/>
    </row>
    <row r="366" spans="1:1">
      <c r="A366" s="12"/>
    </row>
    <row r="367" spans="1:1">
      <c r="A367" s="12"/>
    </row>
    <row r="368" spans="1:1">
      <c r="A368" s="12"/>
    </row>
    <row r="369" spans="1:1">
      <c r="A369" s="12"/>
    </row>
    <row r="370" spans="1:1">
      <c r="A370" s="12"/>
    </row>
    <row r="371" spans="1:1">
      <c r="A371" s="12"/>
    </row>
    <row r="372" spans="1:1">
      <c r="A372" s="12"/>
    </row>
    <row r="373" spans="1:1">
      <c r="A373" s="12"/>
    </row>
    <row r="374" spans="1:1">
      <c r="A374" s="12"/>
    </row>
    <row r="375" spans="1:1">
      <c r="A375" s="12"/>
    </row>
    <row r="376" spans="1:1">
      <c r="A376" s="12"/>
    </row>
    <row r="377" spans="1:1">
      <c r="A377" s="12"/>
    </row>
    <row r="378" spans="1:1">
      <c r="A378" s="12"/>
    </row>
    <row r="379" spans="1:1">
      <c r="A379" s="12"/>
    </row>
    <row r="380" spans="1:1">
      <c r="A380" s="12"/>
    </row>
    <row r="381" spans="1:1">
      <c r="A381" s="12"/>
    </row>
    <row r="382" spans="1:1">
      <c r="A382" s="12"/>
    </row>
    <row r="383" spans="1:1">
      <c r="A383" s="12"/>
    </row>
    <row r="384" spans="1:1">
      <c r="A384" s="12"/>
    </row>
    <row r="385" spans="1:1">
      <c r="A385" s="12"/>
    </row>
    <row r="386" spans="1:1">
      <c r="A386" s="12"/>
    </row>
    <row r="387" spans="1:1">
      <c r="A387" s="12"/>
    </row>
    <row r="388" spans="1:1">
      <c r="A388" s="12"/>
    </row>
    <row r="389" spans="1:1">
      <c r="A389" s="12"/>
    </row>
    <row r="390" spans="1:1">
      <c r="A390" s="12"/>
    </row>
    <row r="391" spans="1:1">
      <c r="A391" s="12"/>
    </row>
    <row r="392" spans="1:1">
      <c r="A392" s="12"/>
    </row>
    <row r="393" spans="1:1">
      <c r="A393" s="12"/>
    </row>
    <row r="394" spans="1:1">
      <c r="A394" s="12"/>
    </row>
    <row r="395" spans="1:1">
      <c r="A395" s="12"/>
    </row>
    <row r="396" spans="1:1">
      <c r="A396" s="12"/>
    </row>
    <row r="397" spans="1:1">
      <c r="A397" s="12"/>
    </row>
    <row r="398" spans="1:1">
      <c r="A398" s="12"/>
    </row>
    <row r="399" spans="1:1">
      <c r="A399" s="12"/>
    </row>
    <row r="400" spans="1:1">
      <c r="A400" s="12"/>
    </row>
    <row r="401" spans="1:1">
      <c r="A401" s="12"/>
    </row>
    <row r="402" spans="1:1">
      <c r="A402" s="12"/>
    </row>
    <row r="403" spans="1:1">
      <c r="A403" s="12"/>
    </row>
    <row r="404" spans="1:1">
      <c r="A404" s="12"/>
    </row>
    <row r="405" spans="1:1">
      <c r="A405" s="12"/>
    </row>
    <row r="406" spans="1:1">
      <c r="A406" s="12"/>
    </row>
    <row r="407" spans="1:1">
      <c r="A407" s="12"/>
    </row>
    <row r="408" spans="1:1">
      <c r="A408" s="12"/>
    </row>
    <row r="409" spans="1:1">
      <c r="A409" s="12"/>
    </row>
    <row r="410" spans="1:1">
      <c r="A410" s="12"/>
    </row>
    <row r="411" spans="1:1">
      <c r="A411" s="12"/>
    </row>
    <row r="412" spans="1:1">
      <c r="A412" s="12"/>
    </row>
    <row r="413" spans="1:1">
      <c r="A413" s="12"/>
    </row>
    <row r="414" spans="1:1">
      <c r="A414" s="12"/>
    </row>
    <row r="415" spans="1:1">
      <c r="A415" s="12"/>
    </row>
    <row r="416" spans="1:1">
      <c r="A416" s="12"/>
    </row>
    <row r="417" spans="1:1">
      <c r="A417" s="12"/>
    </row>
    <row r="418" spans="1:1">
      <c r="A418" s="12"/>
    </row>
    <row r="419" spans="1:1">
      <c r="A419" s="12"/>
    </row>
    <row r="420" spans="1:1">
      <c r="A420" s="12"/>
    </row>
    <row r="421" spans="1:1">
      <c r="A421" s="12"/>
    </row>
    <row r="422" spans="1:1">
      <c r="A422" s="12"/>
    </row>
    <row r="423" spans="1:1">
      <c r="A423" s="12"/>
    </row>
    <row r="424" spans="1:1">
      <c r="A424" s="12"/>
    </row>
    <row r="425" spans="1:1">
      <c r="A425" s="12"/>
    </row>
    <row r="426" spans="1:1">
      <c r="A426" s="12"/>
    </row>
    <row r="427" spans="1:1">
      <c r="A427" s="12"/>
    </row>
    <row r="428" spans="1:1">
      <c r="A428" s="12"/>
    </row>
    <row r="429" spans="1:1">
      <c r="A429" s="12"/>
    </row>
    <row r="430" spans="1:1">
      <c r="A430" s="12"/>
    </row>
    <row r="431" spans="1:1">
      <c r="A431" s="12"/>
    </row>
    <row r="432" spans="1:1">
      <c r="A432" s="12"/>
    </row>
    <row r="433" spans="1:1">
      <c r="A433" s="12"/>
    </row>
    <row r="434" spans="1:1">
      <c r="A434" s="12"/>
    </row>
    <row r="435" spans="1:1">
      <c r="A435" s="12"/>
    </row>
    <row r="436" spans="1:1">
      <c r="A436" s="12"/>
    </row>
    <row r="437" spans="1:1">
      <c r="A437" s="12"/>
    </row>
    <row r="438" spans="1:1">
      <c r="A438" s="12"/>
    </row>
    <row r="439" spans="1:1">
      <c r="A439" s="12"/>
    </row>
    <row r="440" spans="1:1">
      <c r="A440" s="12"/>
    </row>
    <row r="441" spans="1:1">
      <c r="A441" s="12"/>
    </row>
    <row r="442" spans="1:1">
      <c r="A442" s="12"/>
    </row>
    <row r="443" spans="1:1">
      <c r="A443" s="12"/>
    </row>
    <row r="444" spans="1:1">
      <c r="A444" s="12"/>
    </row>
    <row r="445" spans="1:1">
      <c r="A445" s="12"/>
    </row>
    <row r="446" spans="1:1">
      <c r="A446" s="12"/>
    </row>
    <row r="447" spans="1:1">
      <c r="A447" s="12"/>
    </row>
    <row r="448" spans="1:1">
      <c r="A448" s="12"/>
    </row>
    <row r="449" spans="1:1">
      <c r="A449" s="12"/>
    </row>
    <row r="450" spans="1:1">
      <c r="A450" s="12"/>
    </row>
    <row r="451" spans="1:1">
      <c r="A451" s="12"/>
    </row>
    <row r="452" spans="1:1">
      <c r="A452" s="12"/>
    </row>
    <row r="453" spans="1:1">
      <c r="A453" s="12"/>
    </row>
    <row r="454" spans="1:1">
      <c r="A454" s="12"/>
    </row>
    <row r="455" spans="1:1">
      <c r="A455" s="12"/>
    </row>
    <row r="456" spans="1:1">
      <c r="A456" s="12"/>
    </row>
    <row r="457" spans="1:1">
      <c r="A457" s="12"/>
    </row>
    <row r="458" spans="1:1">
      <c r="A458" s="12"/>
    </row>
    <row r="459" spans="1:1">
      <c r="A459" s="12"/>
    </row>
    <row r="460" spans="1:1">
      <c r="A460" s="12"/>
    </row>
    <row r="461" spans="1:1">
      <c r="A461" s="12"/>
    </row>
    <row r="462" spans="1:1">
      <c r="A462" s="12"/>
    </row>
    <row r="463" spans="1:1">
      <c r="A463" s="12"/>
    </row>
    <row r="464" spans="1:1">
      <c r="A464" s="12"/>
    </row>
    <row r="465" spans="1:1">
      <c r="A465" s="12"/>
    </row>
    <row r="466" spans="1:1">
      <c r="A466" s="12"/>
    </row>
    <row r="467" spans="1:1">
      <c r="A467" s="12"/>
    </row>
    <row r="468" spans="1:1">
      <c r="A468" s="12"/>
    </row>
    <row r="469" spans="1:1">
      <c r="A469" s="12"/>
    </row>
    <row r="470" spans="1:1">
      <c r="A470" s="12"/>
    </row>
    <row r="471" spans="1:1">
      <c r="A471" s="12"/>
    </row>
    <row r="472" spans="1:1">
      <c r="A472" s="12"/>
    </row>
    <row r="473" spans="1:1">
      <c r="A473" s="12"/>
    </row>
    <row r="474" spans="1:1">
      <c r="A474" s="12"/>
    </row>
    <row r="475" spans="1:1">
      <c r="A475" s="12"/>
    </row>
    <row r="476" spans="1:1">
      <c r="A476" s="12"/>
    </row>
    <row r="477" spans="1:1">
      <c r="A477" s="12"/>
    </row>
    <row r="478" spans="1:1">
      <c r="A478" s="12"/>
    </row>
    <row r="479" spans="1:1">
      <c r="A479" s="12"/>
    </row>
    <row r="480" spans="1:1">
      <c r="A480" s="12"/>
    </row>
    <row r="481" spans="1:1">
      <c r="A481" s="12"/>
    </row>
    <row r="482" spans="1:1">
      <c r="A482" s="12"/>
    </row>
    <row r="483" spans="1:1">
      <c r="A483" s="12"/>
    </row>
    <row r="484" spans="1:1">
      <c r="A484" s="12"/>
    </row>
    <row r="485" spans="1:1">
      <c r="A485" s="12"/>
    </row>
    <row r="486" spans="1:1">
      <c r="A486" s="12"/>
    </row>
    <row r="487" spans="1:1">
      <c r="A487" s="12"/>
    </row>
    <row r="488" spans="1:1">
      <c r="A488" s="12"/>
    </row>
    <row r="489" spans="1:1">
      <c r="A489" s="12"/>
    </row>
    <row r="490" spans="1:1">
      <c r="A490" s="12"/>
    </row>
    <row r="491" spans="1:1">
      <c r="A491" s="12"/>
    </row>
    <row r="492" spans="1:1">
      <c r="A492" s="12"/>
    </row>
    <row r="493" spans="1:1">
      <c r="A493" s="12"/>
    </row>
    <row r="494" spans="1:1">
      <c r="A494" s="12"/>
    </row>
    <row r="495" spans="1:1">
      <c r="A495" s="12"/>
    </row>
    <row r="496" spans="1:1">
      <c r="A496" s="12"/>
    </row>
    <row r="497" spans="1:1">
      <c r="A497" s="12"/>
    </row>
    <row r="498" spans="1:1">
      <c r="A498" s="12"/>
    </row>
    <row r="499" spans="1:1">
      <c r="A499" s="12"/>
    </row>
    <row r="500" spans="1:1">
      <c r="A500" s="12"/>
    </row>
    <row r="501" spans="1:1">
      <c r="A501" s="12"/>
    </row>
    <row r="502" spans="1:1">
      <c r="A502" s="12"/>
    </row>
    <row r="503" spans="1:1">
      <c r="A503" s="12"/>
    </row>
    <row r="504" spans="1:1">
      <c r="A504" s="12"/>
    </row>
    <row r="505" spans="1:1">
      <c r="A505" s="12"/>
    </row>
    <row r="506" spans="1:1">
      <c r="A506" s="12"/>
    </row>
    <row r="507" spans="1:1">
      <c r="A507" s="12"/>
    </row>
    <row r="508" spans="1:1">
      <c r="A508" s="12"/>
    </row>
    <row r="509" spans="1:1">
      <c r="A509" s="12"/>
    </row>
    <row r="510" spans="1:1">
      <c r="A510" s="12"/>
    </row>
    <row r="511" spans="1:1">
      <c r="A511" s="12"/>
    </row>
    <row r="512" spans="1:1">
      <c r="A512" s="12"/>
    </row>
    <row r="513" spans="1:1">
      <c r="A513" s="12"/>
    </row>
    <row r="514" spans="1:1">
      <c r="A514" s="12"/>
    </row>
    <row r="515" spans="1:1">
      <c r="A515" s="12"/>
    </row>
    <row r="516" spans="1:1">
      <c r="A516" s="12"/>
    </row>
    <row r="517" spans="1:1">
      <c r="A517" s="12"/>
    </row>
    <row r="518" spans="1:1">
      <c r="A518" s="12"/>
    </row>
    <row r="519" spans="1:1">
      <c r="A519" s="12"/>
    </row>
    <row r="520" spans="1:1">
      <c r="A520" s="12"/>
    </row>
    <row r="521" spans="1:1">
      <c r="A521" s="12"/>
    </row>
    <row r="522" spans="1:1">
      <c r="A522" s="12"/>
    </row>
    <row r="523" spans="1:1">
      <c r="A523" s="12"/>
    </row>
    <row r="524" spans="1:1">
      <c r="A524" s="12"/>
    </row>
    <row r="525" spans="1:1">
      <c r="A525" s="12"/>
    </row>
    <row r="526" spans="1:1">
      <c r="A526" s="12"/>
    </row>
    <row r="527" spans="1:1">
      <c r="A527" s="12"/>
    </row>
    <row r="528" spans="1:1">
      <c r="A528" s="12"/>
    </row>
    <row r="529" spans="1:1">
      <c r="A529" s="12"/>
    </row>
    <row r="530" spans="1:1">
      <c r="A530" s="12"/>
    </row>
    <row r="531" spans="1:1">
      <c r="A531" s="12"/>
    </row>
    <row r="532" spans="1:1">
      <c r="A532" s="12"/>
    </row>
    <row r="533" spans="1:1">
      <c r="A533" s="12"/>
    </row>
    <row r="534" spans="1:1">
      <c r="A534" s="12"/>
    </row>
    <row r="535" spans="1:1">
      <c r="A535" s="12"/>
    </row>
    <row r="536" spans="1:1">
      <c r="A536" s="12"/>
    </row>
    <row r="537" spans="1:1">
      <c r="A537" s="12"/>
    </row>
    <row r="538" spans="1:1">
      <c r="A538" s="12"/>
    </row>
    <row r="539" spans="1:1">
      <c r="A539" s="12"/>
    </row>
    <row r="540" spans="1:1">
      <c r="A540" s="12"/>
    </row>
    <row r="541" spans="1:1">
      <c r="A541" s="12"/>
    </row>
    <row r="542" spans="1:1">
      <c r="A542" s="12"/>
    </row>
    <row r="543" spans="1:1">
      <c r="A543" s="12"/>
    </row>
    <row r="544" spans="1:1">
      <c r="A544" s="12"/>
    </row>
    <row r="545" spans="1:1">
      <c r="A545" s="12"/>
    </row>
    <row r="546" spans="1:1">
      <c r="A546" s="12"/>
    </row>
    <row r="547" spans="1:1">
      <c r="A547" s="12"/>
    </row>
    <row r="548" spans="1:1">
      <c r="A548" s="12"/>
    </row>
    <row r="549" spans="1:1">
      <c r="A549" s="12"/>
    </row>
    <row r="550" spans="1:1">
      <c r="A550" s="12"/>
    </row>
    <row r="551" spans="1:1">
      <c r="A551" s="12"/>
    </row>
    <row r="552" spans="1:1">
      <c r="A552" s="12"/>
    </row>
    <row r="553" spans="1:1">
      <c r="A553" s="12"/>
    </row>
    <row r="554" spans="1:1">
      <c r="A554" s="12"/>
    </row>
    <row r="555" spans="1:1">
      <c r="A555" s="12"/>
    </row>
    <row r="556" spans="1:1">
      <c r="A556" s="12"/>
    </row>
    <row r="557" spans="1:1">
      <c r="A557" s="12"/>
    </row>
    <row r="558" spans="1:1">
      <c r="A558" s="12"/>
    </row>
    <row r="559" spans="1:1">
      <c r="A559" s="12"/>
    </row>
    <row r="560" spans="1:1">
      <c r="A560" s="12"/>
    </row>
    <row r="561" spans="1:1">
      <c r="A561" s="12"/>
    </row>
    <row r="562" spans="1:1">
      <c r="A562" s="12"/>
    </row>
    <row r="563" spans="1:1">
      <c r="A563" s="12"/>
    </row>
    <row r="564" spans="1:1">
      <c r="A564" s="12"/>
    </row>
    <row r="565" spans="1:1">
      <c r="A565" s="12"/>
    </row>
    <row r="566" spans="1:1">
      <c r="A566" s="12"/>
    </row>
    <row r="567" spans="1:1">
      <c r="A567" s="12"/>
    </row>
    <row r="568" spans="1:1">
      <c r="A568" s="12"/>
    </row>
    <row r="569" spans="1:1">
      <c r="A569" s="12"/>
    </row>
    <row r="570" spans="1:1">
      <c r="A570" s="12"/>
    </row>
    <row r="571" spans="1:1">
      <c r="A571" s="12"/>
    </row>
    <row r="572" spans="1:1">
      <c r="A572" s="12"/>
    </row>
    <row r="573" spans="1:1">
      <c r="A573" s="12"/>
    </row>
    <row r="574" spans="1:1">
      <c r="A574" s="12"/>
    </row>
    <row r="575" spans="1:1">
      <c r="A575" s="12"/>
    </row>
    <row r="576" spans="1:1">
      <c r="A576" s="12"/>
    </row>
    <row r="577" spans="1:1">
      <c r="A577" s="12"/>
    </row>
    <row r="578" spans="1:1">
      <c r="A578" s="12"/>
    </row>
    <row r="579" spans="1:1">
      <c r="A579" s="12"/>
    </row>
    <row r="580" spans="1:1">
      <c r="A580" s="12"/>
    </row>
    <row r="581" spans="1:1">
      <c r="A581" s="12"/>
    </row>
    <row r="582" spans="1:1">
      <c r="A582" s="12"/>
    </row>
    <row r="583" spans="1:1">
      <c r="A583" s="12"/>
    </row>
    <row r="584" spans="1:1">
      <c r="A584" s="12"/>
    </row>
    <row r="585" spans="1:1">
      <c r="A585" s="12"/>
    </row>
    <row r="586" spans="1:1">
      <c r="A586" s="12"/>
    </row>
    <row r="587" spans="1:1">
      <c r="A587" s="12"/>
    </row>
    <row r="588" spans="1:1">
      <c r="A588" s="12"/>
    </row>
    <row r="589" spans="1:1">
      <c r="A589" s="12"/>
    </row>
    <row r="590" spans="1:1">
      <c r="A590" s="12"/>
    </row>
    <row r="591" spans="1:1">
      <c r="A591" s="12"/>
    </row>
    <row r="592" spans="1:1">
      <c r="A592" s="12"/>
    </row>
    <row r="593" spans="1:1">
      <c r="A593" s="12"/>
    </row>
    <row r="594" spans="1:1">
      <c r="A594" s="12"/>
    </row>
    <row r="595" spans="1:1">
      <c r="A595" s="12"/>
    </row>
    <row r="596" spans="1:1">
      <c r="A596" s="12"/>
    </row>
    <row r="597" spans="1:1">
      <c r="A597" s="12"/>
    </row>
    <row r="598" spans="1:1">
      <c r="A598" s="12"/>
    </row>
    <row r="599" spans="1:1">
      <c r="A599" s="12"/>
    </row>
    <row r="600" spans="1:1">
      <c r="A600" s="12"/>
    </row>
    <row r="601" spans="1:1">
      <c r="A601" s="12"/>
    </row>
    <row r="602" spans="1:1">
      <c r="A602" s="12"/>
    </row>
    <row r="603" spans="1:1">
      <c r="A603" s="12"/>
    </row>
    <row r="604" spans="1:1">
      <c r="A604" s="12"/>
    </row>
    <row r="605" spans="1:1">
      <c r="A605" s="12"/>
    </row>
    <row r="606" spans="1:1">
      <c r="A606" s="12"/>
    </row>
    <row r="607" spans="1:1">
      <c r="A607" s="12"/>
    </row>
    <row r="608" spans="1:1">
      <c r="A608" s="12"/>
    </row>
    <row r="609" spans="1:1">
      <c r="A609" s="12"/>
    </row>
    <row r="610" spans="1:1">
      <c r="A610" s="12"/>
    </row>
    <row r="611" spans="1:1">
      <c r="A611" s="12"/>
    </row>
    <row r="612" spans="1:1">
      <c r="A612" s="12"/>
    </row>
    <row r="613" spans="1:1">
      <c r="A613" s="12"/>
    </row>
    <row r="614" spans="1:1">
      <c r="A614" s="12"/>
    </row>
    <row r="615" spans="1:1">
      <c r="A615" s="12"/>
    </row>
    <row r="616" spans="1:1">
      <c r="A616" s="12"/>
    </row>
    <row r="617" spans="1:1">
      <c r="A617" s="12"/>
    </row>
    <row r="618" spans="1:1">
      <c r="A618" s="12"/>
    </row>
    <row r="619" spans="1:1">
      <c r="A619" s="12"/>
    </row>
    <row r="620" spans="1:1">
      <c r="A620" s="12"/>
    </row>
    <row r="621" spans="1:1">
      <c r="A621" s="12"/>
    </row>
    <row r="622" spans="1:1">
      <c r="A622" s="12"/>
    </row>
    <row r="623" spans="1:1">
      <c r="A623" s="12"/>
    </row>
    <row r="624" spans="1:1">
      <c r="A624" s="12"/>
    </row>
    <row r="625" spans="1:1">
      <c r="A625" s="12"/>
    </row>
    <row r="626" spans="1:1">
      <c r="A626" s="12"/>
    </row>
    <row r="627" spans="1:1">
      <c r="A627" s="12"/>
    </row>
    <row r="628" spans="1:1">
      <c r="A628" s="12"/>
    </row>
    <row r="629" spans="1:1">
      <c r="A629" s="12"/>
    </row>
    <row r="630" spans="1:1">
      <c r="A630" s="12"/>
    </row>
    <row r="631" spans="1:1">
      <c r="A631" s="12"/>
    </row>
    <row r="632" spans="1:1">
      <c r="A632" s="12"/>
    </row>
    <row r="633" spans="1:1">
      <c r="A633" s="12"/>
    </row>
    <row r="634" spans="1:1">
      <c r="A634" s="12"/>
    </row>
    <row r="635" spans="1:1">
      <c r="A635" s="12"/>
    </row>
    <row r="636" spans="1:1">
      <c r="A636" s="12"/>
    </row>
    <row r="637" spans="1:1">
      <c r="A637" s="12"/>
    </row>
    <row r="638" spans="1:1">
      <c r="A638" s="12"/>
    </row>
    <row r="639" spans="1:1">
      <c r="A639" s="12"/>
    </row>
    <row r="640" spans="1:1">
      <c r="A640" s="12"/>
    </row>
    <row r="641" spans="1:1">
      <c r="A641" s="12"/>
    </row>
    <row r="642" spans="1:1">
      <c r="A642" s="12"/>
    </row>
    <row r="643" spans="1:1">
      <c r="A643" s="12"/>
    </row>
    <row r="644" spans="1:1">
      <c r="A644" s="12"/>
    </row>
    <row r="645" spans="1:1">
      <c r="A645" s="12"/>
    </row>
    <row r="646" spans="1:1">
      <c r="A646" s="12"/>
    </row>
    <row r="647" spans="1:1">
      <c r="A647" s="12"/>
    </row>
    <row r="648" spans="1:1">
      <c r="A648" s="12"/>
    </row>
    <row r="649" spans="1:1">
      <c r="A649" s="12"/>
    </row>
    <row r="650" spans="1:1">
      <c r="A650" s="12"/>
    </row>
    <row r="651" spans="1:1">
      <c r="A651" s="12"/>
    </row>
    <row r="652" spans="1:1">
      <c r="A652" s="12"/>
    </row>
    <row r="653" spans="1:1">
      <c r="A653" s="12"/>
    </row>
    <row r="654" spans="1:1">
      <c r="A654" s="12"/>
    </row>
    <row r="655" spans="1:1">
      <c r="A655" s="12"/>
    </row>
    <row r="656" spans="1:1">
      <c r="A656" s="12"/>
    </row>
    <row r="657" spans="1:1">
      <c r="A657" s="12"/>
    </row>
    <row r="658" spans="1:1">
      <c r="A658" s="12"/>
    </row>
    <row r="659" spans="1:1">
      <c r="A659" s="12"/>
    </row>
    <row r="660" spans="1:1">
      <c r="A660" s="12"/>
    </row>
    <row r="661" spans="1:1">
      <c r="A661" s="12"/>
    </row>
    <row r="662" spans="1:1">
      <c r="A662" s="12"/>
    </row>
    <row r="663" spans="1:1">
      <c r="A663" s="12"/>
    </row>
    <row r="664" spans="1:1">
      <c r="A664" s="12"/>
    </row>
    <row r="665" spans="1:1">
      <c r="A665" s="12"/>
    </row>
    <row r="666" spans="1:1">
      <c r="A666" s="12"/>
    </row>
    <row r="667" spans="1:1">
      <c r="A667" s="12"/>
    </row>
    <row r="668" spans="1:1">
      <c r="A668" s="12"/>
    </row>
    <row r="669" spans="1:1">
      <c r="A669" s="12"/>
    </row>
    <row r="670" spans="1:1">
      <c r="A670" s="12"/>
    </row>
    <row r="671" spans="1:1">
      <c r="A671" s="12"/>
    </row>
    <row r="672" spans="1:1">
      <c r="A672" s="12"/>
    </row>
    <row r="673" spans="1:1">
      <c r="A673" s="12"/>
    </row>
    <row r="674" spans="1:1">
      <c r="A674" s="12"/>
    </row>
    <row r="675" spans="1:1">
      <c r="A675" s="12"/>
    </row>
    <row r="676" spans="1:1">
      <c r="A676" s="12"/>
    </row>
    <row r="677" spans="1:1">
      <c r="A677" s="12"/>
    </row>
    <row r="678" spans="1:1">
      <c r="A678" s="12"/>
    </row>
    <row r="679" spans="1:1">
      <c r="A679" s="12"/>
    </row>
    <row r="680" spans="1:1">
      <c r="A680" s="12"/>
    </row>
    <row r="681" spans="1:1">
      <c r="A681" s="12"/>
    </row>
    <row r="682" spans="1:1">
      <c r="A682" s="12"/>
    </row>
    <row r="683" spans="1:1">
      <c r="A683" s="12"/>
    </row>
    <row r="684" spans="1:1">
      <c r="A684" s="12"/>
    </row>
    <row r="685" spans="1:1">
      <c r="A685" s="12"/>
    </row>
    <row r="686" spans="1:1">
      <c r="A686" s="12"/>
    </row>
    <row r="687" spans="1:1">
      <c r="A687" s="12"/>
    </row>
    <row r="688" spans="1:1">
      <c r="A688" s="12"/>
    </row>
    <row r="689" spans="1:1">
      <c r="A689" s="12"/>
    </row>
    <row r="690" spans="1:1">
      <c r="A690" s="12"/>
    </row>
    <row r="691" spans="1:1">
      <c r="A691" s="12"/>
    </row>
    <row r="692" spans="1:1">
      <c r="A692" s="12"/>
    </row>
    <row r="693" spans="1:1">
      <c r="A693" s="12"/>
    </row>
    <row r="694" spans="1:1">
      <c r="A694" s="12"/>
    </row>
    <row r="695" spans="1:1">
      <c r="A695" s="12"/>
    </row>
    <row r="696" spans="1:1">
      <c r="A696" s="12"/>
    </row>
    <row r="697" spans="1:1">
      <c r="A697" s="12"/>
    </row>
    <row r="698" spans="1:1">
      <c r="A698" s="12"/>
    </row>
    <row r="699" spans="1:1">
      <c r="A699" s="12"/>
    </row>
    <row r="700" spans="1:1">
      <c r="A700" s="12"/>
    </row>
    <row r="701" spans="1:1">
      <c r="A701" s="12"/>
    </row>
    <row r="702" spans="1:1">
      <c r="A702" s="12"/>
    </row>
    <row r="703" spans="1:1">
      <c r="A703" s="12"/>
    </row>
    <row r="704" spans="1:1">
      <c r="A704" s="12"/>
    </row>
    <row r="705" spans="1:1">
      <c r="A705" s="12"/>
    </row>
    <row r="706" spans="1:1">
      <c r="A706" s="12"/>
    </row>
    <row r="707" spans="1:1">
      <c r="A707" s="12"/>
    </row>
    <row r="708" spans="1:1">
      <c r="A708" s="12"/>
    </row>
    <row r="709" spans="1:1">
      <c r="A709" s="12"/>
    </row>
    <row r="710" spans="1:1">
      <c r="A710" s="12"/>
    </row>
    <row r="711" spans="1:1">
      <c r="A711" s="12"/>
    </row>
    <row r="712" spans="1:1">
      <c r="A712" s="12"/>
    </row>
    <row r="713" spans="1:1">
      <c r="A713" s="12"/>
    </row>
    <row r="714" spans="1:1">
      <c r="A714" s="12"/>
    </row>
    <row r="715" spans="1:1">
      <c r="A715" s="12"/>
    </row>
    <row r="716" spans="1:1">
      <c r="A716" s="12"/>
    </row>
    <row r="717" spans="1:1">
      <c r="A717" s="12"/>
    </row>
    <row r="718" spans="1:1">
      <c r="A718" s="12"/>
    </row>
    <row r="719" spans="1:1">
      <c r="A719" s="12"/>
    </row>
    <row r="720" spans="1:1">
      <c r="A720" s="12"/>
    </row>
    <row r="721" spans="1:1">
      <c r="A721" s="12"/>
    </row>
    <row r="722" spans="1:1">
      <c r="A722" s="12"/>
    </row>
    <row r="723" spans="1:1">
      <c r="A723" s="12"/>
    </row>
    <row r="724" spans="1:1">
      <c r="A724" s="12"/>
    </row>
    <row r="725" spans="1:1">
      <c r="A725" s="12"/>
    </row>
    <row r="726" spans="1:1">
      <c r="A726" s="12"/>
    </row>
    <row r="727" spans="1:1">
      <c r="A727" s="12"/>
    </row>
    <row r="728" spans="1:1">
      <c r="A728" s="12"/>
    </row>
    <row r="729" spans="1:1">
      <c r="A729" s="12"/>
    </row>
    <row r="730" spans="1:1">
      <c r="A730" s="12"/>
    </row>
    <row r="731" spans="1:1">
      <c r="A731" s="12"/>
    </row>
    <row r="732" spans="1:1">
      <c r="A732" s="12"/>
    </row>
    <row r="733" spans="1:1">
      <c r="A733" s="12"/>
    </row>
    <row r="734" spans="1:1">
      <c r="A734" s="12"/>
    </row>
    <row r="735" spans="1:1">
      <c r="A735" s="12"/>
    </row>
    <row r="736" spans="1:1">
      <c r="A736" s="12"/>
    </row>
    <row r="737" spans="1:1">
      <c r="A737" s="12"/>
    </row>
    <row r="738" spans="1:1">
      <c r="A738" s="12"/>
    </row>
    <row r="739" spans="1:1">
      <c r="A739" s="12"/>
    </row>
    <row r="740" spans="1:1">
      <c r="A740" s="12"/>
    </row>
    <row r="741" spans="1:1">
      <c r="A741" s="12"/>
    </row>
    <row r="742" spans="1:1">
      <c r="A742" s="12"/>
    </row>
    <row r="743" spans="1:1">
      <c r="A743" s="12"/>
    </row>
    <row r="744" spans="1:1">
      <c r="A744" s="12"/>
    </row>
    <row r="745" spans="1:1">
      <c r="A745" s="12"/>
    </row>
    <row r="746" spans="1:1">
      <c r="A746" s="12"/>
    </row>
    <row r="747" spans="1:1">
      <c r="A747" s="12"/>
    </row>
    <row r="748" spans="1:1">
      <c r="A748" s="12"/>
    </row>
    <row r="749" spans="1:1">
      <c r="A749" s="12"/>
    </row>
    <row r="750" spans="1:1">
      <c r="A750" s="12"/>
    </row>
    <row r="751" spans="1:1">
      <c r="A751" s="12"/>
    </row>
    <row r="752" spans="1:1">
      <c r="A752" s="12"/>
    </row>
    <row r="753" spans="1:1">
      <c r="A753" s="12"/>
    </row>
    <row r="754" spans="1:1">
      <c r="A754" s="12"/>
    </row>
    <row r="755" spans="1:1">
      <c r="A755" s="12"/>
    </row>
    <row r="756" spans="1:1">
      <c r="A756" s="12"/>
    </row>
    <row r="757" spans="1:1">
      <c r="A757" s="12"/>
    </row>
    <row r="758" spans="1:1">
      <c r="A758" s="12"/>
    </row>
    <row r="759" spans="1:1">
      <c r="A759" s="12"/>
    </row>
    <row r="760" spans="1:1">
      <c r="A760" s="12"/>
    </row>
    <row r="761" spans="1:1">
      <c r="A761" s="12"/>
    </row>
    <row r="762" spans="1:1">
      <c r="A762" s="12"/>
    </row>
    <row r="763" spans="1:1">
      <c r="A763" s="12"/>
    </row>
    <row r="764" spans="1:1">
      <c r="A764" s="12"/>
    </row>
    <row r="765" spans="1:1">
      <c r="A765" s="12"/>
    </row>
    <row r="766" spans="1:1">
      <c r="A766" s="12"/>
    </row>
    <row r="767" spans="1:1">
      <c r="A767" s="12"/>
    </row>
    <row r="768" spans="1:1">
      <c r="A768" s="12"/>
    </row>
    <row r="769" spans="1:1">
      <c r="A769" s="12"/>
    </row>
    <row r="770" spans="1:1">
      <c r="A770" s="12"/>
    </row>
    <row r="771" spans="1:1">
      <c r="A771" s="12"/>
    </row>
    <row r="772" spans="1:1">
      <c r="A772" s="12"/>
    </row>
    <row r="773" spans="1:1">
      <c r="A773" s="12"/>
    </row>
    <row r="774" spans="1:1">
      <c r="A774" s="12"/>
    </row>
    <row r="775" spans="1:1">
      <c r="A775" s="12"/>
    </row>
    <row r="776" spans="1:1">
      <c r="A776" s="12"/>
    </row>
    <row r="777" spans="1:1">
      <c r="A777" s="12"/>
    </row>
    <row r="778" spans="1:1">
      <c r="A778" s="12"/>
    </row>
    <row r="779" spans="1:1">
      <c r="A779" s="12"/>
    </row>
    <row r="780" spans="1:1">
      <c r="A780" s="12"/>
    </row>
    <row r="781" spans="1:1">
      <c r="A781" s="12"/>
    </row>
    <row r="782" spans="1:1">
      <c r="A782" s="12"/>
    </row>
    <row r="783" spans="1:1">
      <c r="A783" s="12"/>
    </row>
    <row r="784" spans="1:1">
      <c r="A784" s="12"/>
    </row>
    <row r="785" spans="1:1">
      <c r="A785" s="12"/>
    </row>
    <row r="786" spans="1:1">
      <c r="A786" s="12"/>
    </row>
    <row r="787" spans="1:1">
      <c r="A787" s="12"/>
    </row>
    <row r="788" spans="1:1">
      <c r="A788" s="12"/>
    </row>
    <row r="789" spans="1:1">
      <c r="A789" s="12"/>
    </row>
    <row r="790" spans="1:1">
      <c r="A790" s="12"/>
    </row>
    <row r="791" spans="1:1">
      <c r="A791" s="12"/>
    </row>
    <row r="792" spans="1:1">
      <c r="A792" s="12"/>
    </row>
    <row r="793" spans="1:1">
      <c r="A793" s="12"/>
    </row>
    <row r="794" spans="1:1">
      <c r="A794" s="12"/>
    </row>
    <row r="795" spans="1:1">
      <c r="A795" s="12"/>
    </row>
    <row r="796" spans="1:1">
      <c r="A796" s="12"/>
    </row>
    <row r="797" spans="1:1">
      <c r="A797" s="12"/>
    </row>
    <row r="798" spans="1:1">
      <c r="A798" s="12"/>
    </row>
    <row r="799" spans="1:1">
      <c r="A799" s="12"/>
    </row>
    <row r="800" spans="1:1">
      <c r="A800" s="12"/>
    </row>
    <row r="801" spans="1:1">
      <c r="A801" s="12"/>
    </row>
    <row r="802" spans="1:1">
      <c r="A802" s="12"/>
    </row>
    <row r="803" spans="1:1">
      <c r="A803" s="12"/>
    </row>
    <row r="804" spans="1:1">
      <c r="A804" s="12"/>
    </row>
    <row r="805" spans="1:1">
      <c r="A805" s="12"/>
    </row>
    <row r="806" spans="1:1">
      <c r="A806" s="12"/>
    </row>
    <row r="807" spans="1:1">
      <c r="A807" s="12"/>
    </row>
    <row r="808" spans="1:1">
      <c r="A808" s="12"/>
    </row>
    <row r="809" spans="1:1">
      <c r="A809" s="12"/>
    </row>
    <row r="810" spans="1:1">
      <c r="A810" s="12"/>
    </row>
    <row r="811" spans="1:1">
      <c r="A811" s="12"/>
    </row>
    <row r="812" spans="1:1">
      <c r="A812" s="12"/>
    </row>
    <row r="813" spans="1:1">
      <c r="A813" s="12"/>
    </row>
    <row r="814" spans="1:1">
      <c r="A814" s="12"/>
    </row>
    <row r="815" spans="1:1">
      <c r="A815" s="12"/>
    </row>
    <row r="816" spans="1:1">
      <c r="A816" s="12"/>
    </row>
    <row r="817" spans="1:1">
      <c r="A817" s="12"/>
    </row>
    <row r="818" spans="1:1">
      <c r="A818" s="12"/>
    </row>
    <row r="819" spans="1:1">
      <c r="A819" s="12"/>
    </row>
    <row r="820" spans="1:1">
      <c r="A820" s="12"/>
    </row>
    <row r="821" spans="1:1">
      <c r="A821" s="12"/>
    </row>
    <row r="822" spans="1:1">
      <c r="A822" s="12"/>
    </row>
    <row r="823" spans="1:1">
      <c r="A823" s="12"/>
    </row>
    <row r="824" spans="1:1">
      <c r="A824" s="12"/>
    </row>
    <row r="825" spans="1:1">
      <c r="A825" s="12"/>
    </row>
    <row r="826" spans="1:1">
      <c r="A826" s="12"/>
    </row>
    <row r="827" spans="1:1">
      <c r="A827" s="12"/>
    </row>
    <row r="828" spans="1:1">
      <c r="A828" s="12"/>
    </row>
    <row r="829" spans="1:1">
      <c r="A829" s="12"/>
    </row>
    <row r="830" spans="1:1">
      <c r="A830" s="12"/>
    </row>
    <row r="831" spans="1:1">
      <c r="A831" s="12"/>
    </row>
    <row r="832" spans="1:1">
      <c r="A832" s="12"/>
    </row>
    <row r="833" spans="1:1">
      <c r="A833" s="12"/>
    </row>
    <row r="834" spans="1:1">
      <c r="A834" s="12"/>
    </row>
    <row r="835" spans="1:1">
      <c r="A835" s="12"/>
    </row>
    <row r="836" spans="1:1">
      <c r="A836" s="12"/>
    </row>
    <row r="837" spans="1:1">
      <c r="A837" s="12"/>
    </row>
    <row r="838" spans="1:1">
      <c r="A838" s="12"/>
    </row>
    <row r="839" spans="1:1">
      <c r="A839" s="12"/>
    </row>
    <row r="840" spans="1:1">
      <c r="A840" s="12"/>
    </row>
    <row r="841" spans="1:1">
      <c r="A841" s="12"/>
    </row>
    <row r="842" spans="1:1">
      <c r="A842" s="12"/>
    </row>
    <row r="843" spans="1:1">
      <c r="A843" s="12"/>
    </row>
    <row r="844" spans="1:1">
      <c r="A844" s="12"/>
    </row>
    <row r="845" spans="1:1">
      <c r="A845" s="12"/>
    </row>
    <row r="846" spans="1:1">
      <c r="A846" s="12"/>
    </row>
    <row r="847" spans="1:1">
      <c r="A847" s="12"/>
    </row>
    <row r="848" spans="1:1">
      <c r="A848" s="12"/>
    </row>
    <row r="849" spans="1:1">
      <c r="A849" s="12"/>
    </row>
    <row r="850" spans="1:1">
      <c r="A850" s="12"/>
    </row>
    <row r="851" spans="1:1">
      <c r="A851" s="12"/>
    </row>
    <row r="852" spans="1:1">
      <c r="A852" s="12"/>
    </row>
    <row r="853" spans="1:1">
      <c r="A853" s="12"/>
    </row>
    <row r="854" spans="1:1">
      <c r="A854" s="12"/>
    </row>
    <row r="855" spans="1:1">
      <c r="A855" s="12"/>
    </row>
    <row r="856" spans="1:1">
      <c r="A856" s="12"/>
    </row>
    <row r="857" spans="1:1">
      <c r="A857" s="12"/>
    </row>
    <row r="858" spans="1:1">
      <c r="A858" s="12"/>
    </row>
    <row r="859" spans="1:1">
      <c r="A859" s="12"/>
    </row>
    <row r="860" spans="1:1">
      <c r="A860" s="12"/>
    </row>
    <row r="861" spans="1:1">
      <c r="A861" s="12"/>
    </row>
    <row r="862" spans="1:1">
      <c r="A862" s="12"/>
    </row>
    <row r="863" spans="1:1">
      <c r="A863" s="12"/>
    </row>
    <row r="864" spans="1:1">
      <c r="A864" s="12"/>
    </row>
    <row r="865" spans="1:1">
      <c r="A865" s="12"/>
    </row>
    <row r="866" spans="1:1">
      <c r="A866" s="12"/>
    </row>
    <row r="867" spans="1:1">
      <c r="A867" s="12"/>
    </row>
    <row r="868" spans="1:1">
      <c r="A868" s="12"/>
    </row>
    <row r="869" spans="1:1">
      <c r="A869" s="12"/>
    </row>
    <row r="870" spans="1:1">
      <c r="A870" s="12"/>
    </row>
    <row r="871" spans="1:1">
      <c r="A871" s="12"/>
    </row>
    <row r="872" spans="1:1">
      <c r="A872" s="12"/>
    </row>
    <row r="873" spans="1:1">
      <c r="A873" s="12"/>
    </row>
    <row r="874" spans="1:1">
      <c r="A874" s="12"/>
    </row>
    <row r="875" spans="1:1">
      <c r="A875" s="12"/>
    </row>
    <row r="876" spans="1:1">
      <c r="A876" s="12"/>
    </row>
    <row r="877" spans="1:1">
      <c r="A877" s="12"/>
    </row>
    <row r="878" spans="1:1">
      <c r="A878" s="12"/>
    </row>
    <row r="879" spans="1:1">
      <c r="A879" s="12"/>
    </row>
    <row r="880" spans="1:1">
      <c r="A880" s="12"/>
    </row>
    <row r="881" spans="1:1">
      <c r="A881" s="12"/>
    </row>
    <row r="882" spans="1:1">
      <c r="A882" s="12"/>
    </row>
    <row r="883" spans="1:1">
      <c r="A883" s="12"/>
    </row>
    <row r="884" spans="1:1">
      <c r="A884" s="12"/>
    </row>
    <row r="885" spans="1:1">
      <c r="A885" s="12"/>
    </row>
    <row r="886" spans="1:1">
      <c r="A886" s="12"/>
    </row>
    <row r="887" spans="1:1">
      <c r="A887" s="12"/>
    </row>
    <row r="888" spans="1:1">
      <c r="A888" s="12"/>
    </row>
    <row r="889" spans="1:1">
      <c r="A889" s="12"/>
    </row>
    <row r="890" spans="1:1">
      <c r="A890" s="12"/>
    </row>
    <row r="891" spans="1:1">
      <c r="A891" s="12"/>
    </row>
    <row r="892" spans="1:1">
      <c r="A892" s="12"/>
    </row>
    <row r="893" spans="1:1">
      <c r="A893" s="12"/>
    </row>
    <row r="894" spans="1:1">
      <c r="A894" s="12"/>
    </row>
    <row r="895" spans="1:1">
      <c r="A895" s="12"/>
    </row>
    <row r="896" spans="1:1">
      <c r="A896" s="12"/>
    </row>
    <row r="897" spans="1:1">
      <c r="A897" s="12"/>
    </row>
    <row r="898" spans="1:1">
      <c r="A898" s="12"/>
    </row>
    <row r="899" spans="1:1">
      <c r="A899" s="12"/>
    </row>
    <row r="900" spans="1:1">
      <c r="A900" s="12"/>
    </row>
    <row r="901" spans="1:1">
      <c r="A901" s="12"/>
    </row>
    <row r="902" spans="1:1">
      <c r="A902" s="12"/>
    </row>
    <row r="903" spans="1:1">
      <c r="A903" s="12"/>
    </row>
    <row r="904" spans="1:1">
      <c r="A904" s="12"/>
    </row>
    <row r="905" spans="1:1">
      <c r="A905" s="12"/>
    </row>
    <row r="906" spans="1:1">
      <c r="A906" s="12"/>
    </row>
    <row r="907" spans="1:1">
      <c r="A907" s="12"/>
    </row>
    <row r="908" spans="1:1">
      <c r="A908" s="12"/>
    </row>
    <row r="909" spans="1:1">
      <c r="A909" s="12"/>
    </row>
    <row r="910" spans="1:1">
      <c r="A910" s="12"/>
    </row>
    <row r="911" spans="1:1">
      <c r="A911" s="12"/>
    </row>
    <row r="912" spans="1:1">
      <c r="A912" s="12"/>
    </row>
    <row r="913" spans="1:1">
      <c r="A913" s="12"/>
    </row>
    <row r="914" spans="1:1">
      <c r="A914" s="12"/>
    </row>
    <row r="915" spans="1:1">
      <c r="A915" s="12"/>
    </row>
    <row r="916" spans="1:1">
      <c r="A916" s="12"/>
    </row>
    <row r="917" spans="1:1">
      <c r="A917" s="12"/>
    </row>
    <row r="918" spans="1:1">
      <c r="A918" s="12"/>
    </row>
    <row r="919" spans="1:1">
      <c r="A919" s="12"/>
    </row>
    <row r="920" spans="1:1">
      <c r="A920" s="12"/>
    </row>
    <row r="921" spans="1:1">
      <c r="A921" s="12"/>
    </row>
    <row r="922" spans="1:1">
      <c r="A922" s="12"/>
    </row>
    <row r="923" spans="1:1">
      <c r="A923" s="12"/>
    </row>
    <row r="924" spans="1:1">
      <c r="A924" s="12"/>
    </row>
    <row r="925" spans="1:1">
      <c r="A925" s="12"/>
    </row>
    <row r="926" spans="1:1">
      <c r="A926" s="12"/>
    </row>
    <row r="927" spans="1:1">
      <c r="A927" s="12"/>
    </row>
    <row r="928" spans="1:1">
      <c r="A928" s="12"/>
    </row>
    <row r="929" spans="1:1">
      <c r="A929" s="12"/>
    </row>
    <row r="930" spans="1:1">
      <c r="A930" s="12"/>
    </row>
    <row r="931" spans="1:1">
      <c r="A931" s="12"/>
    </row>
    <row r="932" spans="1:1">
      <c r="A932" s="12"/>
    </row>
    <row r="933" spans="1:1">
      <c r="A933" s="12"/>
    </row>
    <row r="934" spans="1:1">
      <c r="A934" s="12"/>
    </row>
    <row r="935" spans="1:1">
      <c r="A935" s="12"/>
    </row>
    <row r="936" spans="1:1">
      <c r="A936" s="12"/>
    </row>
    <row r="937" spans="1:1">
      <c r="A937" s="12"/>
    </row>
    <row r="938" spans="1:1">
      <c r="A938" s="12"/>
    </row>
    <row r="939" spans="1:1">
      <c r="A939" s="12"/>
    </row>
    <row r="940" spans="1:1">
      <c r="A940" s="12"/>
    </row>
    <row r="941" spans="1:1">
      <c r="A941" s="12"/>
    </row>
    <row r="942" spans="1:1">
      <c r="A942" s="12"/>
    </row>
    <row r="943" spans="1:1">
      <c r="A943" s="12"/>
    </row>
    <row r="944" spans="1:1">
      <c r="A944" s="12"/>
    </row>
    <row r="945" spans="1:1">
      <c r="A945" s="12"/>
    </row>
    <row r="946" spans="1:1">
      <c r="A946" s="12"/>
    </row>
    <row r="947" spans="1:1">
      <c r="A947" s="12"/>
    </row>
    <row r="948" spans="1:1">
      <c r="A948" s="12"/>
    </row>
    <row r="949" spans="1:1">
      <c r="A949" s="12"/>
    </row>
    <row r="950" spans="1:1">
      <c r="A950" s="12"/>
    </row>
    <row r="951" spans="1:1">
      <c r="A951" s="12"/>
    </row>
    <row r="952" spans="1:1">
      <c r="A952" s="12"/>
    </row>
    <row r="953" spans="1:1">
      <c r="A953" s="12"/>
    </row>
    <row r="954" spans="1:1">
      <c r="A954" s="12"/>
    </row>
    <row r="955" spans="1:1">
      <c r="A955" s="12"/>
    </row>
    <row r="956" spans="1:1">
      <c r="A956" s="12"/>
    </row>
    <row r="957" spans="1:1">
      <c r="A957" s="12"/>
    </row>
    <row r="958" spans="1:1">
      <c r="A958" s="12"/>
    </row>
    <row r="959" spans="1:1">
      <c r="A959" s="12"/>
    </row>
    <row r="960" spans="1:1">
      <c r="A960" s="12"/>
    </row>
    <row r="961" spans="1:1">
      <c r="A961" s="12"/>
    </row>
    <row r="962" spans="1:1">
      <c r="A962" s="12"/>
    </row>
    <row r="963" spans="1:1">
      <c r="A963" s="12"/>
    </row>
    <row r="964" spans="1:1">
      <c r="A964" s="12"/>
    </row>
    <row r="965" spans="1:1">
      <c r="A965" s="12"/>
    </row>
    <row r="966" spans="1:1">
      <c r="A966" s="12"/>
    </row>
    <row r="967" spans="1:1">
      <c r="A967" s="12"/>
    </row>
    <row r="968" spans="1:1">
      <c r="A968" s="12"/>
    </row>
    <row r="969" spans="1:1">
      <c r="A969" s="12"/>
    </row>
    <row r="970" spans="1:1">
      <c r="A970" s="12"/>
    </row>
    <row r="971" spans="1:1">
      <c r="A971" s="12"/>
    </row>
    <row r="972" spans="1:1">
      <c r="A972" s="12"/>
    </row>
    <row r="973" spans="1:1">
      <c r="A973" s="12"/>
    </row>
    <row r="974" spans="1:1">
      <c r="A974" s="12"/>
    </row>
    <row r="975" spans="1:1">
      <c r="A975" s="12"/>
    </row>
    <row r="976" spans="1:1">
      <c r="A976" s="12"/>
    </row>
    <row r="977" spans="1:1">
      <c r="A977" s="12"/>
    </row>
    <row r="978" spans="1:1">
      <c r="A978" s="12"/>
    </row>
    <row r="979" spans="1:1">
      <c r="A979" s="12"/>
    </row>
    <row r="980" spans="1:1">
      <c r="A980" s="12"/>
    </row>
    <row r="981" spans="1:1">
      <c r="A981" s="12"/>
    </row>
    <row r="982" spans="1:1">
      <c r="A982" s="12"/>
    </row>
    <row r="983" spans="1:1">
      <c r="A983" s="12"/>
    </row>
    <row r="984" spans="1:1">
      <c r="A984" s="12"/>
    </row>
    <row r="985" spans="1:1">
      <c r="A985" s="12"/>
    </row>
    <row r="986" spans="1:1">
      <c r="A986" s="12"/>
    </row>
    <row r="987" spans="1:1">
      <c r="A987" s="12"/>
    </row>
    <row r="988" spans="1:1">
      <c r="A988" s="12"/>
    </row>
    <row r="989" spans="1:1">
      <c r="A989" s="12"/>
    </row>
    <row r="990" spans="1:1">
      <c r="A990" s="12"/>
    </row>
    <row r="991" spans="1:1">
      <c r="A991" s="12"/>
    </row>
    <row r="992" spans="1:1">
      <c r="A992" s="12"/>
    </row>
    <row r="993" spans="1:1">
      <c r="A993" s="12"/>
    </row>
    <row r="994" spans="1:1">
      <c r="A994" s="12"/>
    </row>
    <row r="995" spans="1:1">
      <c r="A995" s="12"/>
    </row>
    <row r="996" spans="1:1">
      <c r="A996" s="12"/>
    </row>
    <row r="997" spans="1:1">
      <c r="A997" s="12"/>
    </row>
    <row r="998" spans="1:1">
      <c r="A998" s="12"/>
    </row>
    <row r="999" spans="1:1">
      <c r="A999" s="12"/>
    </row>
    <row r="1000" spans="1:1">
      <c r="A1000" s="12"/>
    </row>
    <row r="1001" spans="1:1">
      <c r="A1001" s="12"/>
    </row>
    <row r="1002" spans="1:1">
      <c r="A1002" s="12"/>
    </row>
    <row r="1003" spans="1:1">
      <c r="A1003" s="12"/>
    </row>
    <row r="1004" spans="1:1">
      <c r="A1004" s="12"/>
    </row>
    <row r="1005" spans="1:1">
      <c r="A1005" s="12"/>
    </row>
    <row r="1006" spans="1:1">
      <c r="A1006" s="12"/>
    </row>
    <row r="1007" spans="1:1">
      <c r="A1007" s="12"/>
    </row>
    <row r="1008" spans="1:1">
      <c r="A1008" s="12"/>
    </row>
    <row r="1009" spans="1:1">
      <c r="A1009" s="12"/>
    </row>
    <row r="1010" spans="1:1">
      <c r="A1010" s="12"/>
    </row>
    <row r="1011" spans="1:1">
      <c r="A1011" s="12"/>
    </row>
    <row r="1012" spans="1:1">
      <c r="A1012" s="12"/>
    </row>
    <row r="1013" spans="1:1">
      <c r="A1013" s="12"/>
    </row>
    <row r="1014" spans="1:1">
      <c r="A1014" s="12"/>
    </row>
    <row r="1015" spans="1:1">
      <c r="A1015" s="12"/>
    </row>
    <row r="1016" spans="1:1">
      <c r="A1016" s="12"/>
    </row>
    <row r="1017" spans="1:1">
      <c r="A1017" s="12"/>
    </row>
    <row r="1018" spans="1:1">
      <c r="A1018" s="12"/>
    </row>
    <row r="1019" spans="1:1">
      <c r="A1019" s="12"/>
    </row>
    <row r="1020" spans="1:1">
      <c r="A1020" s="12"/>
    </row>
    <row r="1021" spans="1:1">
      <c r="A1021" s="12"/>
    </row>
    <row r="1022" spans="1:1">
      <c r="A1022" s="12"/>
    </row>
    <row r="1023" spans="1:1">
      <c r="A1023" s="12"/>
    </row>
    <row r="1024" spans="1:1">
      <c r="A1024" s="12"/>
    </row>
    <row r="1025" spans="1:1">
      <c r="A1025" s="12"/>
    </row>
    <row r="1026" spans="1:1">
      <c r="A1026" s="12"/>
    </row>
    <row r="1027" spans="1:1">
      <c r="A1027" s="12"/>
    </row>
    <row r="1028" spans="1:1">
      <c r="A1028" s="12"/>
    </row>
    <row r="1029" spans="1:1">
      <c r="A1029" s="12"/>
    </row>
    <row r="1030" spans="1:1">
      <c r="A1030" s="12"/>
    </row>
    <row r="1031" spans="1:1">
      <c r="A1031" s="12"/>
    </row>
    <row r="1032" spans="1:1">
      <c r="A1032" s="12"/>
    </row>
    <row r="1033" spans="1:1">
      <c r="A1033" s="12"/>
    </row>
    <row r="1034" spans="1:1">
      <c r="A1034" s="12"/>
    </row>
    <row r="1035" spans="1:1">
      <c r="A1035" s="12"/>
    </row>
    <row r="1036" spans="1:1">
      <c r="A1036" s="12"/>
    </row>
    <row r="1037" spans="1:1">
      <c r="A1037" s="12"/>
    </row>
    <row r="1038" spans="1:1">
      <c r="A1038" s="12"/>
    </row>
    <row r="1039" spans="1:1">
      <c r="A1039" s="12"/>
    </row>
    <row r="1040" spans="1:1">
      <c r="A1040" s="12"/>
    </row>
    <row r="1041" spans="1:1">
      <c r="A1041" s="12"/>
    </row>
    <row r="1042" spans="1:1">
      <c r="A1042" s="12"/>
    </row>
    <row r="1043" spans="1:1">
      <c r="A1043" s="12"/>
    </row>
    <row r="1044" spans="1:1">
      <c r="A1044" s="12"/>
    </row>
    <row r="1045" spans="1:1">
      <c r="A1045" s="12"/>
    </row>
    <row r="1046" spans="1:1">
      <c r="A1046" s="12"/>
    </row>
    <row r="1047" spans="1:1">
      <c r="A1047" s="12"/>
    </row>
    <row r="1048" spans="1:1">
      <c r="A1048" s="12"/>
    </row>
    <row r="1049" spans="1:1">
      <c r="A1049" s="12"/>
    </row>
    <row r="1050" spans="1:1">
      <c r="A1050" s="12"/>
    </row>
    <row r="1051" spans="1:1">
      <c r="A1051" s="12"/>
    </row>
    <row r="1052" spans="1:1">
      <c r="A1052" s="12"/>
    </row>
    <row r="1053" spans="1:1">
      <c r="A1053" s="12"/>
    </row>
    <row r="1054" spans="1:1">
      <c r="A1054" s="12"/>
    </row>
    <row r="1055" spans="1:1">
      <c r="A1055" s="12"/>
    </row>
    <row r="1056" spans="1:1">
      <c r="A1056" s="12"/>
    </row>
    <row r="1057" spans="1:1">
      <c r="A1057" s="12"/>
    </row>
    <row r="1058" spans="1:1">
      <c r="A1058" s="12"/>
    </row>
    <row r="1059" spans="1:1">
      <c r="A1059" s="12"/>
    </row>
    <row r="1060" spans="1:1">
      <c r="A1060" s="12"/>
    </row>
    <row r="1061" spans="1:1">
      <c r="A1061" s="12"/>
    </row>
    <row r="1062" spans="1:1">
      <c r="A1062" s="12"/>
    </row>
    <row r="1063" spans="1:1">
      <c r="A1063" s="12"/>
    </row>
    <row r="1064" spans="1:1">
      <c r="A1064" s="12"/>
    </row>
    <row r="1065" spans="1:1">
      <c r="A1065" s="12"/>
    </row>
    <row r="1066" spans="1:1">
      <c r="A1066" s="12"/>
    </row>
    <row r="1067" spans="1:1">
      <c r="A1067" s="12"/>
    </row>
    <row r="1068" spans="1:1">
      <c r="A1068" s="12"/>
    </row>
    <row r="1069" spans="1:1">
      <c r="A1069" s="12"/>
    </row>
    <row r="1070" spans="1:1">
      <c r="A1070" s="12"/>
    </row>
    <row r="1071" spans="1:1">
      <c r="A1071" s="12"/>
    </row>
    <row r="1072" spans="1:1">
      <c r="A1072" s="12"/>
    </row>
    <row r="1073" spans="1:1">
      <c r="A1073" s="12"/>
    </row>
    <row r="1074" spans="1:1">
      <c r="A1074" s="12"/>
    </row>
    <row r="1075" spans="1:1">
      <c r="A1075" s="12"/>
    </row>
    <row r="1076" spans="1:1">
      <c r="A1076" s="12"/>
    </row>
    <row r="1077" spans="1:1">
      <c r="A1077" s="12"/>
    </row>
    <row r="1078" spans="1:1">
      <c r="A1078" s="12"/>
    </row>
    <row r="1079" spans="1:1">
      <c r="A1079" s="12"/>
    </row>
    <row r="1080" spans="1:1">
      <c r="A1080" s="12"/>
    </row>
    <row r="1081" spans="1:1">
      <c r="A1081" s="12"/>
    </row>
    <row r="1082" spans="1:1">
      <c r="A1082" s="12"/>
    </row>
    <row r="1083" spans="1:1">
      <c r="A1083" s="12"/>
    </row>
    <row r="1084" spans="1:1">
      <c r="A1084" s="12"/>
    </row>
    <row r="1085" spans="1:1">
      <c r="A1085" s="12"/>
    </row>
    <row r="1086" spans="1:1">
      <c r="A1086" s="12"/>
    </row>
    <row r="1087" spans="1:1">
      <c r="A1087" s="12"/>
    </row>
    <row r="1088" spans="1:1">
      <c r="A1088" s="12"/>
    </row>
    <row r="1089" spans="1:1">
      <c r="A1089" s="12"/>
    </row>
    <row r="1090" spans="1:1">
      <c r="A1090" s="12"/>
    </row>
    <row r="1091" spans="1:1">
      <c r="A1091" s="12"/>
    </row>
    <row r="1092" spans="1:1">
      <c r="A1092" s="12"/>
    </row>
    <row r="1093" spans="1:1">
      <c r="A1093" s="12"/>
    </row>
    <row r="1094" spans="1:1">
      <c r="A1094" s="12"/>
    </row>
    <row r="1095" spans="1:1">
      <c r="A1095" s="12"/>
    </row>
    <row r="1096" spans="1:1">
      <c r="A1096" s="12"/>
    </row>
    <row r="1097" spans="1:1">
      <c r="A1097" s="12"/>
    </row>
    <row r="1098" spans="1:1">
      <c r="A1098" s="12"/>
    </row>
    <row r="1099" spans="1:1">
      <c r="A1099" s="12"/>
    </row>
    <row r="1100" spans="1:1">
      <c r="A1100" s="12"/>
    </row>
    <row r="1101" spans="1:1">
      <c r="A1101" s="12"/>
    </row>
    <row r="1102" spans="1:1">
      <c r="A1102" s="12"/>
    </row>
    <row r="1103" spans="1:1">
      <c r="A1103" s="12"/>
    </row>
    <row r="1104" spans="1:1">
      <c r="A1104" s="12"/>
    </row>
    <row r="1105" spans="1:1">
      <c r="A1105" s="12"/>
    </row>
    <row r="1106" spans="1:1">
      <c r="A1106" s="12"/>
    </row>
    <row r="1107" spans="1:1">
      <c r="A1107" s="12"/>
    </row>
    <row r="1108" spans="1:1">
      <c r="A1108" s="12"/>
    </row>
    <row r="1109" spans="1:1">
      <c r="A1109" s="12"/>
    </row>
    <row r="1110" spans="1:1">
      <c r="A1110" s="12"/>
    </row>
    <row r="1111" spans="1:1">
      <c r="A1111" s="12"/>
    </row>
    <row r="1112" spans="1:1">
      <c r="A1112" s="12"/>
    </row>
    <row r="1113" spans="1:1">
      <c r="A1113" s="12"/>
    </row>
    <row r="1114" spans="1:1">
      <c r="A1114" s="12"/>
    </row>
    <row r="1115" spans="1:1">
      <c r="A1115" s="12"/>
    </row>
    <row r="1116" spans="1:1">
      <c r="A1116" s="12"/>
    </row>
    <row r="1117" spans="1:1">
      <c r="A1117" s="12"/>
    </row>
    <row r="1118" spans="1:1">
      <c r="A1118" s="12"/>
    </row>
    <row r="1119" spans="1:1">
      <c r="A1119" s="12"/>
    </row>
    <row r="1120" spans="1:1">
      <c r="A1120" s="12"/>
    </row>
    <row r="1121" spans="1:1">
      <c r="A1121" s="12"/>
    </row>
    <row r="1122" spans="1:1">
      <c r="A1122" s="12"/>
    </row>
    <row r="1123" spans="1:1">
      <c r="A1123" s="12"/>
    </row>
    <row r="1124" spans="1:1">
      <c r="A1124" s="12"/>
    </row>
    <row r="1125" spans="1:1">
      <c r="A1125" s="12"/>
    </row>
    <row r="1126" spans="1:1">
      <c r="A1126" s="12"/>
    </row>
    <row r="1127" spans="1:1">
      <c r="A1127" s="12"/>
    </row>
    <row r="1128" spans="1:1">
      <c r="A1128" s="12"/>
    </row>
    <row r="1129" spans="1:1">
      <c r="A1129" s="12"/>
    </row>
    <row r="1130" spans="1:1">
      <c r="A1130" s="12"/>
    </row>
    <row r="1131" spans="1:1">
      <c r="A1131" s="12"/>
    </row>
    <row r="1132" spans="1:1">
      <c r="A1132" s="12"/>
    </row>
    <row r="1133" spans="1:1">
      <c r="A1133" s="12"/>
    </row>
    <row r="1134" spans="1:1">
      <c r="A1134" s="12"/>
    </row>
    <row r="1135" spans="1:1">
      <c r="A1135" s="12"/>
    </row>
    <row r="1136" spans="1:1">
      <c r="A1136" s="12"/>
    </row>
    <row r="1137" spans="1:1">
      <c r="A1137" s="12"/>
    </row>
    <row r="1138" spans="1:1">
      <c r="A1138" s="12"/>
    </row>
    <row r="1139" spans="1:1">
      <c r="A1139" s="12"/>
    </row>
    <row r="1140" spans="1:1">
      <c r="A1140" s="12"/>
    </row>
    <row r="1141" spans="1:1">
      <c r="A1141" s="12"/>
    </row>
    <row r="1142" spans="1:1">
      <c r="A1142" s="12"/>
    </row>
    <row r="1143" spans="1:1">
      <c r="A1143" s="12"/>
    </row>
    <row r="1144" spans="1:1">
      <c r="A1144" s="12"/>
    </row>
    <row r="1145" spans="1:1">
      <c r="A1145" s="12"/>
    </row>
    <row r="1146" spans="1:1">
      <c r="A1146" s="12"/>
    </row>
    <row r="1147" spans="1:1">
      <c r="A1147" s="12"/>
    </row>
    <row r="1148" spans="1:1">
      <c r="A1148" s="12"/>
    </row>
    <row r="1149" spans="1:1">
      <c r="A1149" s="12"/>
    </row>
    <row r="1150" spans="1:1">
      <c r="A1150" s="12"/>
    </row>
    <row r="1151" spans="1:1">
      <c r="A1151" s="12"/>
    </row>
    <row r="1152" spans="1:1">
      <c r="A1152" s="12"/>
    </row>
    <row r="1153" spans="1:1">
      <c r="A1153" s="12"/>
    </row>
    <row r="1154" spans="1:1">
      <c r="A1154" s="12"/>
    </row>
    <row r="1155" spans="1:1">
      <c r="A1155" s="12"/>
    </row>
    <row r="1156" spans="1:1">
      <c r="A1156" s="12"/>
    </row>
    <row r="1157" spans="1:1">
      <c r="A1157" s="12"/>
    </row>
    <row r="1158" spans="1:1">
      <c r="A1158" s="12"/>
    </row>
    <row r="1159" spans="1:1">
      <c r="A1159" s="12"/>
    </row>
    <row r="1160" spans="1:1">
      <c r="A1160" s="12"/>
    </row>
    <row r="1161" spans="1:1">
      <c r="A1161" s="12"/>
    </row>
    <row r="1162" spans="1:1">
      <c r="A1162" s="12"/>
    </row>
    <row r="1163" spans="1:1">
      <c r="A1163" s="12"/>
    </row>
    <row r="1164" spans="1:1">
      <c r="A1164" s="12"/>
    </row>
    <row r="1165" spans="1:1">
      <c r="A1165" s="12"/>
    </row>
    <row r="1166" spans="1:1">
      <c r="A1166" s="12"/>
    </row>
    <row r="1167" spans="1:1">
      <c r="A1167" s="12"/>
    </row>
    <row r="1168" spans="1:1">
      <c r="A1168" s="12"/>
    </row>
    <row r="1169" spans="1:1">
      <c r="A1169" s="12"/>
    </row>
    <row r="1170" spans="1:1">
      <c r="A1170" s="12"/>
    </row>
    <row r="1171" spans="1:1">
      <c r="A1171" s="12"/>
    </row>
    <row r="1172" spans="1:1">
      <c r="A1172" s="12"/>
    </row>
    <row r="1173" spans="1:1">
      <c r="A1173" s="12"/>
    </row>
    <row r="1174" spans="1:1">
      <c r="A1174" s="12"/>
    </row>
    <row r="1175" spans="1:1">
      <c r="A1175" s="12"/>
    </row>
    <row r="1176" spans="1:1">
      <c r="A1176" s="12"/>
    </row>
    <row r="1177" spans="1:1">
      <c r="A1177" s="12"/>
    </row>
    <row r="1178" spans="1:1">
      <c r="A1178" s="12"/>
    </row>
    <row r="1179" spans="1:1">
      <c r="A1179" s="12"/>
    </row>
    <row r="1180" spans="1:1">
      <c r="A1180" s="12"/>
    </row>
    <row r="1181" spans="1:1">
      <c r="A1181" s="12"/>
    </row>
    <row r="1182" spans="1:1">
      <c r="A1182" s="12"/>
    </row>
    <row r="1183" spans="1:1">
      <c r="A1183" s="12"/>
    </row>
    <row r="1184" spans="1:1">
      <c r="A1184" s="12"/>
    </row>
    <row r="1185" spans="1:1">
      <c r="A1185" s="12"/>
    </row>
    <row r="1186" spans="1:1">
      <c r="A1186" s="12"/>
    </row>
    <row r="1187" spans="1:1">
      <c r="A1187" s="12"/>
    </row>
    <row r="1188" spans="1:1">
      <c r="A1188" s="12"/>
    </row>
    <row r="1189" spans="1:1">
      <c r="A1189" s="12"/>
    </row>
    <row r="1190" spans="1:1">
      <c r="A1190" s="12"/>
    </row>
    <row r="1191" spans="1:1">
      <c r="A1191" s="12"/>
    </row>
    <row r="1192" spans="1:1">
      <c r="A1192" s="12"/>
    </row>
    <row r="1193" spans="1:1">
      <c r="A1193" s="12"/>
    </row>
    <row r="1194" spans="1:1">
      <c r="A1194" s="12"/>
    </row>
    <row r="1195" spans="1:1">
      <c r="A1195" s="12"/>
    </row>
    <row r="1196" spans="1:1">
      <c r="A1196" s="12"/>
    </row>
    <row r="1197" spans="1:1">
      <c r="A1197" s="12"/>
    </row>
    <row r="1198" spans="1:1">
      <c r="A1198" s="12"/>
    </row>
    <row r="1199" spans="1:1">
      <c r="A1199" s="12"/>
    </row>
    <row r="1200" spans="1:1">
      <c r="A1200" s="12"/>
    </row>
    <row r="1201" spans="1:1">
      <c r="A1201" s="12"/>
    </row>
    <row r="1202" spans="1:1">
      <c r="A1202" s="12"/>
    </row>
    <row r="1203" spans="1:1">
      <c r="A1203" s="12"/>
    </row>
    <row r="1204" spans="1:1">
      <c r="A1204" s="12"/>
    </row>
    <row r="1205" spans="1:1">
      <c r="A1205" s="12"/>
    </row>
    <row r="1206" spans="1:1">
      <c r="A1206" s="12"/>
    </row>
    <row r="1207" spans="1:1">
      <c r="A1207" s="12"/>
    </row>
    <row r="1208" spans="1:1">
      <c r="A1208" s="12"/>
    </row>
    <row r="1209" spans="1:1">
      <c r="A1209" s="12"/>
    </row>
    <row r="1210" spans="1:1">
      <c r="A1210" s="12"/>
    </row>
    <row r="1211" spans="1:1">
      <c r="A1211" s="12"/>
    </row>
    <row r="1212" spans="1:1">
      <c r="A1212" s="12"/>
    </row>
    <row r="1213" spans="1:1">
      <c r="A1213" s="12"/>
    </row>
    <row r="1214" spans="1:1">
      <c r="A1214" s="12"/>
    </row>
    <row r="1215" spans="1:1">
      <c r="A1215" s="12"/>
    </row>
    <row r="1216" spans="1:1">
      <c r="A1216" s="12"/>
    </row>
    <row r="1217" spans="1:1">
      <c r="A1217" s="12"/>
    </row>
    <row r="1218" spans="1:1">
      <c r="A1218" s="12"/>
    </row>
    <row r="1219" spans="1:1">
      <c r="A1219" s="12"/>
    </row>
    <row r="1220" spans="1:1">
      <c r="A1220" s="12"/>
    </row>
    <row r="1221" spans="1:1">
      <c r="A1221" s="12"/>
    </row>
    <row r="1222" spans="1:1">
      <c r="A1222" s="12"/>
    </row>
    <row r="1223" spans="1:1">
      <c r="A1223" s="12"/>
    </row>
    <row r="1224" spans="1:1">
      <c r="A1224" s="12"/>
    </row>
    <row r="1225" spans="1:1">
      <c r="A1225" s="12"/>
    </row>
    <row r="1226" spans="1:1">
      <c r="A1226" s="12"/>
    </row>
    <row r="1227" spans="1:1">
      <c r="A1227" s="12"/>
    </row>
    <row r="1228" spans="1:1">
      <c r="A1228" s="12"/>
    </row>
    <row r="1229" spans="1:1">
      <c r="A1229" s="12"/>
    </row>
    <row r="1230" spans="1:1">
      <c r="A1230" s="12"/>
    </row>
    <row r="1231" spans="1:1">
      <c r="A1231" s="12"/>
    </row>
    <row r="1232" spans="1:1">
      <c r="A1232" s="12"/>
    </row>
    <row r="1233" spans="1:1">
      <c r="A1233" s="12"/>
    </row>
    <row r="1234" spans="1:1">
      <c r="A1234" s="12"/>
    </row>
    <row r="1235" spans="1:1">
      <c r="A1235" s="12"/>
    </row>
    <row r="1236" spans="1:1">
      <c r="A1236" s="12"/>
    </row>
    <row r="1237" spans="1:1">
      <c r="A1237" s="12"/>
    </row>
    <row r="1238" spans="1:1">
      <c r="A1238" s="12"/>
    </row>
    <row r="1239" spans="1:1">
      <c r="A1239" s="12"/>
    </row>
    <row r="1240" spans="1:1">
      <c r="A1240" s="12"/>
    </row>
    <row r="1241" spans="1:1">
      <c r="A1241" s="12"/>
    </row>
    <row r="1242" spans="1:1">
      <c r="A1242" s="12"/>
    </row>
    <row r="1243" spans="1:1">
      <c r="A1243" s="12"/>
    </row>
    <row r="1244" spans="1:1">
      <c r="A1244" s="12"/>
    </row>
    <row r="1245" spans="1:1">
      <c r="A1245" s="12"/>
    </row>
    <row r="1246" spans="1:1">
      <c r="A1246" s="12"/>
    </row>
    <row r="1247" spans="1:1">
      <c r="A1247" s="12"/>
    </row>
    <row r="1248" spans="1:1">
      <c r="A1248" s="12"/>
    </row>
    <row r="1249" spans="1:1">
      <c r="A1249" s="12"/>
    </row>
    <row r="1250" spans="1:1">
      <c r="A1250" s="12"/>
    </row>
    <row r="1251" spans="1:1">
      <c r="A1251" s="12"/>
    </row>
    <row r="1252" spans="1:1">
      <c r="A1252" s="12"/>
    </row>
    <row r="1253" spans="1:1">
      <c r="A1253" s="12"/>
    </row>
    <row r="1254" spans="1:1">
      <c r="A1254" s="12"/>
    </row>
    <row r="1255" spans="1:1">
      <c r="A1255" s="12"/>
    </row>
    <row r="1256" spans="1:1">
      <c r="A1256" s="12"/>
    </row>
    <row r="1257" spans="1:1">
      <c r="A1257" s="12"/>
    </row>
    <row r="1258" spans="1:1">
      <c r="A1258" s="12"/>
    </row>
    <row r="1259" spans="1:1">
      <c r="A1259" s="12"/>
    </row>
    <row r="1260" spans="1:1">
      <c r="A1260" s="12"/>
    </row>
    <row r="1261" spans="1:1">
      <c r="A1261" s="12"/>
    </row>
    <row r="1262" spans="1:1">
      <c r="A1262" s="12"/>
    </row>
    <row r="1263" spans="1:1">
      <c r="A1263" s="12"/>
    </row>
    <row r="1264" spans="1:1">
      <c r="A1264" s="12"/>
    </row>
    <row r="1265" spans="1:1">
      <c r="A1265" s="12"/>
    </row>
    <row r="1266" spans="1:1">
      <c r="A1266" s="12"/>
    </row>
    <row r="1267" spans="1:1">
      <c r="A1267" s="12"/>
    </row>
    <row r="1268" spans="1:1">
      <c r="A1268" s="12"/>
    </row>
    <row r="1269" spans="1:1">
      <c r="A1269" s="12"/>
    </row>
    <row r="1270" spans="1:1">
      <c r="A1270" s="12"/>
    </row>
    <row r="1271" spans="1:1">
      <c r="A1271" s="12"/>
    </row>
    <row r="1272" spans="1:1">
      <c r="A1272" s="12"/>
    </row>
    <row r="1273" spans="1:1">
      <c r="A1273" s="12"/>
    </row>
    <row r="1274" spans="1:1">
      <c r="A1274" s="12"/>
    </row>
    <row r="1275" spans="1:1">
      <c r="A1275" s="12"/>
    </row>
    <row r="1276" spans="1:1">
      <c r="A1276" s="12"/>
    </row>
    <row r="1277" spans="1:1">
      <c r="A1277" s="12"/>
    </row>
    <row r="1278" spans="1:1">
      <c r="A1278" s="12"/>
    </row>
    <row r="1279" spans="1:1">
      <c r="A1279" s="12"/>
    </row>
    <row r="1280" spans="1:1">
      <c r="A1280" s="12"/>
    </row>
    <row r="1281" spans="1:1">
      <c r="A1281" s="12"/>
    </row>
    <row r="1282" spans="1:1">
      <c r="A1282" s="12"/>
    </row>
    <row r="1283" spans="1:1">
      <c r="A1283" s="12"/>
    </row>
    <row r="1284" spans="1:1">
      <c r="A1284" s="12"/>
    </row>
    <row r="1285" spans="1:1">
      <c r="A1285" s="12"/>
    </row>
    <row r="1286" spans="1:1">
      <c r="A1286" s="12"/>
    </row>
    <row r="1287" spans="1:1">
      <c r="A1287" s="12"/>
    </row>
    <row r="1288" spans="1:1">
      <c r="A1288" s="12"/>
    </row>
    <row r="1289" spans="1:1">
      <c r="A1289" s="12"/>
    </row>
    <row r="1290" spans="1:1">
      <c r="A1290" s="12"/>
    </row>
    <row r="1291" spans="1:1">
      <c r="A1291" s="12"/>
    </row>
    <row r="1292" spans="1:1">
      <c r="A1292" s="12"/>
    </row>
    <row r="1293" spans="1:1">
      <c r="A1293" s="12"/>
    </row>
    <row r="1294" spans="1:1">
      <c r="A1294" s="12"/>
    </row>
    <row r="1295" spans="1:1">
      <c r="A1295" s="12"/>
    </row>
    <row r="1296" spans="1:1">
      <c r="A1296" s="12"/>
    </row>
    <row r="1297" spans="1:1">
      <c r="A1297" s="12"/>
    </row>
    <row r="1298" spans="1:1">
      <c r="A1298" s="12"/>
    </row>
    <row r="1299" spans="1:1">
      <c r="A1299" s="12"/>
    </row>
    <row r="1300" spans="1:1">
      <c r="A1300" s="12"/>
    </row>
    <row r="1301" spans="1:1">
      <c r="A1301" s="12"/>
    </row>
    <row r="1302" spans="1:1">
      <c r="A1302" s="12"/>
    </row>
    <row r="1303" spans="1:1">
      <c r="A1303" s="12"/>
    </row>
    <row r="1304" spans="1:1">
      <c r="A1304" s="12"/>
    </row>
    <row r="1305" spans="1:1">
      <c r="A1305" s="12"/>
    </row>
    <row r="1306" spans="1:1">
      <c r="A1306" s="12"/>
    </row>
    <row r="1307" spans="1:1">
      <c r="A1307" s="12"/>
    </row>
    <row r="1308" spans="1:1">
      <c r="A1308" s="12"/>
    </row>
    <row r="1309" spans="1:1">
      <c r="A1309" s="12"/>
    </row>
    <row r="1310" spans="1:1">
      <c r="A1310" s="12"/>
    </row>
    <row r="1311" spans="1:1">
      <c r="A1311" s="12"/>
    </row>
    <row r="1312" spans="1:1">
      <c r="A1312" s="12"/>
    </row>
    <row r="1313" spans="1:1">
      <c r="A1313" s="12"/>
    </row>
    <row r="1314" spans="1:1">
      <c r="A1314" s="12"/>
    </row>
    <row r="1315" spans="1:1">
      <c r="A1315" s="12"/>
    </row>
    <row r="1316" spans="1:1">
      <c r="A1316" s="12"/>
    </row>
    <row r="1317" spans="1:1">
      <c r="A1317" s="12"/>
    </row>
    <row r="1318" spans="1:1">
      <c r="A1318" s="12"/>
    </row>
    <row r="1319" spans="1:1">
      <c r="A1319" s="12"/>
    </row>
    <row r="1320" spans="1:1">
      <c r="A1320" s="12"/>
    </row>
    <row r="1321" spans="1:1">
      <c r="A1321" s="12"/>
    </row>
    <row r="1322" spans="1:1">
      <c r="A1322" s="12"/>
    </row>
    <row r="1323" spans="1:1">
      <c r="A1323" s="12"/>
    </row>
    <row r="1324" spans="1:1">
      <c r="A1324" s="12"/>
    </row>
    <row r="1325" spans="1:1">
      <c r="A1325" s="12"/>
    </row>
    <row r="1326" spans="1:1">
      <c r="A1326" s="12"/>
    </row>
    <row r="1327" spans="1:1">
      <c r="A1327" s="12"/>
    </row>
    <row r="1328" spans="1:1">
      <c r="A1328" s="12"/>
    </row>
    <row r="1329" spans="1:1">
      <c r="A1329" s="12"/>
    </row>
    <row r="1330" spans="1:1">
      <c r="A1330" s="12"/>
    </row>
    <row r="1331" spans="1:1">
      <c r="A1331" s="12"/>
    </row>
    <row r="1332" spans="1:1">
      <c r="A1332" s="12"/>
    </row>
    <row r="1333" spans="1:1">
      <c r="A1333" s="12"/>
    </row>
    <row r="1334" spans="1:1">
      <c r="A1334" s="12"/>
    </row>
    <row r="1335" spans="1:1">
      <c r="A1335" s="12"/>
    </row>
    <row r="1336" spans="1:1">
      <c r="A1336" s="12"/>
    </row>
    <row r="1337" spans="1:1">
      <c r="A1337" s="12"/>
    </row>
    <row r="1338" spans="1:1">
      <c r="A1338" s="12"/>
    </row>
    <row r="1339" spans="1:1">
      <c r="A1339" s="12"/>
    </row>
    <row r="1340" spans="1:1">
      <c r="A1340" s="12"/>
    </row>
    <row r="1341" spans="1:1">
      <c r="A1341" s="12"/>
    </row>
    <row r="1342" spans="1:1">
      <c r="A1342" s="12"/>
    </row>
    <row r="1343" spans="1:1">
      <c r="A1343" s="12"/>
    </row>
    <row r="1344" spans="1:1">
      <c r="A1344" s="12"/>
    </row>
    <row r="1345" spans="1:1">
      <c r="A1345" s="12"/>
    </row>
    <row r="1346" spans="1:1">
      <c r="A1346" s="12"/>
    </row>
    <row r="1347" spans="1:1">
      <c r="A1347" s="12"/>
    </row>
    <row r="1348" spans="1:1">
      <c r="A1348" s="12"/>
    </row>
    <row r="1349" spans="1:1">
      <c r="A1349" s="12"/>
    </row>
    <row r="1350" spans="1:1">
      <c r="A1350" s="12"/>
    </row>
    <row r="1351" spans="1:1">
      <c r="A1351" s="12"/>
    </row>
    <row r="1352" spans="1:1">
      <c r="A1352" s="12"/>
    </row>
    <row r="1353" spans="1:1">
      <c r="A1353" s="12"/>
    </row>
    <row r="1354" spans="1:1">
      <c r="A1354" s="12"/>
    </row>
    <row r="1355" spans="1:1">
      <c r="A1355" s="12"/>
    </row>
    <row r="1356" spans="1:1">
      <c r="A1356" s="12"/>
    </row>
    <row r="1357" spans="1:1">
      <c r="A1357" s="12"/>
    </row>
    <row r="1358" spans="1:1">
      <c r="A1358" s="12"/>
    </row>
    <row r="1359" spans="1:1">
      <c r="A1359" s="12"/>
    </row>
    <row r="1360" spans="1:1">
      <c r="A1360" s="12"/>
    </row>
    <row r="1361" spans="1:1">
      <c r="A1361" s="12"/>
    </row>
    <row r="1362" spans="1:1">
      <c r="A1362" s="12"/>
    </row>
    <row r="1363" spans="1:1">
      <c r="A1363" s="12"/>
    </row>
    <row r="1364" spans="1:1">
      <c r="A1364" s="12"/>
    </row>
    <row r="1365" spans="1:1">
      <c r="A1365" s="12"/>
    </row>
    <row r="1366" spans="1:1">
      <c r="A1366" s="12"/>
    </row>
    <row r="1367" spans="1:1">
      <c r="A1367" s="12"/>
    </row>
    <row r="1368" spans="1:1">
      <c r="A1368" s="12"/>
    </row>
    <row r="1369" spans="1:1">
      <c r="A1369" s="12"/>
    </row>
    <row r="1370" spans="1:1">
      <c r="A1370" s="12"/>
    </row>
    <row r="1371" spans="1:1">
      <c r="A1371" s="12"/>
    </row>
    <row r="1372" spans="1:1">
      <c r="A1372" s="12"/>
    </row>
    <row r="1373" spans="1:1">
      <c r="A1373" s="12"/>
    </row>
    <row r="1374" spans="1:1">
      <c r="A1374" s="12"/>
    </row>
    <row r="1375" spans="1:1">
      <c r="A1375" s="12"/>
    </row>
    <row r="1376" spans="1:1">
      <c r="A1376" s="12"/>
    </row>
    <row r="1377" spans="1:1">
      <c r="A1377" s="12"/>
    </row>
    <row r="1378" spans="1:1">
      <c r="A1378" s="12"/>
    </row>
    <row r="1379" spans="1:1">
      <c r="A1379" s="12"/>
    </row>
    <row r="1380" spans="1:1">
      <c r="A1380" s="12"/>
    </row>
    <row r="1381" spans="1:1">
      <c r="A1381" s="12"/>
    </row>
    <row r="1382" spans="1:1">
      <c r="A1382" s="12"/>
    </row>
    <row r="1383" spans="1:1">
      <c r="A1383" s="12"/>
    </row>
    <row r="1384" spans="1:1">
      <c r="A1384" s="12"/>
    </row>
    <row r="1385" spans="1:1">
      <c r="A1385" s="12"/>
    </row>
    <row r="1386" spans="1:1">
      <c r="A1386" s="12"/>
    </row>
    <row r="1387" spans="1:1">
      <c r="A1387" s="12"/>
    </row>
    <row r="1388" spans="1:1">
      <c r="A1388" s="12"/>
    </row>
    <row r="1389" spans="1:1">
      <c r="A1389" s="12"/>
    </row>
    <row r="1390" spans="1:1">
      <c r="A1390" s="12"/>
    </row>
    <row r="1391" spans="1:1">
      <c r="A1391" s="12"/>
    </row>
    <row r="1392" spans="1:1">
      <c r="A1392" s="12"/>
    </row>
    <row r="1393" spans="1:1">
      <c r="A1393" s="12"/>
    </row>
    <row r="1394" spans="1:1">
      <c r="A1394" s="12"/>
    </row>
    <row r="1395" spans="1:1">
      <c r="A1395" s="12"/>
    </row>
    <row r="1396" spans="1:1">
      <c r="A1396" s="12"/>
    </row>
    <row r="1397" spans="1:1">
      <c r="A1397" s="12"/>
    </row>
    <row r="1398" spans="1:1">
      <c r="A1398" s="12"/>
    </row>
    <row r="1399" spans="1:1">
      <c r="A1399" s="12"/>
    </row>
    <row r="1400" spans="1:1">
      <c r="A1400" s="12"/>
    </row>
    <row r="1401" spans="1:1">
      <c r="A1401" s="12"/>
    </row>
    <row r="1402" spans="1:1">
      <c r="A1402" s="12"/>
    </row>
    <row r="1403" spans="1:1">
      <c r="A1403" s="12"/>
    </row>
    <row r="1404" spans="1:1">
      <c r="A1404" s="12"/>
    </row>
    <row r="1405" spans="1:1">
      <c r="A1405" s="12"/>
    </row>
    <row r="1406" spans="1:1">
      <c r="A1406" s="12"/>
    </row>
    <row r="1407" spans="1:1">
      <c r="A1407" s="12"/>
    </row>
    <row r="1408" spans="1:1">
      <c r="A1408" s="12"/>
    </row>
    <row r="1409" spans="1:1">
      <c r="A1409" s="12"/>
    </row>
    <row r="1410" spans="1:1">
      <c r="A1410" s="12"/>
    </row>
    <row r="1411" spans="1:1">
      <c r="A1411" s="12"/>
    </row>
    <row r="1412" spans="1:1">
      <c r="A1412" s="12"/>
    </row>
    <row r="1413" spans="1:1">
      <c r="A1413" s="12"/>
    </row>
    <row r="1414" spans="1:1">
      <c r="A1414" s="12"/>
    </row>
    <row r="1415" spans="1:1">
      <c r="A1415" s="12"/>
    </row>
    <row r="1416" spans="1:1">
      <c r="A1416" s="12"/>
    </row>
    <row r="1417" spans="1:1">
      <c r="A1417" s="12"/>
    </row>
    <row r="1418" spans="1:1">
      <c r="A1418" s="12"/>
    </row>
    <row r="1419" spans="1:1">
      <c r="A1419" s="12"/>
    </row>
    <row r="1420" spans="1:1">
      <c r="A1420" s="12"/>
    </row>
    <row r="1421" spans="1:1">
      <c r="A1421" s="12"/>
    </row>
    <row r="1422" spans="1:1">
      <c r="A1422" s="12"/>
    </row>
    <row r="1423" spans="1:1">
      <c r="A1423" s="12"/>
    </row>
    <row r="1424" spans="1:1">
      <c r="A1424" s="12"/>
    </row>
    <row r="1425" spans="1:1">
      <c r="A1425" s="12"/>
    </row>
    <row r="1426" spans="1:1">
      <c r="A1426" s="12"/>
    </row>
    <row r="1427" spans="1:1">
      <c r="A1427" s="12"/>
    </row>
    <row r="1428" spans="1:1">
      <c r="A1428" s="12"/>
    </row>
    <row r="1429" spans="1:1">
      <c r="A1429" s="12"/>
    </row>
    <row r="1430" spans="1:1">
      <c r="A1430" s="12"/>
    </row>
    <row r="1431" spans="1:1">
      <c r="A1431" s="12"/>
    </row>
    <row r="1432" spans="1:1">
      <c r="A1432" s="12"/>
    </row>
    <row r="1433" spans="1:1">
      <c r="A1433" s="12"/>
    </row>
    <row r="1434" spans="1:1">
      <c r="A1434" s="12"/>
    </row>
    <row r="1435" spans="1:1">
      <c r="A1435" s="12"/>
    </row>
    <row r="1436" spans="1:1">
      <c r="A1436" s="12"/>
    </row>
    <row r="1437" spans="1:1">
      <c r="A1437" s="12"/>
    </row>
    <row r="1438" spans="1:1">
      <c r="A1438" s="12"/>
    </row>
    <row r="1439" spans="1:1">
      <c r="A1439" s="12"/>
    </row>
    <row r="1440" spans="1:1">
      <c r="A1440" s="12"/>
    </row>
    <row r="1441" spans="1:1">
      <c r="A1441" s="12"/>
    </row>
    <row r="1442" spans="1:1">
      <c r="A1442" s="12"/>
    </row>
    <row r="1443" spans="1:1">
      <c r="A1443" s="12"/>
    </row>
    <row r="1444" spans="1:1">
      <c r="A1444" s="12"/>
    </row>
    <row r="1445" spans="1:1">
      <c r="A1445" s="12"/>
    </row>
    <row r="1446" spans="1:1">
      <c r="A1446" s="12"/>
    </row>
    <row r="1447" spans="1:1">
      <c r="A1447" s="12"/>
    </row>
    <row r="1448" spans="1:1">
      <c r="A1448" s="12"/>
    </row>
    <row r="1449" spans="1:1">
      <c r="A1449" s="12"/>
    </row>
    <row r="1450" spans="1:1">
      <c r="A1450" s="12"/>
    </row>
    <row r="1451" spans="1:1">
      <c r="A1451" s="12"/>
    </row>
    <row r="1452" spans="1:1">
      <c r="A1452" s="12"/>
    </row>
    <row r="1453" spans="1:1">
      <c r="A1453" s="12"/>
    </row>
    <row r="1454" spans="1:1">
      <c r="A1454" s="12"/>
    </row>
    <row r="1455" spans="1:1">
      <c r="A1455" s="12"/>
    </row>
    <row r="1456" spans="1:1">
      <c r="A1456" s="12"/>
    </row>
    <row r="1457" spans="1:1">
      <c r="A1457" s="12"/>
    </row>
    <row r="1458" spans="1:1">
      <c r="A1458" s="12"/>
    </row>
    <row r="1459" spans="1:1">
      <c r="A1459" s="12"/>
    </row>
    <row r="1460" spans="1:1">
      <c r="A1460" s="12"/>
    </row>
    <row r="1461" spans="1:1">
      <c r="A1461" s="12"/>
    </row>
    <row r="1462" spans="1:1">
      <c r="A1462" s="12"/>
    </row>
    <row r="1463" spans="1:1">
      <c r="A1463" s="12"/>
    </row>
    <row r="1464" spans="1:1">
      <c r="A1464" s="12"/>
    </row>
    <row r="1465" spans="1:1">
      <c r="A1465" s="12"/>
    </row>
    <row r="1466" spans="1:1">
      <c r="A1466" s="12"/>
    </row>
    <row r="1467" spans="1:1">
      <c r="A1467" s="12"/>
    </row>
    <row r="1468" spans="1:1">
      <c r="A1468" s="12"/>
    </row>
    <row r="1469" spans="1:1">
      <c r="A1469" s="12"/>
    </row>
    <row r="1470" spans="1:1">
      <c r="A1470" s="12"/>
    </row>
    <row r="1471" spans="1:1">
      <c r="A1471" s="12"/>
    </row>
    <row r="1472" spans="1:1">
      <c r="A1472" s="12"/>
    </row>
    <row r="1473" spans="1:1">
      <c r="A1473" s="12"/>
    </row>
    <row r="1474" spans="1:1">
      <c r="A1474" s="12"/>
    </row>
    <row r="1475" spans="1:1">
      <c r="A1475" s="12"/>
    </row>
    <row r="1476" spans="1:1">
      <c r="A1476" s="12"/>
    </row>
    <row r="1477" spans="1:1">
      <c r="A1477" s="12"/>
    </row>
    <row r="1478" spans="1:1">
      <c r="A1478" s="12"/>
    </row>
    <row r="1479" spans="1:1">
      <c r="A1479" s="12"/>
    </row>
    <row r="1480" spans="1:1">
      <c r="A1480" s="12"/>
    </row>
    <row r="1481" spans="1:1">
      <c r="A1481" s="12"/>
    </row>
    <row r="1482" spans="1:1">
      <c r="A1482" s="12"/>
    </row>
    <row r="1483" spans="1:1">
      <c r="A1483" s="12"/>
    </row>
    <row r="1484" spans="1:1">
      <c r="A1484" s="12"/>
    </row>
    <row r="1485" spans="1:1">
      <c r="A1485" s="12"/>
    </row>
    <row r="1486" spans="1:1">
      <c r="A1486" s="12"/>
    </row>
    <row r="1487" spans="1:1">
      <c r="A1487" s="12"/>
    </row>
    <row r="1488" spans="1:1">
      <c r="A1488" s="12"/>
    </row>
    <row r="1489" spans="1:1">
      <c r="A1489" s="12"/>
    </row>
    <row r="1490" spans="1:1">
      <c r="A1490" s="12"/>
    </row>
    <row r="1491" spans="1:1">
      <c r="A1491" s="12"/>
    </row>
    <row r="1492" spans="1:1">
      <c r="A1492" s="12"/>
    </row>
    <row r="1493" spans="1:1">
      <c r="A1493" s="12"/>
    </row>
    <row r="1494" spans="1:1">
      <c r="A1494" s="12"/>
    </row>
    <row r="1495" spans="1:1">
      <c r="A1495" s="12"/>
    </row>
    <row r="1496" spans="1:1">
      <c r="A1496" s="12"/>
    </row>
  </sheetData>
  <sheetProtection algorithmName="SHA-512" hashValue="2mh1onw3EwA9L18bxAozpBzHubzGUz3Y7S934sV8vpbk968si33D8Carua9VN75WrMAMmWFLwJadtJymSVmOSw==" saltValue="MGLNMuZ1261QtLenvCJkdw==" spinCount="100000" sheet="1" objects="1" scenarios="1" selectLockedCells="1"/>
  <mergeCells count="4">
    <mergeCell ref="D1:E1"/>
    <mergeCell ref="D2:E2"/>
    <mergeCell ref="D3:E3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7030A0"/>
  </sheetPr>
  <dimension ref="A1:J37"/>
  <sheetViews>
    <sheetView workbookViewId="0">
      <selection activeCell="F13" sqref="F13"/>
    </sheetView>
  </sheetViews>
  <sheetFormatPr baseColWidth="10" defaultRowHeight="16.5"/>
  <cols>
    <col min="1" max="5" width="11" style="14"/>
    <col min="6" max="6" width="58" style="14" customWidth="1"/>
    <col min="7" max="16384" width="11" style="14"/>
  </cols>
  <sheetData>
    <row r="1" spans="1:10">
      <c r="A1" s="837" t="s">
        <v>903</v>
      </c>
      <c r="B1" s="837"/>
      <c r="C1" s="837"/>
      <c r="D1" s="837"/>
      <c r="E1" s="837"/>
      <c r="F1" s="837"/>
      <c r="G1" s="837"/>
    </row>
    <row r="4" spans="1:10" ht="40.5">
      <c r="A4" s="950"/>
      <c r="B4" s="951"/>
      <c r="C4" s="951"/>
      <c r="D4" s="951"/>
      <c r="E4" s="951"/>
      <c r="F4" s="951"/>
      <c r="G4" s="952"/>
    </row>
    <row r="5" spans="1:10">
      <c r="A5" s="953" t="s">
        <v>284</v>
      </c>
      <c r="B5" s="953" t="s">
        <v>285</v>
      </c>
      <c r="C5" s="954" t="s">
        <v>286</v>
      </c>
      <c r="D5" s="955" t="s">
        <v>287</v>
      </c>
      <c r="E5" s="955" t="s">
        <v>288</v>
      </c>
      <c r="F5" s="953" t="s">
        <v>289</v>
      </c>
      <c r="G5" s="956" t="s">
        <v>290</v>
      </c>
    </row>
    <row r="6" spans="1:10">
      <c r="A6" s="957"/>
      <c r="B6" s="957"/>
      <c r="C6" s="958"/>
      <c r="D6" s="959" t="s">
        <v>291</v>
      </c>
      <c r="E6" s="960" t="s">
        <v>291</v>
      </c>
      <c r="F6" s="961"/>
      <c r="G6" s="962"/>
    </row>
    <row r="7" spans="1:10">
      <c r="A7" s="963" t="s">
        <v>292</v>
      </c>
      <c r="B7" s="964" t="str">
        <f>IF(ISBLANK(A7)," ",VLOOKUP(A7,'CONFIG INV'!A:B,2,FALSE))</f>
        <v>A1</v>
      </c>
      <c r="C7" s="964">
        <f>IF(ISBLANK(A7)," ",VLOOKUP(A7,'CONFIG INV'!A:C,3,FALSE))</f>
        <v>5</v>
      </c>
      <c r="D7" s="965">
        <v>4</v>
      </c>
      <c r="E7" s="965"/>
      <c r="F7" s="966" t="str">
        <f>IF(G7&lt;0,"stock insuficiente por exceso de salidas/venta "&amp;G7,"")</f>
        <v/>
      </c>
      <c r="G7" s="967">
        <f>SUMIF(A:A,A7,D:D)-SUMIF(A:A,A7,E:E)</f>
        <v>4</v>
      </c>
      <c r="I7" s="669" t="s">
        <v>18</v>
      </c>
      <c r="J7" s="669"/>
    </row>
    <row r="8" spans="1:10">
      <c r="A8" s="963" t="s">
        <v>293</v>
      </c>
      <c r="B8" s="964" t="str">
        <f>IF(ISBLANK(A8)," ",VLOOKUP(A8,'CONFIG INV'!A:B,2,FALSE))</f>
        <v>A2</v>
      </c>
      <c r="C8" s="964">
        <f>IF(ISBLANK(A8)," ",VLOOKUP(A8,'CONFIG INV'!A:C,3,FALSE))</f>
        <v>10</v>
      </c>
      <c r="D8" s="968">
        <v>12</v>
      </c>
      <c r="E8" s="968"/>
      <c r="F8" s="550" t="str">
        <f t="shared" ref="F8:F15" si="0">IF(G8&lt;0,"stock insuficiente por exceso de salidas/venta "&amp;G8,"")</f>
        <v/>
      </c>
      <c r="G8" s="967">
        <f>IF(ISBLANK(A8)," ",SUMIF(A$5:$B8,A8,D$5:$E8)-SUMIF(A$5:$B8,A8,E$5:$F8))</f>
        <v>12</v>
      </c>
      <c r="I8" s="670" t="s">
        <v>17</v>
      </c>
      <c r="J8" s="670"/>
    </row>
    <row r="9" spans="1:10">
      <c r="A9" s="963" t="s">
        <v>294</v>
      </c>
      <c r="B9" s="964" t="str">
        <f>IF(ISBLANK(A9)," ",VLOOKUP(A9,'CONFIG INV'!A:B,2,FALSE))</f>
        <v>A3</v>
      </c>
      <c r="C9" s="964">
        <f>IF(ISBLANK(A9)," ",VLOOKUP(A9,'CONFIG INV'!A:C,3,FALSE))</f>
        <v>15</v>
      </c>
      <c r="D9" s="968">
        <v>6</v>
      </c>
      <c r="E9" s="968">
        <v>4</v>
      </c>
      <c r="F9" s="550" t="str">
        <f t="shared" si="0"/>
        <v/>
      </c>
      <c r="G9" s="967">
        <f>IF(ISBLANK(A9)," ",SUMIF(A$5:$B9,A9,D$5:$E9)-SUMIF(A$5:$B9,A9,E$5:$F9))</f>
        <v>2</v>
      </c>
      <c r="I9" s="670" t="s">
        <v>1029</v>
      </c>
      <c r="J9" s="670"/>
    </row>
    <row r="10" spans="1:10">
      <c r="A10" s="963" t="s">
        <v>295</v>
      </c>
      <c r="B10" s="964" t="str">
        <f>IF(ISBLANK(A10)," ",VLOOKUP(A10,'CONFIG INV'!A:B,2,FALSE))</f>
        <v>A4</v>
      </c>
      <c r="C10" s="964">
        <f>IF(ISBLANK(A10)," ",VLOOKUP(A10,'CONFIG INV'!A:C,3,FALSE))</f>
        <v>20</v>
      </c>
      <c r="D10" s="968">
        <v>14</v>
      </c>
      <c r="E10" s="968">
        <v>9</v>
      </c>
      <c r="F10" s="550" t="str">
        <f t="shared" si="0"/>
        <v/>
      </c>
      <c r="G10" s="967">
        <f>IF(ISBLANK(A10)," ",SUMIF(A$5:$B10,A10,D$5:$E10)-SUMIF(A$5:$B10,A10,E$5:$F10))</f>
        <v>5</v>
      </c>
      <c r="I10" s="670" t="s">
        <v>1030</v>
      </c>
      <c r="J10" s="670"/>
    </row>
    <row r="11" spans="1:10">
      <c r="A11" s="963" t="s">
        <v>296</v>
      </c>
      <c r="B11" s="964" t="str">
        <f>IF(ISBLANK(A11)," ",VLOOKUP(A11,'CONFIG INV'!A:B,2,FALSE))</f>
        <v>A5</v>
      </c>
      <c r="C11" s="964">
        <f>IF(ISBLANK(A11)," ",VLOOKUP(A11,'CONFIG INV'!A:C,3,FALSE))</f>
        <v>25</v>
      </c>
      <c r="D11" s="968">
        <v>28</v>
      </c>
      <c r="E11" s="968">
        <v>9</v>
      </c>
      <c r="F11" s="550" t="str">
        <f t="shared" si="0"/>
        <v/>
      </c>
      <c r="G11" s="967">
        <f>IF(ISBLANK(A11)," ",SUMIF(A$5:$B11,A11,D$5:$E11)-SUMIF(A$5:$B11,A11,E$5:$F11))</f>
        <v>19</v>
      </c>
    </row>
    <row r="12" spans="1:10">
      <c r="A12" s="963" t="s">
        <v>297</v>
      </c>
      <c r="B12" s="964" t="str">
        <f>IF(ISBLANK(A12)," ",VLOOKUP(A12,'CONFIG INV'!A:B,2,FALSE))</f>
        <v>A6</v>
      </c>
      <c r="C12" s="964">
        <f>IF(ISBLANK(A12)," ",VLOOKUP(A12,'CONFIG INV'!A:C,3,FALSE))</f>
        <v>30</v>
      </c>
      <c r="D12" s="968"/>
      <c r="E12" s="968">
        <v>10</v>
      </c>
      <c r="F12" s="550" t="str">
        <f t="shared" si="0"/>
        <v>stock insuficiente por exceso de salidas/venta -10</v>
      </c>
      <c r="G12" s="967">
        <f>IF(ISBLANK(A12)," ",SUMIF(A$5:$B12,A12,D$5:$E12)-SUMIF(A$5:$B12,A12,E$5:$F12))</f>
        <v>-10</v>
      </c>
    </row>
    <row r="13" spans="1:10">
      <c r="A13" s="963" t="s">
        <v>298</v>
      </c>
      <c r="B13" s="964" t="str">
        <f>IF(ISBLANK(A13)," ",VLOOKUP(A13,'CONFIG INV'!A:B,2,FALSE))</f>
        <v>A7</v>
      </c>
      <c r="C13" s="964">
        <f>IF(ISBLANK(A13)," ",VLOOKUP(A13,'CONFIG INV'!A:C,3,FALSE))</f>
        <v>35</v>
      </c>
      <c r="D13" s="968"/>
      <c r="E13" s="968">
        <v>11</v>
      </c>
      <c r="F13" s="550" t="str">
        <f>IF(G13&lt;0,"stock insuficiente por exceso de salidas/venta "&amp;G13,"")</f>
        <v>stock insuficiente por exceso de salidas/venta -11</v>
      </c>
      <c r="G13" s="967">
        <f>IF(ISBLANK(A13)," ",SUMIF(A$5:$B13,A13,D$5:$E13)-SUMIF(A$5:$B13,A13,E$5:$F13))</f>
        <v>-11</v>
      </c>
    </row>
    <row r="14" spans="1:10">
      <c r="A14" s="963" t="s">
        <v>299</v>
      </c>
      <c r="B14" s="964" t="str">
        <f>IF(ISBLANK(A14)," ",VLOOKUP(A14,'CONFIG INV'!A:B,2,FALSE))</f>
        <v>A8</v>
      </c>
      <c r="C14" s="964">
        <f>IF(ISBLANK(A14)," ",VLOOKUP(A14,'CONFIG INV'!A:C,3,FALSE))</f>
        <v>40</v>
      </c>
      <c r="D14" s="968"/>
      <c r="E14" s="968">
        <v>12</v>
      </c>
      <c r="F14" s="550" t="str">
        <f t="shared" si="0"/>
        <v>stock insuficiente por exceso de salidas/venta -12</v>
      </c>
      <c r="G14" s="967">
        <f>IF(ISBLANK(A14)," ",SUMIF(A$5:$B14,A14,D$5:$E14)-SUMIF(A$5:$B14,A14,E$5:$F14))</f>
        <v>-12</v>
      </c>
    </row>
    <row r="15" spans="1:10">
      <c r="A15" s="963" t="s">
        <v>300</v>
      </c>
      <c r="B15" s="964" t="str">
        <f>IF(ISBLANK(A15)," ",VLOOKUP(A15,'CONFIG INV'!A:B,2,FALSE))</f>
        <v>A9</v>
      </c>
      <c r="C15" s="964">
        <f>IF(ISBLANK(A15)," ",VLOOKUP(A15,'CONFIG INV'!A:C,3,FALSE))</f>
        <v>45</v>
      </c>
      <c r="D15" s="968">
        <v>45</v>
      </c>
      <c r="E15" s="968"/>
      <c r="F15" s="550" t="str">
        <f t="shared" si="0"/>
        <v/>
      </c>
      <c r="G15" s="967">
        <f>IF(ISBLANK(A15)," ",SUMIF(A$5:$B15,A15,D$5:$E15)-SUMIF(A$5:$B15,A15,E$5:$F15))</f>
        <v>45</v>
      </c>
    </row>
    <row r="16" spans="1:10">
      <c r="A16" s="963" t="s">
        <v>301</v>
      </c>
      <c r="B16" s="964" t="str">
        <f>IF(ISBLANK(A16)," ",VLOOKUP(A16,'CONFIG INV'!A:B,2,FALSE))</f>
        <v>A10</v>
      </c>
      <c r="C16" s="964">
        <f>IF(ISBLANK(A16)," ",VLOOKUP(A16,'CONFIG INV'!A:C,3,FALSE))</f>
        <v>50</v>
      </c>
      <c r="D16" s="968"/>
      <c r="E16" s="968">
        <v>14</v>
      </c>
      <c r="F16" s="550" t="str">
        <f t="shared" ref="F16:F37" si="1">IF(G16&lt;0,"stock insuficiente Exceso salida/venta "&amp;G16,"")</f>
        <v>stock insuficiente Exceso salida/venta -14</v>
      </c>
      <c r="G16" s="967">
        <f>IF(ISBLANK(A16)," ",SUMIF(A$5:$B16,A16,D$5:$E16)-SUMIF(A$5:$B16,A16,E$5:$F16))</f>
        <v>-14</v>
      </c>
    </row>
    <row r="17" spans="1:7">
      <c r="A17" s="963" t="s">
        <v>302</v>
      </c>
      <c r="B17" s="964" t="str">
        <f>IF(ISBLANK(A17)," ",VLOOKUP(A17,'CONFIG INV'!A:B,2,FALSE))</f>
        <v>A11</v>
      </c>
      <c r="C17" s="964">
        <f>IF(ISBLANK(A17)," ",VLOOKUP(A17,'CONFIG INV'!A:C,3,FALSE))</f>
        <v>55</v>
      </c>
      <c r="D17" s="968"/>
      <c r="E17" s="968"/>
      <c r="F17" s="550" t="str">
        <f t="shared" si="1"/>
        <v/>
      </c>
      <c r="G17" s="967">
        <f>IF(ISBLANK(A17)," ",SUMIF(A$5:$B17,A17,D$5:$E17)-SUMIF(A$5:$B17,A17,E$5:$F17))</f>
        <v>0</v>
      </c>
    </row>
    <row r="18" spans="1:7">
      <c r="A18" s="963" t="s">
        <v>303</v>
      </c>
      <c r="B18" s="964" t="str">
        <f>IF(ISBLANK(A18)," ",VLOOKUP(A18,'CONFIG INV'!A:B,2,FALSE))</f>
        <v>A12</v>
      </c>
      <c r="C18" s="964">
        <f>IF(ISBLANK(A18)," ",VLOOKUP(A18,'CONFIG INV'!A:C,3,FALSE))</f>
        <v>60</v>
      </c>
      <c r="D18" s="968"/>
      <c r="E18" s="968"/>
      <c r="F18" s="550" t="str">
        <f t="shared" si="1"/>
        <v/>
      </c>
      <c r="G18" s="967">
        <f>IF(ISBLANK(A18)," ",SUMIF(A$5:$B18,A18,D$5:$E18)-SUMIF(A$5:$B18,A18,E$5:$F18))</f>
        <v>0</v>
      </c>
    </row>
    <row r="19" spans="1:7">
      <c r="A19" s="453"/>
      <c r="B19" s="454"/>
      <c r="C19" s="454"/>
      <c r="D19" s="452"/>
      <c r="E19" s="452"/>
      <c r="F19" s="15" t="str">
        <f t="shared" si="1"/>
        <v/>
      </c>
      <c r="G19" s="451" t="str">
        <f>IF(ISBLANK(A19)," ",SUMIF(A$5:$B19,A19,D$5:$E19)-SUMIF(A$5:$B19,A19,E$5:$F19))</f>
        <v xml:space="preserve"> </v>
      </c>
    </row>
    <row r="20" spans="1:7">
      <c r="A20" s="453"/>
      <c r="B20" s="454"/>
      <c r="C20" s="454"/>
      <c r="D20" s="452"/>
      <c r="E20" s="452"/>
      <c r="F20" s="15" t="str">
        <f t="shared" si="1"/>
        <v/>
      </c>
      <c r="G20" s="451" t="str">
        <f>IF(ISBLANK(A20)," ",SUMIF(A$5:$B20,A20,D$5:$E20)-SUMIF(A$5:$B20,A20,E$5:$F20))</f>
        <v xml:space="preserve"> </v>
      </c>
    </row>
    <row r="21" spans="1:7">
      <c r="A21" s="453"/>
      <c r="B21" s="454"/>
      <c r="C21" s="454"/>
      <c r="D21" s="452"/>
      <c r="E21" s="452"/>
      <c r="F21" s="15" t="str">
        <f t="shared" si="1"/>
        <v/>
      </c>
      <c r="G21" s="451" t="str">
        <f>IF(ISBLANK(A21)," ",SUMIF(A$5:$B21,A21,D$5:$E21)-SUMIF(A$5:$B21,A21,E$5:$F21))</f>
        <v xml:space="preserve"> </v>
      </c>
    </row>
    <row r="22" spans="1:7">
      <c r="A22" s="453"/>
      <c r="B22" s="454"/>
      <c r="C22" s="454"/>
      <c r="D22" s="452"/>
      <c r="E22" s="452"/>
      <c r="F22" s="15" t="str">
        <f t="shared" si="1"/>
        <v/>
      </c>
      <c r="G22" s="451" t="str">
        <f>IF(ISBLANK(A22)," ",SUMIF(A$5:$B22,A22,D$5:$E22)-SUMIF(A$5:$B22,A22,E$5:$F22))</f>
        <v xml:space="preserve"> </v>
      </c>
    </row>
    <row r="23" spans="1:7">
      <c r="A23" s="453"/>
      <c r="B23" s="454"/>
      <c r="C23" s="454"/>
      <c r="D23" s="452"/>
      <c r="E23" s="452"/>
      <c r="F23" s="15" t="str">
        <f t="shared" si="1"/>
        <v/>
      </c>
      <c r="G23" s="451" t="str">
        <f>IF(ISBLANK(A23)," ",SUMIF(A$5:$B23,A23,D$5:$E23)-SUMIF(A$5:$B23,A23,E$5:$F23))</f>
        <v xml:space="preserve"> </v>
      </c>
    </row>
    <row r="24" spans="1:7">
      <c r="A24" s="453"/>
      <c r="B24" s="454"/>
      <c r="C24" s="454"/>
      <c r="D24" s="452"/>
      <c r="E24" s="452"/>
      <c r="F24" s="15" t="str">
        <f t="shared" si="1"/>
        <v/>
      </c>
      <c r="G24" s="451" t="str">
        <f>IF(ISBLANK(A24)," ",SUMIF(A$5:$B24,A24,D$5:$E24)-SUMIF(A$5:$B24,A24,E$5:$F24))</f>
        <v xml:space="preserve"> </v>
      </c>
    </row>
    <row r="25" spans="1:7">
      <c r="A25" s="453"/>
      <c r="B25" s="454"/>
      <c r="C25" s="454"/>
      <c r="D25" s="452"/>
      <c r="E25" s="452"/>
      <c r="F25" s="15" t="str">
        <f t="shared" si="1"/>
        <v/>
      </c>
      <c r="G25" s="451" t="str">
        <f>IF(ISBLANK(A25)," ",SUMIF(A$5:$B25,A25,D$5:$E25)-SUMIF(A$5:$B25,A25,E$5:$F25))</f>
        <v xml:space="preserve"> </v>
      </c>
    </row>
    <row r="26" spans="1:7">
      <c r="A26" s="453"/>
      <c r="B26" s="454"/>
      <c r="C26" s="454"/>
      <c r="D26" s="452"/>
      <c r="E26" s="452"/>
      <c r="F26" s="15" t="str">
        <f t="shared" si="1"/>
        <v/>
      </c>
      <c r="G26" s="451" t="str">
        <f>IF(ISBLANK(A26)," ",SUMIF(A$5:$B26,A26,D$5:$E26)-SUMIF(A$5:$B26,A26,E$5:$F26))</f>
        <v xml:space="preserve"> </v>
      </c>
    </row>
    <row r="27" spans="1:7">
      <c r="A27" s="453"/>
      <c r="B27" s="454"/>
      <c r="C27" s="454"/>
      <c r="D27" s="452"/>
      <c r="E27" s="452"/>
      <c r="F27" s="15" t="str">
        <f t="shared" si="1"/>
        <v/>
      </c>
      <c r="G27" s="451" t="str">
        <f>IF(ISBLANK(A27)," ",SUMIF(A$5:$B27,A27,D$5:$E27)-SUMIF(A$5:$B27,A27,E$5:$F27))</f>
        <v xml:space="preserve"> </v>
      </c>
    </row>
    <row r="28" spans="1:7">
      <c r="A28" s="453"/>
      <c r="B28" s="454"/>
      <c r="C28" s="454"/>
      <c r="D28" s="452"/>
      <c r="E28" s="452"/>
      <c r="F28" s="15" t="str">
        <f t="shared" si="1"/>
        <v/>
      </c>
      <c r="G28" s="451" t="str">
        <f>IF(ISBLANK(A28)," ",SUMIF(A$5:$B28,A28,D$5:$E28)-SUMIF(A$5:$B28,A28,E$5:$F28))</f>
        <v xml:space="preserve"> </v>
      </c>
    </row>
    <row r="29" spans="1:7">
      <c r="A29" s="453"/>
      <c r="B29" s="454"/>
      <c r="C29" s="454"/>
      <c r="D29" s="452"/>
      <c r="E29" s="452"/>
      <c r="F29" s="15" t="str">
        <f t="shared" si="1"/>
        <v/>
      </c>
      <c r="G29" s="451" t="str">
        <f>IF(ISBLANK(A29)," ",SUMIF(A$5:$B29,A29,D$5:$E29)-SUMIF(A$5:$B29,A29,E$5:$F29))</f>
        <v xml:space="preserve"> </v>
      </c>
    </row>
    <row r="30" spans="1:7">
      <c r="A30" s="453"/>
      <c r="B30" s="454"/>
      <c r="C30" s="454"/>
      <c r="D30" s="452"/>
      <c r="E30" s="452"/>
      <c r="F30" s="15" t="str">
        <f t="shared" si="1"/>
        <v/>
      </c>
      <c r="G30" s="451" t="str">
        <f>IF(ISBLANK(A30)," ",SUMIF(A$5:$B30,A30,D$5:$E30)-SUMIF(A$5:$B30,A30,E$5:$F30))</f>
        <v xml:space="preserve"> </v>
      </c>
    </row>
    <row r="31" spans="1:7">
      <c r="A31" s="453"/>
      <c r="B31" s="454"/>
      <c r="C31" s="454"/>
      <c r="D31" s="452"/>
      <c r="E31" s="452"/>
      <c r="F31" s="15" t="str">
        <f t="shared" si="1"/>
        <v/>
      </c>
      <c r="G31" s="451" t="str">
        <f>IF(ISBLANK(A31)," ",SUMIF(A$5:$B31,A31,D$5:$E31)-SUMIF(A$5:$B31,A31,E$5:$F31))</f>
        <v xml:space="preserve"> </v>
      </c>
    </row>
    <row r="32" spans="1:7">
      <c r="A32" s="453"/>
      <c r="B32" s="454"/>
      <c r="C32" s="454"/>
      <c r="D32" s="452"/>
      <c r="E32" s="452"/>
      <c r="F32" s="15" t="str">
        <f t="shared" si="1"/>
        <v/>
      </c>
      <c r="G32" s="451" t="str">
        <f>IF(ISBLANK(A32)," ",SUMIF(A$5:$B32,A32,D$5:$E32)-SUMIF(A$5:$B32,A32,E$5:$F32))</f>
        <v xml:space="preserve"> </v>
      </c>
    </row>
    <row r="33" spans="1:7">
      <c r="A33" s="453"/>
      <c r="B33" s="454"/>
      <c r="C33" s="454"/>
      <c r="D33" s="452"/>
      <c r="E33" s="452"/>
      <c r="F33" s="15" t="str">
        <f t="shared" si="1"/>
        <v/>
      </c>
      <c r="G33" s="451" t="str">
        <f>IF(ISBLANK(A33)," ",SUMIF(A$5:$B33,A33,D$5:$E33)-SUMIF(A$5:$B33,A33,E$5:$F33))</f>
        <v xml:space="preserve"> </v>
      </c>
    </row>
    <row r="34" spans="1:7">
      <c r="A34" s="453"/>
      <c r="B34" s="454"/>
      <c r="C34" s="454"/>
      <c r="D34" s="452"/>
      <c r="E34" s="452"/>
      <c r="F34" s="15" t="str">
        <f t="shared" si="1"/>
        <v/>
      </c>
      <c r="G34" s="451" t="str">
        <f>IF(ISBLANK(A34)," ",SUMIF(A$5:$B34,A34,D$5:$E34)-SUMIF(A$5:$B34,A34,E$5:$F34))</f>
        <v xml:space="preserve"> </v>
      </c>
    </row>
    <row r="35" spans="1:7">
      <c r="A35" s="453"/>
      <c r="B35" s="454"/>
      <c r="C35" s="454"/>
      <c r="D35" s="452"/>
      <c r="E35" s="452"/>
      <c r="F35" s="15" t="str">
        <f t="shared" si="1"/>
        <v/>
      </c>
      <c r="G35" s="451" t="str">
        <f>IF(ISBLANK(A35)," ",SUMIF(A$5:$B35,A35,D$5:$E35)-SUMIF(A$5:$B35,A35,E$5:$F35))</f>
        <v xml:space="preserve"> </v>
      </c>
    </row>
    <row r="36" spans="1:7">
      <c r="A36" s="453"/>
      <c r="B36" s="454"/>
      <c r="C36" s="454"/>
      <c r="D36" s="452"/>
      <c r="E36" s="452"/>
      <c r="F36" s="15" t="str">
        <f t="shared" si="1"/>
        <v/>
      </c>
      <c r="G36" s="451" t="str">
        <f>IF(ISBLANK(A36)," ",SUMIF(A$5:$B36,A36,D$5:$E36)-SUMIF(A$5:$B36,A36,E$5:$F36))</f>
        <v xml:space="preserve"> </v>
      </c>
    </row>
    <row r="37" spans="1:7">
      <c r="A37" s="453"/>
      <c r="B37" s="454"/>
      <c r="C37" s="454"/>
      <c r="D37" s="452"/>
      <c r="E37" s="452"/>
      <c r="F37" s="15" t="str">
        <f t="shared" si="1"/>
        <v/>
      </c>
      <c r="G37" s="451" t="str">
        <f>IF(ISBLANK(A37)," ",SUMIF(A$5:$B37,A37,D$5:$E37)-SUMIF(A$5:$B37,A37,E$5:$F37))</f>
        <v xml:space="preserve"> </v>
      </c>
    </row>
  </sheetData>
  <sheetProtection algorithmName="SHA-512" hashValue="CYX5MLtyMx4ep7TLDMTykqnkWLk6ovPG/2oVOxUQwT+9wY7DnO1WSdk6BkEnw6mQS7SlVuaUk6+RsVQm2Ebjzg==" saltValue="PFaOsQs/fCUJapa1RNoC0Q==" spinCount="100000" sheet="1" objects="1" scenarios="1" selectLockedCells="1"/>
  <mergeCells count="11">
    <mergeCell ref="I7:J7"/>
    <mergeCell ref="I8:J8"/>
    <mergeCell ref="I9:J9"/>
    <mergeCell ref="I10:J10"/>
    <mergeCell ref="A1:G1"/>
    <mergeCell ref="A4:G4"/>
    <mergeCell ref="A5:A6"/>
    <mergeCell ref="B5:B6"/>
    <mergeCell ref="C5:C6"/>
    <mergeCell ref="F5:F6"/>
    <mergeCell ref="G5:G6"/>
  </mergeCells>
  <conditionalFormatting sqref="G5:G37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G5">
    <cfRule type="containsText" dxfId="1" priority="2" operator="containsText" text="S">
      <formula>NOT(ISERROR(SEARCH("S",G5)))</formula>
    </cfRule>
  </conditionalFormatting>
  <conditionalFormatting sqref="F7:F37">
    <cfRule type="containsText" dxfId="0" priority="1" operator="containsText" text="Exceso">
      <formula>NOT(ISERROR(SEARCH("Exceso",F7)))</formula>
    </cfRule>
  </conditionalFormatting>
  <dataValidations disablePrompts="1" count="2">
    <dataValidation type="list" allowBlank="1" showInputMessage="1" showErrorMessage="1" sqref="A19:A37">
      <formula1>REF</formula1>
    </dataValidation>
    <dataValidation type="list" allowBlank="1" showInputMessage="1" showErrorMessage="1" sqref="A7:A18">
      <formula1>CODIGOS</formula1>
    </dataValidation>
  </dataValidation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90099"/>
  </sheetPr>
  <dimension ref="A1:F21"/>
  <sheetViews>
    <sheetView workbookViewId="0">
      <selection activeCell="C9" sqref="C9"/>
    </sheetView>
  </sheetViews>
  <sheetFormatPr baseColWidth="10" defaultRowHeight="16.5"/>
  <cols>
    <col min="1" max="1" width="32.25" style="14" customWidth="1"/>
    <col min="2" max="2" width="23.75" style="14" customWidth="1"/>
    <col min="3" max="16384" width="11" style="14"/>
  </cols>
  <sheetData>
    <row r="1" spans="1:6">
      <c r="A1" s="160" t="s">
        <v>304</v>
      </c>
      <c r="B1" s="160" t="s">
        <v>305</v>
      </c>
      <c r="C1" s="160" t="s">
        <v>286</v>
      </c>
    </row>
    <row r="2" spans="1:6">
      <c r="A2" s="79" t="s">
        <v>292</v>
      </c>
      <c r="B2" s="79" t="s">
        <v>306</v>
      </c>
      <c r="C2" s="79">
        <v>5</v>
      </c>
      <c r="E2" s="669" t="s">
        <v>18</v>
      </c>
      <c r="F2" s="669"/>
    </row>
    <row r="3" spans="1:6">
      <c r="A3" s="79" t="s">
        <v>293</v>
      </c>
      <c r="B3" s="79" t="s">
        <v>307</v>
      </c>
      <c r="C3" s="79">
        <v>10</v>
      </c>
      <c r="E3" s="670" t="s">
        <v>17</v>
      </c>
      <c r="F3" s="670"/>
    </row>
    <row r="4" spans="1:6">
      <c r="A4" s="79" t="s">
        <v>294</v>
      </c>
      <c r="B4" s="79" t="s">
        <v>308</v>
      </c>
      <c r="C4" s="79">
        <v>15</v>
      </c>
      <c r="E4" s="670" t="s">
        <v>1029</v>
      </c>
      <c r="F4" s="670"/>
    </row>
    <row r="5" spans="1:6">
      <c r="A5" s="79" t="s">
        <v>295</v>
      </c>
      <c r="B5" s="79" t="s">
        <v>309</v>
      </c>
      <c r="C5" s="79">
        <v>20</v>
      </c>
      <c r="E5" s="670" t="s">
        <v>1030</v>
      </c>
      <c r="F5" s="670"/>
    </row>
    <row r="6" spans="1:6">
      <c r="A6" s="79" t="s">
        <v>296</v>
      </c>
      <c r="B6" s="79" t="s">
        <v>310</v>
      </c>
      <c r="C6" s="79">
        <v>25</v>
      </c>
    </row>
    <row r="7" spans="1:6">
      <c r="A7" s="79" t="s">
        <v>297</v>
      </c>
      <c r="B7" s="79" t="s">
        <v>311</v>
      </c>
      <c r="C7" s="79">
        <v>30</v>
      </c>
    </row>
    <row r="8" spans="1:6">
      <c r="A8" s="79" t="s">
        <v>298</v>
      </c>
      <c r="B8" s="79" t="s">
        <v>312</v>
      </c>
      <c r="C8" s="79">
        <v>35</v>
      </c>
    </row>
    <row r="9" spans="1:6">
      <c r="A9" s="79" t="s">
        <v>299</v>
      </c>
      <c r="B9" s="79" t="s">
        <v>313</v>
      </c>
      <c r="C9" s="79">
        <v>40</v>
      </c>
    </row>
    <row r="10" spans="1:6">
      <c r="A10" s="79" t="s">
        <v>300</v>
      </c>
      <c r="B10" s="79" t="s">
        <v>314</v>
      </c>
      <c r="C10" s="79">
        <v>45</v>
      </c>
    </row>
    <row r="11" spans="1:6">
      <c r="A11" s="79" t="s">
        <v>301</v>
      </c>
      <c r="B11" s="79" t="s">
        <v>315</v>
      </c>
      <c r="C11" s="79">
        <v>50</v>
      </c>
    </row>
    <row r="12" spans="1:6">
      <c r="A12" s="79" t="s">
        <v>302</v>
      </c>
      <c r="B12" s="79" t="s">
        <v>316</v>
      </c>
      <c r="C12" s="79">
        <v>55</v>
      </c>
    </row>
    <row r="13" spans="1:6">
      <c r="A13" s="79" t="s">
        <v>303</v>
      </c>
      <c r="B13" s="79" t="s">
        <v>317</v>
      </c>
      <c r="C13" s="79">
        <v>60</v>
      </c>
    </row>
    <row r="14" spans="1:6">
      <c r="A14" s="79" t="s">
        <v>318</v>
      </c>
      <c r="B14" s="79" t="s">
        <v>319</v>
      </c>
      <c r="C14" s="79">
        <v>65</v>
      </c>
    </row>
    <row r="15" spans="1:6">
      <c r="A15" s="79" t="s">
        <v>320</v>
      </c>
      <c r="B15" s="79" t="s">
        <v>321</v>
      </c>
      <c r="C15" s="79">
        <v>70</v>
      </c>
    </row>
    <row r="16" spans="1:6">
      <c r="A16" s="79" t="s">
        <v>322</v>
      </c>
      <c r="B16" s="79" t="s">
        <v>323</v>
      </c>
      <c r="C16" s="79">
        <v>75</v>
      </c>
    </row>
    <row r="17" spans="1:3">
      <c r="A17" s="79" t="s">
        <v>324</v>
      </c>
      <c r="B17" s="79" t="s">
        <v>325</v>
      </c>
      <c r="C17" s="79">
        <v>80</v>
      </c>
    </row>
    <row r="18" spans="1:3">
      <c r="A18" s="79" t="s">
        <v>326</v>
      </c>
      <c r="B18" s="79" t="s">
        <v>327</v>
      </c>
      <c r="C18" s="79">
        <v>85</v>
      </c>
    </row>
    <row r="19" spans="1:3">
      <c r="A19" s="79" t="s">
        <v>328</v>
      </c>
      <c r="B19" s="79" t="s">
        <v>329</v>
      </c>
      <c r="C19" s="79">
        <v>90</v>
      </c>
    </row>
    <row r="20" spans="1:3">
      <c r="A20" s="79" t="s">
        <v>330</v>
      </c>
      <c r="B20" s="79" t="s">
        <v>331</v>
      </c>
      <c r="C20" s="79">
        <v>95</v>
      </c>
    </row>
    <row r="21" spans="1:3">
      <c r="A21" s="79" t="s">
        <v>332</v>
      </c>
      <c r="B21" s="79" t="s">
        <v>333</v>
      </c>
      <c r="C21" s="79">
        <v>100</v>
      </c>
    </row>
  </sheetData>
  <sheetProtection algorithmName="SHA-512" hashValue="/zdEM9u7itetpGuHV6N6qnOYnfL1lEQgOBIL09wk0idTXuvVyJIOKBU2MN10uqGoeGh0+zC/5bYchfKx+EwK9Q==" saltValue="3FmU5oQydt6LkQto39clTg==" spinCount="100000" sheet="1" objects="1" scenarios="1" selectLockedCells="1"/>
  <mergeCells count="4">
    <mergeCell ref="E2:F2"/>
    <mergeCell ref="E3:F3"/>
    <mergeCell ref="E4:F4"/>
    <mergeCell ref="E5:F5"/>
  </mergeCells>
  <dataValidations count="1">
    <dataValidation type="list" allowBlank="1" showInputMessage="1" showErrorMessage="1" sqref="A2:A21">
      <formula1>$A$2:$A$21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990099"/>
  </sheetPr>
  <dimension ref="A1:J45"/>
  <sheetViews>
    <sheetView showGridLines="0" topLeftCell="A28" zoomScaleNormal="100" workbookViewId="0">
      <selection activeCell="J12" sqref="J12"/>
    </sheetView>
  </sheetViews>
  <sheetFormatPr baseColWidth="10" defaultRowHeight="16.5"/>
  <cols>
    <col min="1" max="16384" width="11" style="14"/>
  </cols>
  <sheetData>
    <row r="1" spans="1:10">
      <c r="A1" s="837" t="s">
        <v>282</v>
      </c>
      <c r="B1" s="837"/>
      <c r="C1" s="837"/>
      <c r="D1" s="837"/>
      <c r="E1" s="837"/>
      <c r="F1" s="837"/>
      <c r="G1" s="837"/>
      <c r="H1" s="837"/>
    </row>
    <row r="2" spans="1:10">
      <c r="F2" s="837" t="s">
        <v>283</v>
      </c>
      <c r="G2" s="837"/>
      <c r="H2" s="837"/>
    </row>
    <row r="3" spans="1:10">
      <c r="A3" s="858" t="s">
        <v>904</v>
      </c>
      <c r="B3" s="837"/>
      <c r="C3" s="837"/>
      <c r="D3" s="837"/>
      <c r="E3" s="837"/>
      <c r="F3" s="837"/>
      <c r="G3" s="837"/>
      <c r="H3" s="837"/>
    </row>
    <row r="4" spans="1:10">
      <c r="F4" s="837"/>
      <c r="G4" s="837"/>
      <c r="H4" s="837"/>
    </row>
    <row r="5" spans="1:10">
      <c r="F5" s="837"/>
      <c r="G5" s="837"/>
      <c r="H5" s="837"/>
    </row>
    <row r="6" spans="1:10">
      <c r="F6" s="837"/>
      <c r="G6" s="837"/>
      <c r="H6" s="837"/>
      <c r="I6" s="669" t="s">
        <v>18</v>
      </c>
      <c r="J6" s="669"/>
    </row>
    <row r="7" spans="1:10" ht="17.25" thickBot="1">
      <c r="F7" s="857"/>
      <c r="G7" s="857"/>
      <c r="H7" s="857"/>
      <c r="I7" s="670" t="s">
        <v>17</v>
      </c>
      <c r="J7" s="670"/>
    </row>
    <row r="8" spans="1:10" ht="17.25" thickBot="1">
      <c r="A8" s="892" t="s">
        <v>238</v>
      </c>
      <c r="B8" s="895" t="s">
        <v>436</v>
      </c>
      <c r="C8" s="895"/>
      <c r="D8" s="895"/>
      <c r="E8" s="896" t="s">
        <v>239</v>
      </c>
      <c r="F8" s="897"/>
      <c r="G8" s="897"/>
      <c r="H8" s="898"/>
      <c r="I8" s="670" t="s">
        <v>1029</v>
      </c>
      <c r="J8" s="670"/>
    </row>
    <row r="9" spans="1:10">
      <c r="A9" s="893"/>
      <c r="B9" s="899" t="s">
        <v>240</v>
      </c>
      <c r="C9" s="899"/>
      <c r="D9" s="899"/>
      <c r="E9" s="900" t="s">
        <v>241</v>
      </c>
      <c r="F9" s="899"/>
      <c r="G9" s="899"/>
      <c r="H9" s="901"/>
      <c r="I9" s="670" t="s">
        <v>1030</v>
      </c>
      <c r="J9" s="670"/>
    </row>
    <row r="10" spans="1:10" ht="17.25" thickBot="1">
      <c r="A10" s="894"/>
      <c r="B10" s="902" t="s">
        <v>242</v>
      </c>
      <c r="C10" s="902"/>
      <c r="D10" s="902"/>
      <c r="E10" s="903" t="s">
        <v>243</v>
      </c>
      <c r="F10" s="902"/>
      <c r="G10" s="902"/>
      <c r="H10" s="904"/>
    </row>
    <row r="11" spans="1:10" ht="17.25" thickBot="1">
      <c r="A11" s="880" t="s">
        <v>244</v>
      </c>
      <c r="B11" s="881"/>
      <c r="C11" s="881"/>
      <c r="D11" s="881"/>
      <c r="E11" s="881"/>
      <c r="F11" s="881"/>
      <c r="G11" s="881"/>
      <c r="H11" s="905"/>
    </row>
    <row r="12" spans="1:10" ht="17.25" thickBot="1">
      <c r="A12" s="455"/>
      <c r="B12" s="455"/>
      <c r="C12" s="455"/>
      <c r="D12" s="455"/>
      <c r="E12" s="455"/>
      <c r="F12" s="455"/>
      <c r="G12" s="455"/>
      <c r="H12" s="455"/>
    </row>
    <row r="13" spans="1:10" ht="17.25" thickBot="1">
      <c r="A13" s="906" t="s">
        <v>245</v>
      </c>
      <c r="B13" s="907"/>
      <c r="C13" s="456" t="s">
        <v>246</v>
      </c>
      <c r="D13" s="457" t="s">
        <v>247</v>
      </c>
      <c r="E13" s="458" t="s">
        <v>248</v>
      </c>
      <c r="F13" s="458" t="s">
        <v>249</v>
      </c>
      <c r="G13" s="882" t="s">
        <v>250</v>
      </c>
      <c r="H13" s="883"/>
    </row>
    <row r="14" spans="1:10" ht="58.5" customHeight="1">
      <c r="A14" s="889" t="s">
        <v>251</v>
      </c>
      <c r="B14" s="890"/>
      <c r="C14" s="459"/>
      <c r="D14" s="460"/>
      <c r="E14" s="461"/>
      <c r="F14" s="461"/>
      <c r="G14" s="891"/>
      <c r="H14" s="879"/>
    </row>
    <row r="15" spans="1:10" ht="42" customHeight="1">
      <c r="A15" s="887" t="s">
        <v>252</v>
      </c>
      <c r="B15" s="888"/>
      <c r="C15" s="462"/>
      <c r="D15" s="463"/>
      <c r="E15" s="464"/>
      <c r="F15" s="464"/>
      <c r="G15" s="885"/>
      <c r="H15" s="852"/>
    </row>
    <row r="16" spans="1:10" ht="63.75" customHeight="1">
      <c r="A16" s="887" t="s">
        <v>253</v>
      </c>
      <c r="B16" s="888"/>
      <c r="C16" s="462"/>
      <c r="D16" s="463"/>
      <c r="E16" s="464"/>
      <c r="F16" s="464"/>
      <c r="G16" s="885"/>
      <c r="H16" s="852"/>
    </row>
    <row r="17" spans="1:8" ht="45" customHeight="1">
      <c r="A17" s="887" t="s">
        <v>254</v>
      </c>
      <c r="B17" s="888"/>
      <c r="C17" s="462"/>
      <c r="D17" s="463"/>
      <c r="E17" s="464"/>
      <c r="F17" s="464"/>
      <c r="G17" s="885"/>
      <c r="H17" s="852"/>
    </row>
    <row r="18" spans="1:8" ht="45.75" customHeight="1">
      <c r="A18" s="887" t="s">
        <v>255</v>
      </c>
      <c r="B18" s="888"/>
      <c r="C18" s="462"/>
      <c r="D18" s="463"/>
      <c r="E18" s="464"/>
      <c r="F18" s="464"/>
      <c r="G18" s="885"/>
      <c r="H18" s="852"/>
    </row>
    <row r="19" spans="1:8" ht="39" customHeight="1">
      <c r="A19" s="887" t="s">
        <v>256</v>
      </c>
      <c r="B19" s="888"/>
      <c r="C19" s="462"/>
      <c r="D19" s="463"/>
      <c r="E19" s="464"/>
      <c r="F19" s="464"/>
      <c r="G19" s="851"/>
      <c r="H19" s="852"/>
    </row>
    <row r="20" spans="1:8" ht="43.5" customHeight="1">
      <c r="A20" s="887" t="s">
        <v>257</v>
      </c>
      <c r="B20" s="888"/>
      <c r="C20" s="462"/>
      <c r="D20" s="463"/>
      <c r="E20" s="464"/>
      <c r="F20" s="464"/>
      <c r="G20" s="851"/>
      <c r="H20" s="852"/>
    </row>
    <row r="21" spans="1:8">
      <c r="A21" s="887" t="s">
        <v>258</v>
      </c>
      <c r="B21" s="888"/>
      <c r="C21" s="462"/>
      <c r="D21" s="463"/>
      <c r="E21" s="464"/>
      <c r="F21" s="464"/>
      <c r="G21" s="851"/>
      <c r="H21" s="852"/>
    </row>
    <row r="22" spans="1:8" ht="40.5" customHeight="1">
      <c r="A22" s="887" t="s">
        <v>259</v>
      </c>
      <c r="B22" s="888"/>
      <c r="C22" s="462"/>
      <c r="D22" s="463"/>
      <c r="E22" s="464"/>
      <c r="F22" s="464"/>
      <c r="G22" s="851"/>
      <c r="H22" s="852"/>
    </row>
    <row r="23" spans="1:8" ht="60.75" customHeight="1">
      <c r="A23" s="849" t="s">
        <v>260</v>
      </c>
      <c r="B23" s="859"/>
      <c r="C23" s="462"/>
      <c r="D23" s="463"/>
      <c r="E23" s="464"/>
      <c r="F23" s="464"/>
      <c r="G23" s="851"/>
      <c r="H23" s="852"/>
    </row>
    <row r="24" spans="1:8" ht="93" customHeight="1">
      <c r="A24" s="849" t="s">
        <v>261</v>
      </c>
      <c r="B24" s="859"/>
      <c r="C24" s="462"/>
      <c r="D24" s="463"/>
      <c r="E24" s="464"/>
      <c r="F24" s="464"/>
      <c r="G24" s="851"/>
      <c r="H24" s="852"/>
    </row>
    <row r="25" spans="1:8" ht="106.5" customHeight="1">
      <c r="A25" s="849" t="s">
        <v>262</v>
      </c>
      <c r="B25" s="859"/>
      <c r="C25" s="462"/>
      <c r="D25" s="463"/>
      <c r="E25" s="464"/>
      <c r="F25" s="464"/>
      <c r="G25" s="885"/>
      <c r="H25" s="852"/>
    </row>
    <row r="26" spans="1:8" ht="92.25" customHeight="1" thickBot="1">
      <c r="A26" s="849" t="s">
        <v>263</v>
      </c>
      <c r="B26" s="859"/>
      <c r="C26" s="465"/>
      <c r="D26" s="466"/>
      <c r="E26" s="467"/>
      <c r="F26" s="467"/>
      <c r="G26" s="886"/>
      <c r="H26" s="871"/>
    </row>
    <row r="27" spans="1:8" ht="17.25" thickBot="1">
      <c r="A27" s="880" t="s">
        <v>264</v>
      </c>
      <c r="B27" s="881"/>
      <c r="C27" s="456" t="s">
        <v>246</v>
      </c>
      <c r="D27" s="457" t="s">
        <v>247</v>
      </c>
      <c r="E27" s="458" t="s">
        <v>248</v>
      </c>
      <c r="F27" s="458" t="s">
        <v>249</v>
      </c>
      <c r="G27" s="882" t="s">
        <v>250</v>
      </c>
      <c r="H27" s="883"/>
    </row>
    <row r="28" spans="1:8" ht="143.25" customHeight="1">
      <c r="A28" s="876" t="s">
        <v>265</v>
      </c>
      <c r="B28" s="877"/>
      <c r="C28" s="468"/>
      <c r="D28" s="469"/>
      <c r="E28" s="470"/>
      <c r="F28" s="470"/>
      <c r="G28" s="877"/>
      <c r="H28" s="884"/>
    </row>
    <row r="29" spans="1:8" ht="106.5" customHeight="1">
      <c r="A29" s="849" t="s">
        <v>266</v>
      </c>
      <c r="B29" s="850"/>
      <c r="C29" s="471"/>
      <c r="D29" s="472"/>
      <c r="E29" s="473"/>
      <c r="F29" s="473"/>
      <c r="G29" s="851"/>
      <c r="H29" s="852"/>
    </row>
    <row r="30" spans="1:8" ht="116.25" customHeight="1" thickBot="1">
      <c r="A30" s="868" t="s">
        <v>267</v>
      </c>
      <c r="B30" s="869"/>
      <c r="C30" s="474"/>
      <c r="D30" s="475"/>
      <c r="E30" s="476"/>
      <c r="F30" s="476"/>
      <c r="G30" s="870"/>
      <c r="H30" s="871"/>
    </row>
    <row r="31" spans="1:8" ht="17.25" thickBot="1">
      <c r="A31" s="872" t="s">
        <v>268</v>
      </c>
      <c r="B31" s="873"/>
      <c r="C31" s="477" t="s">
        <v>246</v>
      </c>
      <c r="D31" s="478" t="s">
        <v>247</v>
      </c>
      <c r="E31" s="479" t="s">
        <v>248</v>
      </c>
      <c r="F31" s="479" t="s">
        <v>249</v>
      </c>
      <c r="G31" s="874" t="s">
        <v>250</v>
      </c>
      <c r="H31" s="875"/>
    </row>
    <row r="32" spans="1:8" ht="110.25" customHeight="1">
      <c r="A32" s="876" t="s">
        <v>269</v>
      </c>
      <c r="B32" s="877"/>
      <c r="C32" s="468"/>
      <c r="D32" s="469"/>
      <c r="E32" s="470"/>
      <c r="F32" s="470"/>
      <c r="G32" s="878"/>
      <c r="H32" s="879"/>
    </row>
    <row r="33" spans="1:8" ht="91.5" customHeight="1">
      <c r="A33" s="849" t="s">
        <v>270</v>
      </c>
      <c r="B33" s="850"/>
      <c r="C33" s="471"/>
      <c r="D33" s="472"/>
      <c r="E33" s="473"/>
      <c r="F33" s="473"/>
      <c r="G33" s="851"/>
      <c r="H33" s="852"/>
    </row>
    <row r="34" spans="1:8" ht="111" customHeight="1">
      <c r="A34" s="849" t="s">
        <v>271</v>
      </c>
      <c r="B34" s="850"/>
      <c r="C34" s="471"/>
      <c r="D34" s="472"/>
      <c r="E34" s="473"/>
      <c r="F34" s="473"/>
      <c r="G34" s="851"/>
      <c r="H34" s="852"/>
    </row>
    <row r="35" spans="1:8" ht="66.75" customHeight="1">
      <c r="A35" s="849" t="s">
        <v>272</v>
      </c>
      <c r="B35" s="850"/>
      <c r="C35" s="471"/>
      <c r="D35" s="472"/>
      <c r="E35" s="473"/>
      <c r="F35" s="473"/>
      <c r="G35" s="851"/>
      <c r="H35" s="852"/>
    </row>
    <row r="36" spans="1:8" ht="77.25" customHeight="1">
      <c r="A36" s="849" t="s">
        <v>273</v>
      </c>
      <c r="B36" s="850"/>
      <c r="C36" s="471"/>
      <c r="D36" s="472"/>
      <c r="E36" s="473"/>
      <c r="F36" s="473"/>
      <c r="G36" s="851"/>
      <c r="H36" s="852"/>
    </row>
    <row r="37" spans="1:8" ht="17.25" thickBot="1">
      <c r="A37" s="860" t="s">
        <v>274</v>
      </c>
      <c r="B37" s="861"/>
      <c r="C37" s="480" t="s">
        <v>246</v>
      </c>
      <c r="D37" s="481" t="s">
        <v>247</v>
      </c>
      <c r="E37" s="482" t="s">
        <v>248</v>
      </c>
      <c r="F37" s="482" t="s">
        <v>249</v>
      </c>
      <c r="G37" s="862" t="s">
        <v>250</v>
      </c>
      <c r="H37" s="863"/>
    </row>
    <row r="38" spans="1:8" ht="67.5" customHeight="1">
      <c r="A38" s="864" t="s">
        <v>275</v>
      </c>
      <c r="B38" s="865"/>
      <c r="C38" s="483"/>
      <c r="D38" s="484"/>
      <c r="E38" s="485"/>
      <c r="F38" s="485"/>
      <c r="G38" s="866"/>
      <c r="H38" s="867"/>
    </row>
    <row r="39" spans="1:8" ht="66" customHeight="1">
      <c r="A39" s="849" t="s">
        <v>276</v>
      </c>
      <c r="B39" s="850"/>
      <c r="C39" s="471"/>
      <c r="D39" s="472"/>
      <c r="E39" s="473"/>
      <c r="F39" s="473"/>
      <c r="G39" s="851"/>
      <c r="H39" s="852"/>
    </row>
    <row r="40" spans="1:8" ht="51" customHeight="1">
      <c r="A40" s="849" t="s">
        <v>277</v>
      </c>
      <c r="B40" s="850"/>
      <c r="C40" s="471"/>
      <c r="D40" s="472"/>
      <c r="E40" s="473"/>
      <c r="F40" s="473"/>
      <c r="G40" s="851"/>
      <c r="H40" s="852"/>
    </row>
    <row r="41" spans="1:8" ht="51" customHeight="1">
      <c r="A41" s="849" t="s">
        <v>278</v>
      </c>
      <c r="B41" s="850"/>
      <c r="C41" s="471"/>
      <c r="D41" s="472"/>
      <c r="E41" s="473"/>
      <c r="F41" s="473"/>
      <c r="G41" s="849"/>
      <c r="H41" s="859"/>
    </row>
    <row r="42" spans="1:8" ht="48.75" customHeight="1">
      <c r="A42" s="849" t="s">
        <v>279</v>
      </c>
      <c r="B42" s="850"/>
      <c r="C42" s="471"/>
      <c r="D42" s="472"/>
      <c r="E42" s="473"/>
      <c r="F42" s="473"/>
      <c r="G42" s="851"/>
      <c r="H42" s="852"/>
    </row>
    <row r="43" spans="1:8" ht="39.75" customHeight="1">
      <c r="A43" s="849" t="s">
        <v>280</v>
      </c>
      <c r="B43" s="850"/>
      <c r="C43" s="471"/>
      <c r="D43" s="472"/>
      <c r="E43" s="473"/>
      <c r="F43" s="473"/>
      <c r="G43" s="851"/>
      <c r="H43" s="852"/>
    </row>
    <row r="44" spans="1:8" ht="111.75" customHeight="1" thickBot="1">
      <c r="A44" s="853" t="s">
        <v>281</v>
      </c>
      <c r="B44" s="854"/>
      <c r="C44" s="486"/>
      <c r="D44" s="487"/>
      <c r="E44" s="488"/>
      <c r="F44" s="488"/>
      <c r="G44" s="855"/>
      <c r="H44" s="856"/>
    </row>
    <row r="45" spans="1:8">
      <c r="A45" s="455"/>
      <c r="B45" s="455"/>
      <c r="C45" s="455"/>
      <c r="D45" s="455"/>
      <c r="E45" s="455"/>
      <c r="F45" s="455"/>
      <c r="G45" s="455"/>
      <c r="H45" s="455"/>
    </row>
  </sheetData>
  <sheetProtection algorithmName="SHA-512" hashValue="vdclsgY0J4nI0hMg49P5u4D4uCugP7c5ilV/Ea7OZBELkcNETHZk7lsBIWxt04eYNZp1iVr+b0BuiYZGzF2A7A==" saltValue="nlhatgz0rHikNMHHoo0eaw==" spinCount="100000" sheet="1" objects="1" scenarios="1" selectLockedCells="1"/>
  <mergeCells count="79">
    <mergeCell ref="I6:J6"/>
    <mergeCell ref="I7:J7"/>
    <mergeCell ref="I8:J8"/>
    <mergeCell ref="I9:J9"/>
    <mergeCell ref="A15:B15"/>
    <mergeCell ref="G15:H15"/>
    <mergeCell ref="A8:A10"/>
    <mergeCell ref="B8:D8"/>
    <mergeCell ref="E8:H8"/>
    <mergeCell ref="B9:D9"/>
    <mergeCell ref="E9:H9"/>
    <mergeCell ref="B10:D10"/>
    <mergeCell ref="E10:H10"/>
    <mergeCell ref="A11:H11"/>
    <mergeCell ref="A13:B13"/>
    <mergeCell ref="G13:H13"/>
    <mergeCell ref="A14:B14"/>
    <mergeCell ref="G14:H14"/>
    <mergeCell ref="A16:B16"/>
    <mergeCell ref="G16:H16"/>
    <mergeCell ref="A17:B17"/>
    <mergeCell ref="G17:H17"/>
    <mergeCell ref="A18:B18"/>
    <mergeCell ref="G18:H18"/>
    <mergeCell ref="A19:B19"/>
    <mergeCell ref="G19:H19"/>
    <mergeCell ref="A20:B20"/>
    <mergeCell ref="G20:H20"/>
    <mergeCell ref="A21:B21"/>
    <mergeCell ref="G21:H21"/>
    <mergeCell ref="A22:B22"/>
    <mergeCell ref="G22:H22"/>
    <mergeCell ref="A23:B23"/>
    <mergeCell ref="G23:H23"/>
    <mergeCell ref="A24:B24"/>
    <mergeCell ref="G24:H24"/>
    <mergeCell ref="A25:B25"/>
    <mergeCell ref="G25:H25"/>
    <mergeCell ref="A26:B26"/>
    <mergeCell ref="G26:H26"/>
    <mergeCell ref="A27:B27"/>
    <mergeCell ref="G27:H27"/>
    <mergeCell ref="A28:B28"/>
    <mergeCell ref="G28:H28"/>
    <mergeCell ref="A29:B29"/>
    <mergeCell ref="G29:H29"/>
    <mergeCell ref="A30:B30"/>
    <mergeCell ref="G30:H30"/>
    <mergeCell ref="A31:B31"/>
    <mergeCell ref="G31:H31"/>
    <mergeCell ref="A32:B32"/>
    <mergeCell ref="G32:H32"/>
    <mergeCell ref="A33:B33"/>
    <mergeCell ref="G33:H33"/>
    <mergeCell ref="G38:H38"/>
    <mergeCell ref="A39:B39"/>
    <mergeCell ref="G39:H39"/>
    <mergeCell ref="A34:B34"/>
    <mergeCell ref="G34:H34"/>
    <mergeCell ref="A35:B35"/>
    <mergeCell ref="G35:H35"/>
    <mergeCell ref="A36:B36"/>
    <mergeCell ref="G36:H36"/>
    <mergeCell ref="A43:B43"/>
    <mergeCell ref="G43:H43"/>
    <mergeCell ref="A44:B44"/>
    <mergeCell ref="G44:H44"/>
    <mergeCell ref="A1:H1"/>
    <mergeCell ref="F2:H7"/>
    <mergeCell ref="A3:E3"/>
    <mergeCell ref="A40:B40"/>
    <mergeCell ref="G40:H40"/>
    <mergeCell ref="A41:B41"/>
    <mergeCell ref="G41:H41"/>
    <mergeCell ref="A42:B42"/>
    <mergeCell ref="G42:H42"/>
    <mergeCell ref="A37:B37"/>
    <mergeCell ref="G37:H37"/>
    <mergeCell ref="A38:B38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7030A0"/>
  </sheetPr>
  <dimension ref="A1:M38"/>
  <sheetViews>
    <sheetView zoomScale="70" zoomScaleNormal="70" workbookViewId="0">
      <selection activeCell="M11" sqref="M10:M11"/>
    </sheetView>
  </sheetViews>
  <sheetFormatPr baseColWidth="10" defaultRowHeight="16.5"/>
  <cols>
    <col min="1" max="10" width="11" style="14"/>
    <col min="11" max="11" width="21.25" style="14" customWidth="1"/>
    <col min="12" max="16384" width="11" style="14"/>
  </cols>
  <sheetData>
    <row r="1" spans="1:13">
      <c r="A1" s="489"/>
      <c r="B1" s="489"/>
      <c r="C1" s="489"/>
      <c r="D1" s="490"/>
      <c r="E1" s="490"/>
      <c r="F1" s="490"/>
      <c r="G1" s="928" t="s">
        <v>283</v>
      </c>
      <c r="H1" s="928"/>
      <c r="I1" s="928"/>
      <c r="J1" s="928"/>
      <c r="K1" s="928"/>
    </row>
    <row r="2" spans="1:13">
      <c r="A2" s="489"/>
      <c r="B2" s="489"/>
      <c r="C2" s="489"/>
      <c r="D2" s="489"/>
      <c r="E2" s="489"/>
      <c r="F2" s="489"/>
      <c r="G2" s="928"/>
      <c r="H2" s="928"/>
      <c r="I2" s="928"/>
      <c r="J2" s="928"/>
      <c r="K2" s="928"/>
    </row>
    <row r="3" spans="1:13">
      <c r="A3" s="924" t="s">
        <v>905</v>
      </c>
      <c r="B3" s="925"/>
      <c r="C3" s="925"/>
      <c r="D3" s="925"/>
      <c r="E3" s="925"/>
      <c r="F3" s="489"/>
      <c r="G3" s="928"/>
      <c r="H3" s="928"/>
      <c r="I3" s="928"/>
      <c r="J3" s="928"/>
      <c r="K3" s="928"/>
    </row>
    <row r="4" spans="1:13">
      <c r="A4" s="925"/>
      <c r="B4" s="925"/>
      <c r="C4" s="925"/>
      <c r="D4" s="925"/>
      <c r="E4" s="925"/>
      <c r="F4" s="489"/>
      <c r="G4" s="928"/>
      <c r="H4" s="928"/>
      <c r="I4" s="928"/>
      <c r="J4" s="928"/>
      <c r="K4" s="928"/>
    </row>
    <row r="5" spans="1:13">
      <c r="A5" s="491">
        <v>15555555</v>
      </c>
      <c r="B5" s="492"/>
      <c r="C5" s="492"/>
      <c r="D5" s="492"/>
      <c r="E5" s="492"/>
      <c r="F5" s="489"/>
      <c r="G5" s="928"/>
      <c r="H5" s="928"/>
      <c r="I5" s="928"/>
      <c r="J5" s="928"/>
      <c r="K5" s="928"/>
    </row>
    <row r="6" spans="1:13">
      <c r="A6" s="493"/>
      <c r="B6" s="494"/>
      <c r="C6" s="494"/>
      <c r="D6" s="494"/>
      <c r="E6" s="494"/>
      <c r="F6" s="489"/>
      <c r="G6" s="928"/>
      <c r="H6" s="928"/>
      <c r="I6" s="928"/>
      <c r="J6" s="928"/>
      <c r="K6" s="928"/>
      <c r="L6" s="669" t="s">
        <v>18</v>
      </c>
      <c r="M6" s="669"/>
    </row>
    <row r="7" spans="1:13">
      <c r="A7" s="910" t="s">
        <v>334</v>
      </c>
      <c r="B7" s="910"/>
      <c r="C7" s="910"/>
      <c r="D7" s="910"/>
      <c r="E7" s="494"/>
      <c r="F7" s="489"/>
      <c r="G7" s="928"/>
      <c r="H7" s="928"/>
      <c r="I7" s="928"/>
      <c r="J7" s="928"/>
      <c r="K7" s="928"/>
      <c r="L7" s="670" t="s">
        <v>17</v>
      </c>
      <c r="M7" s="670"/>
    </row>
    <row r="8" spans="1:13">
      <c r="A8" s="495"/>
      <c r="B8" s="495"/>
      <c r="C8" s="495"/>
      <c r="D8" s="495"/>
      <c r="E8" s="494"/>
      <c r="F8" s="489"/>
      <c r="G8" s="928"/>
      <c r="H8" s="928"/>
      <c r="I8" s="928"/>
      <c r="J8" s="928"/>
      <c r="K8" s="928"/>
      <c r="L8" s="670" t="s">
        <v>1029</v>
      </c>
      <c r="M8" s="670"/>
    </row>
    <row r="9" spans="1:13">
      <c r="A9" s="926" t="s">
        <v>346</v>
      </c>
      <c r="B9" s="926"/>
      <c r="C9" s="926"/>
      <c r="D9" s="926"/>
      <c r="E9" s="494"/>
      <c r="F9" s="489"/>
      <c r="G9" s="928"/>
      <c r="H9" s="928"/>
      <c r="I9" s="928"/>
      <c r="J9" s="928"/>
      <c r="K9" s="928"/>
      <c r="L9" s="670" t="s">
        <v>1030</v>
      </c>
      <c r="M9" s="670"/>
    </row>
    <row r="10" spans="1:13">
      <c r="A10" s="926"/>
      <c r="B10" s="926"/>
      <c r="C10" s="926"/>
      <c r="D10" s="926"/>
      <c r="E10" s="494"/>
      <c r="F10" s="489"/>
      <c r="G10" s="489"/>
      <c r="H10" s="489"/>
      <c r="I10" s="489"/>
      <c r="J10" s="489"/>
      <c r="K10" s="489"/>
    </row>
    <row r="11" spans="1:13" ht="23.25">
      <c r="A11" s="926"/>
      <c r="B11" s="926"/>
      <c r="C11" s="926"/>
      <c r="D11" s="926"/>
      <c r="E11" s="494"/>
      <c r="F11" s="489"/>
      <c r="G11" s="927" t="s">
        <v>335</v>
      </c>
      <c r="H11" s="927"/>
      <c r="I11" s="927"/>
      <c r="J11" s="927"/>
      <c r="K11" s="927"/>
    </row>
    <row r="12" spans="1:13">
      <c r="A12" s="926"/>
      <c r="B12" s="926"/>
      <c r="C12" s="926"/>
      <c r="D12" s="926"/>
      <c r="E12" s="494"/>
      <c r="F12" s="489"/>
      <c r="G12" s="489"/>
      <c r="H12" s="489"/>
      <c r="I12" s="489"/>
      <c r="J12" s="489"/>
      <c r="K12" s="489"/>
    </row>
    <row r="13" spans="1:13">
      <c r="A13" s="926"/>
      <c r="B13" s="926"/>
      <c r="C13" s="926"/>
      <c r="D13" s="926"/>
      <c r="E13" s="494"/>
      <c r="F13" s="489"/>
      <c r="G13" s="918" t="s">
        <v>336</v>
      </c>
      <c r="H13" s="918"/>
      <c r="I13" s="918"/>
      <c r="J13" s="918"/>
      <c r="K13" s="496" t="s">
        <v>337</v>
      </c>
    </row>
    <row r="14" spans="1:13">
      <c r="A14" s="918"/>
      <c r="B14" s="918"/>
      <c r="C14" s="918"/>
      <c r="D14" s="918"/>
      <c r="E14" s="494"/>
      <c r="F14" s="489"/>
      <c r="G14" s="918" t="s">
        <v>338</v>
      </c>
      <c r="H14" s="918"/>
      <c r="I14" s="918"/>
      <c r="J14" s="918"/>
      <c r="K14" s="497">
        <f ca="1">NOW()</f>
        <v>43731.741892245373</v>
      </c>
    </row>
    <row r="15" spans="1:13">
      <c r="A15" s="498"/>
      <c r="B15" s="498"/>
      <c r="C15" s="498"/>
      <c r="D15" s="498"/>
      <c r="E15" s="494"/>
      <c r="F15" s="489"/>
      <c r="G15" s="498" t="s">
        <v>442</v>
      </c>
      <c r="H15" s="498"/>
      <c r="I15" s="498"/>
      <c r="J15" s="498"/>
      <c r="K15" s="499">
        <f ca="1">NOW()</f>
        <v>43731.741892245373</v>
      </c>
    </row>
    <row r="16" spans="1:13">
      <c r="A16" s="500"/>
      <c r="B16" s="500"/>
      <c r="C16" s="500"/>
      <c r="D16" s="500"/>
      <c r="E16" s="489"/>
      <c r="F16" s="489"/>
      <c r="G16" s="918" t="s">
        <v>339</v>
      </c>
      <c r="H16" s="918"/>
      <c r="I16" s="918"/>
      <c r="J16" s="918"/>
      <c r="K16" s="494">
        <v>14</v>
      </c>
    </row>
    <row r="17" spans="1:11">
      <c r="A17" s="500"/>
      <c r="B17" s="500"/>
      <c r="C17" s="500"/>
      <c r="D17" s="500"/>
      <c r="E17" s="489"/>
      <c r="F17" s="489"/>
      <c r="G17" s="918" t="s">
        <v>340</v>
      </c>
      <c r="H17" s="918"/>
      <c r="I17" s="918"/>
      <c r="J17" s="918"/>
      <c r="K17" s="501">
        <f ca="1">IF(ISBLANK(K14),"",K14+K16)</f>
        <v>43745.741892245373</v>
      </c>
    </row>
    <row r="18" spans="1:11">
      <c r="A18" s="500"/>
      <c r="B18" s="500"/>
      <c r="C18" s="500"/>
      <c r="D18" s="500"/>
      <c r="E18" s="489"/>
      <c r="F18" s="489"/>
      <c r="G18" s="502" t="s">
        <v>348</v>
      </c>
      <c r="H18" s="502"/>
      <c r="I18" s="502"/>
      <c r="J18" s="502"/>
      <c r="K18" s="503">
        <v>121</v>
      </c>
    </row>
    <row r="19" spans="1:11">
      <c r="A19" s="500"/>
      <c r="B19" s="500"/>
      <c r="C19" s="500"/>
      <c r="D19" s="500"/>
      <c r="E19" s="489"/>
      <c r="F19" s="489"/>
      <c r="G19" s="504"/>
      <c r="H19" s="504"/>
      <c r="I19" s="504"/>
      <c r="J19" s="504"/>
      <c r="K19" s="494"/>
    </row>
    <row r="20" spans="1:11">
      <c r="A20" s="500"/>
      <c r="B20" s="500"/>
      <c r="C20" s="500"/>
      <c r="D20" s="500"/>
      <c r="E20" s="489"/>
      <c r="F20" s="489"/>
      <c r="G20" s="504"/>
      <c r="H20" s="504"/>
      <c r="I20" s="504"/>
      <c r="J20" s="504"/>
      <c r="K20" s="494"/>
    </row>
    <row r="21" spans="1:11">
      <c r="A21" s="500"/>
      <c r="B21" s="500"/>
      <c r="C21" s="500"/>
      <c r="D21" s="500"/>
      <c r="E21" s="489"/>
      <c r="F21" s="489"/>
      <c r="G21" s="504"/>
      <c r="H21" s="504"/>
      <c r="I21" s="504"/>
      <c r="J21" s="504"/>
      <c r="K21" s="494"/>
    </row>
    <row r="22" spans="1:11">
      <c r="A22" s="489"/>
      <c r="B22" s="489"/>
      <c r="C22" s="489"/>
      <c r="D22" s="489"/>
      <c r="E22" s="489"/>
      <c r="F22" s="489"/>
      <c r="G22" s="489"/>
      <c r="H22" s="489"/>
      <c r="I22" s="489"/>
      <c r="J22" s="489"/>
      <c r="K22" s="489"/>
    </row>
    <row r="23" spans="1:11">
      <c r="A23" s="919" t="s">
        <v>341</v>
      </c>
      <c r="B23" s="920"/>
      <c r="C23" s="920"/>
      <c r="D23" s="920"/>
      <c r="E23" s="920"/>
      <c r="F23" s="921"/>
      <c r="G23" s="505" t="s">
        <v>291</v>
      </c>
      <c r="H23" s="506" t="s">
        <v>342</v>
      </c>
      <c r="I23" s="922" t="s">
        <v>286</v>
      </c>
      <c r="J23" s="923"/>
      <c r="K23" s="507" t="s">
        <v>343</v>
      </c>
    </row>
    <row r="24" spans="1:11">
      <c r="A24" s="915" t="s">
        <v>344</v>
      </c>
      <c r="B24" s="916"/>
      <c r="C24" s="916"/>
      <c r="D24" s="916"/>
      <c r="E24" s="916"/>
      <c r="F24" s="917"/>
      <c r="G24" s="508">
        <v>1</v>
      </c>
      <c r="H24" s="509" t="s">
        <v>342</v>
      </c>
      <c r="I24" s="909">
        <v>100</v>
      </c>
      <c r="J24" s="909"/>
      <c r="K24" s="510">
        <f>G24*I24</f>
        <v>100</v>
      </c>
    </row>
    <row r="25" spans="1:11">
      <c r="A25" s="908"/>
      <c r="B25" s="908"/>
      <c r="C25" s="908"/>
      <c r="D25" s="908"/>
      <c r="E25" s="908"/>
      <c r="F25" s="908"/>
      <c r="G25" s="508"/>
      <c r="H25" s="509"/>
      <c r="I25" s="909"/>
      <c r="J25" s="909"/>
      <c r="K25" s="510">
        <v>0</v>
      </c>
    </row>
    <row r="26" spans="1:11">
      <c r="A26" s="908"/>
      <c r="B26" s="908"/>
      <c r="C26" s="908"/>
      <c r="D26" s="908"/>
      <c r="E26" s="908"/>
      <c r="F26" s="908"/>
      <c r="G26" s="511"/>
      <c r="H26" s="509"/>
      <c r="I26" s="909"/>
      <c r="J26" s="909"/>
      <c r="K26" s="510">
        <f t="shared" ref="K26:K33" si="0">G26*I26</f>
        <v>0</v>
      </c>
    </row>
    <row r="27" spans="1:11">
      <c r="A27" s="908"/>
      <c r="B27" s="908"/>
      <c r="C27" s="908"/>
      <c r="D27" s="908"/>
      <c r="E27" s="908"/>
      <c r="F27" s="908"/>
      <c r="G27" s="511"/>
      <c r="H27" s="509"/>
      <c r="I27" s="909"/>
      <c r="J27" s="909"/>
      <c r="K27" s="510">
        <f t="shared" si="0"/>
        <v>0</v>
      </c>
    </row>
    <row r="28" spans="1:11">
      <c r="A28" s="908"/>
      <c r="B28" s="908"/>
      <c r="C28" s="908"/>
      <c r="D28" s="908"/>
      <c r="E28" s="908"/>
      <c r="F28" s="908"/>
      <c r="G28" s="511"/>
      <c r="H28" s="509"/>
      <c r="I28" s="909"/>
      <c r="J28" s="909"/>
      <c r="K28" s="510">
        <f t="shared" si="0"/>
        <v>0</v>
      </c>
    </row>
    <row r="29" spans="1:11">
      <c r="A29" s="908"/>
      <c r="B29" s="908"/>
      <c r="C29" s="908"/>
      <c r="D29" s="908"/>
      <c r="E29" s="908"/>
      <c r="F29" s="908"/>
      <c r="G29" s="511"/>
      <c r="H29" s="509"/>
      <c r="I29" s="909"/>
      <c r="J29" s="909"/>
      <c r="K29" s="510">
        <f t="shared" si="0"/>
        <v>0</v>
      </c>
    </row>
    <row r="30" spans="1:11">
      <c r="A30" s="908"/>
      <c r="B30" s="908"/>
      <c r="C30" s="908"/>
      <c r="D30" s="908"/>
      <c r="E30" s="908"/>
      <c r="F30" s="908"/>
      <c r="G30" s="511"/>
      <c r="H30" s="509"/>
      <c r="I30" s="909"/>
      <c r="J30" s="909"/>
      <c r="K30" s="510">
        <f t="shared" si="0"/>
        <v>0</v>
      </c>
    </row>
    <row r="31" spans="1:11">
      <c r="A31" s="908"/>
      <c r="B31" s="908"/>
      <c r="C31" s="908"/>
      <c r="D31" s="908"/>
      <c r="E31" s="908"/>
      <c r="F31" s="908"/>
      <c r="G31" s="511"/>
      <c r="H31" s="509"/>
      <c r="I31" s="909"/>
      <c r="J31" s="909"/>
      <c r="K31" s="510">
        <f t="shared" si="0"/>
        <v>0</v>
      </c>
    </row>
    <row r="32" spans="1:11">
      <c r="A32" s="908"/>
      <c r="B32" s="908"/>
      <c r="C32" s="908"/>
      <c r="D32" s="908"/>
      <c r="E32" s="908"/>
      <c r="F32" s="908"/>
      <c r="G32" s="511"/>
      <c r="H32" s="509"/>
      <c r="I32" s="909"/>
      <c r="J32" s="909"/>
      <c r="K32" s="510">
        <f t="shared" si="0"/>
        <v>0</v>
      </c>
    </row>
    <row r="33" spans="1:11">
      <c r="A33" s="908"/>
      <c r="B33" s="908"/>
      <c r="C33" s="908"/>
      <c r="D33" s="908"/>
      <c r="E33" s="908"/>
      <c r="F33" s="908"/>
      <c r="G33" s="511"/>
      <c r="H33" s="509"/>
      <c r="I33" s="909"/>
      <c r="J33" s="909"/>
      <c r="K33" s="510">
        <f t="shared" si="0"/>
        <v>0</v>
      </c>
    </row>
    <row r="34" spans="1:11">
      <c r="A34" s="913"/>
      <c r="B34" s="913"/>
      <c r="C34" s="913"/>
      <c r="D34" s="913"/>
      <c r="E34" s="913"/>
      <c r="F34" s="913"/>
      <c r="G34" s="490"/>
      <c r="H34" s="490"/>
      <c r="I34" s="490"/>
      <c r="J34" s="490"/>
      <c r="K34" s="512"/>
    </row>
    <row r="35" spans="1:11">
      <c r="A35" s="914"/>
      <c r="B35" s="914"/>
      <c r="C35" s="914"/>
      <c r="D35" s="914"/>
      <c r="E35" s="914"/>
      <c r="F35" s="914"/>
      <c r="G35" s="489"/>
      <c r="H35" s="489"/>
      <c r="I35" s="489"/>
      <c r="J35" s="489"/>
      <c r="K35" s="513"/>
    </row>
    <row r="36" spans="1:11">
      <c r="A36" s="914"/>
      <c r="B36" s="914"/>
      <c r="C36" s="914"/>
      <c r="D36" s="914"/>
      <c r="E36" s="914"/>
      <c r="F36" s="914"/>
      <c r="G36" s="910" t="s">
        <v>347</v>
      </c>
      <c r="H36" s="910"/>
      <c r="I36" s="910"/>
      <c r="J36" s="910"/>
      <c r="K36" s="514">
        <f>SUM(K24:K33)</f>
        <v>100</v>
      </c>
    </row>
    <row r="37" spans="1:11">
      <c r="A37" s="914"/>
      <c r="B37" s="914"/>
      <c r="C37" s="914"/>
      <c r="D37" s="914"/>
      <c r="E37" s="914"/>
      <c r="F37" s="914"/>
      <c r="G37" s="489" t="s">
        <v>345</v>
      </c>
      <c r="H37" s="911">
        <v>0.19</v>
      </c>
      <c r="I37" s="911"/>
      <c r="J37" s="911"/>
      <c r="K37" s="515">
        <f xml:space="preserve"> (K36*0.19)</f>
        <v>19</v>
      </c>
    </row>
    <row r="38" spans="1:11" ht="20.25">
      <c r="A38" s="914"/>
      <c r="B38" s="914"/>
      <c r="C38" s="914"/>
      <c r="D38" s="914"/>
      <c r="E38" s="914"/>
      <c r="F38" s="914"/>
      <c r="G38" s="912" t="s">
        <v>408</v>
      </c>
      <c r="H38" s="912"/>
      <c r="I38" s="912"/>
      <c r="J38" s="912"/>
      <c r="K38" s="516">
        <f>K36+K37</f>
        <v>119</v>
      </c>
    </row>
  </sheetData>
  <sheetProtection algorithmName="SHA-512" hashValue="ZQdBzq+FDhDF+eiMz6TM+/9pPWAHMu5YV0/tEeKROrdYrzV/VXpyWuVi8mGl4aSFBHK2acTybjb/xjpBzixUTw==" saltValue="hqKXBjGqMI+C45K4sLEZIw==" spinCount="100000" sheet="1" objects="1" scenarios="1" selectLockedCells="1"/>
  <mergeCells count="40">
    <mergeCell ref="L6:M6"/>
    <mergeCell ref="L7:M7"/>
    <mergeCell ref="L8:M8"/>
    <mergeCell ref="L9:M9"/>
    <mergeCell ref="G1:K9"/>
    <mergeCell ref="A3:E4"/>
    <mergeCell ref="A7:D7"/>
    <mergeCell ref="A9:D13"/>
    <mergeCell ref="G11:K11"/>
    <mergeCell ref="G13:J13"/>
    <mergeCell ref="A14:D14"/>
    <mergeCell ref="G14:J14"/>
    <mergeCell ref="G16:J16"/>
    <mergeCell ref="G17:J17"/>
    <mergeCell ref="A23:F23"/>
    <mergeCell ref="I23:J23"/>
    <mergeCell ref="A24:F24"/>
    <mergeCell ref="I24:J24"/>
    <mergeCell ref="A25:F25"/>
    <mergeCell ref="I25:J25"/>
    <mergeCell ref="A26:F26"/>
    <mergeCell ref="I26:J26"/>
    <mergeCell ref="A27:F27"/>
    <mergeCell ref="I27:J27"/>
    <mergeCell ref="A28:F28"/>
    <mergeCell ref="I28:J28"/>
    <mergeCell ref="A29:F29"/>
    <mergeCell ref="I29:J29"/>
    <mergeCell ref="A30:F30"/>
    <mergeCell ref="I30:J30"/>
    <mergeCell ref="A31:F31"/>
    <mergeCell ref="I31:J31"/>
    <mergeCell ref="A32:F32"/>
    <mergeCell ref="I32:J32"/>
    <mergeCell ref="A33:F33"/>
    <mergeCell ref="I33:J33"/>
    <mergeCell ref="G36:J36"/>
    <mergeCell ref="H37:J37"/>
    <mergeCell ref="G38:J38"/>
    <mergeCell ref="A34:F38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E12:R39"/>
  <sheetViews>
    <sheetView topLeftCell="E16" zoomScale="85" zoomScaleNormal="85" workbookViewId="0">
      <selection activeCell="P14" sqref="P14"/>
    </sheetView>
  </sheetViews>
  <sheetFormatPr baseColWidth="10" defaultRowHeight="16.5"/>
  <cols>
    <col min="1" max="4" width="11" style="14"/>
    <col min="5" max="5" width="13.875" style="14" bestFit="1" customWidth="1"/>
    <col min="6" max="6" width="11.375" style="14" bestFit="1" customWidth="1"/>
    <col min="7" max="7" width="13.875" style="14" bestFit="1" customWidth="1"/>
    <col min="8" max="8" width="11" style="14"/>
    <col min="9" max="9" width="15.125" style="14" bestFit="1" customWidth="1"/>
    <col min="10" max="10" width="14.25" style="14" bestFit="1" customWidth="1"/>
    <col min="11" max="11" width="14.25" style="14" customWidth="1"/>
    <col min="12" max="13" width="14.25" style="14" bestFit="1" customWidth="1"/>
    <col min="14" max="14" width="15.125" style="14" bestFit="1" customWidth="1"/>
    <col min="15" max="15" width="16.625" style="14" customWidth="1"/>
    <col min="16" max="16" width="13.25" style="14" customWidth="1"/>
    <col min="17" max="17" width="11" style="14"/>
    <col min="18" max="18" width="13.75" style="14" bestFit="1" customWidth="1"/>
    <col min="19" max="16384" width="11" style="14"/>
  </cols>
  <sheetData>
    <row r="12" spans="15:16">
      <c r="O12" s="669" t="s">
        <v>18</v>
      </c>
      <c r="P12" s="669"/>
    </row>
    <row r="13" spans="15:16">
      <c r="O13" s="670" t="s">
        <v>17</v>
      </c>
      <c r="P13" s="670"/>
    </row>
    <row r="20" spans="5:18">
      <c r="E20" s="931" t="s">
        <v>934</v>
      </c>
      <c r="F20" s="932"/>
      <c r="G20" s="932"/>
      <c r="H20" s="932"/>
      <c r="I20" s="932"/>
      <c r="J20" s="932"/>
      <c r="K20" s="932"/>
      <c r="L20" s="932"/>
      <c r="M20" s="932"/>
      <c r="N20" s="932"/>
      <c r="O20" s="932"/>
      <c r="P20" s="932"/>
      <c r="Q20" s="932"/>
      <c r="R20" s="932"/>
    </row>
    <row r="21" spans="5:18">
      <c r="E21" s="929" t="s">
        <v>998</v>
      </c>
      <c r="F21" s="930"/>
      <c r="G21" s="930"/>
      <c r="H21" s="930"/>
      <c r="I21" s="930"/>
      <c r="J21" s="930"/>
      <c r="K21" s="930"/>
      <c r="L21" s="930"/>
      <c r="M21" s="930"/>
      <c r="N21" s="930"/>
      <c r="O21" s="930"/>
      <c r="P21" s="930"/>
      <c r="Q21" s="930"/>
      <c r="R21" s="930"/>
    </row>
    <row r="22" spans="5:18">
      <c r="E22" s="929"/>
      <c r="F22" s="930"/>
      <c r="G22" s="930"/>
      <c r="H22" s="930"/>
      <c r="I22" s="930"/>
      <c r="J22" s="930"/>
      <c r="K22" s="930"/>
      <c r="L22" s="930"/>
      <c r="M22" s="930"/>
      <c r="N22" s="930"/>
      <c r="O22" s="930"/>
      <c r="P22" s="930"/>
      <c r="Q22" s="930"/>
      <c r="R22" s="930"/>
    </row>
    <row r="24" spans="5:18">
      <c r="M24" s="108">
        <v>0.1</v>
      </c>
      <c r="N24" s="108">
        <v>0.04</v>
      </c>
    </row>
    <row r="25" spans="5:18" ht="18.75" customHeight="1" thickBot="1">
      <c r="E25" s="109" t="s">
        <v>933</v>
      </c>
      <c r="F25" s="109" t="s">
        <v>932</v>
      </c>
      <c r="G25" s="110" t="s">
        <v>788</v>
      </c>
      <c r="H25" s="111" t="s">
        <v>931</v>
      </c>
      <c r="I25" s="110" t="s">
        <v>930</v>
      </c>
      <c r="J25" s="112" t="s">
        <v>929</v>
      </c>
      <c r="K25" s="110" t="s">
        <v>928</v>
      </c>
      <c r="L25" s="113" t="s">
        <v>927</v>
      </c>
      <c r="M25" s="114" t="s">
        <v>926</v>
      </c>
      <c r="N25" s="114" t="s">
        <v>925</v>
      </c>
      <c r="O25" s="115" t="s">
        <v>924</v>
      </c>
      <c r="P25" s="115" t="s">
        <v>923</v>
      </c>
      <c r="Q25" s="110" t="s">
        <v>922</v>
      </c>
      <c r="R25" s="110" t="s">
        <v>921</v>
      </c>
    </row>
    <row r="26" spans="5:18" ht="17.25" thickBot="1">
      <c r="E26" s="31">
        <v>2</v>
      </c>
      <c r="F26" s="31">
        <v>1</v>
      </c>
      <c r="G26" s="116" t="s">
        <v>920</v>
      </c>
      <c r="H26" s="117">
        <f>VLOOKUP('Ejercicio sueldos'!F26,'Datos Sueldos'!$F$10:$H$14,2,FALSE)</f>
        <v>600</v>
      </c>
      <c r="I26" s="31" t="s">
        <v>909</v>
      </c>
      <c r="J26" s="118">
        <f t="shared" ref="J26:J35" si="0">E26*10000</f>
        <v>20000</v>
      </c>
      <c r="K26" s="119">
        <f t="shared" ref="K26:K35" si="1">IF(F26&lt;5,50,IF(F26&lt;10,150,200))</f>
        <v>50</v>
      </c>
      <c r="L26" s="120">
        <f t="shared" ref="L26:L35" si="2">H26+J26</f>
        <v>20600</v>
      </c>
      <c r="M26" s="121">
        <f t="shared" ref="M26:M35" si="3">L26*$M$24</f>
        <v>2060</v>
      </c>
      <c r="N26" s="122">
        <f t="shared" ref="N26:N35" si="4">L26*$N$24</f>
        <v>824</v>
      </c>
      <c r="O26" s="122">
        <f t="shared" ref="O26:O35" si="5">M26+N26</f>
        <v>2884</v>
      </c>
      <c r="P26" s="123">
        <f t="shared" ref="P26:P35" si="6">(L26-O26)+K26</f>
        <v>17766</v>
      </c>
      <c r="Q26" s="124" t="str">
        <f>LOOKUP('Ejercicio sueldos'!F26,'Datos Sueldos'!$F$10:'Datos Sueldos'!$H$14)</f>
        <v>Peon</v>
      </c>
      <c r="R26" s="125" t="str">
        <f t="shared" ref="R26:R35" si="7">IF(I26="M","masculino","femenino")</f>
        <v>masculino</v>
      </c>
    </row>
    <row r="27" spans="5:18" ht="17.25" thickBot="1">
      <c r="E27" s="31">
        <v>3</v>
      </c>
      <c r="F27" s="31">
        <v>5</v>
      </c>
      <c r="G27" s="116" t="s">
        <v>919</v>
      </c>
      <c r="H27" s="117">
        <f>VLOOKUP('Ejercicio sueldos'!F27,'Datos Sueldos'!$F$10:$H$14,2,FALSE)</f>
        <v>510</v>
      </c>
      <c r="I27" s="31" t="s">
        <v>909</v>
      </c>
      <c r="J27" s="118">
        <f t="shared" si="0"/>
        <v>30000</v>
      </c>
      <c r="K27" s="119">
        <f t="shared" si="1"/>
        <v>150</v>
      </c>
      <c r="L27" s="120">
        <f t="shared" si="2"/>
        <v>30510</v>
      </c>
      <c r="M27" s="126">
        <f t="shared" si="3"/>
        <v>3051</v>
      </c>
      <c r="N27" s="127">
        <f t="shared" si="4"/>
        <v>1220.4000000000001</v>
      </c>
      <c r="O27" s="127">
        <f t="shared" si="5"/>
        <v>4271.3999999999996</v>
      </c>
      <c r="P27" s="123">
        <f t="shared" si="6"/>
        <v>26388.6</v>
      </c>
      <c r="Q27" s="124" t="str">
        <f>LOOKUP('Ejercicio sueldos'!F27,'Datos Sueldos'!$F$10:$H$14)</f>
        <v>Capataz</v>
      </c>
      <c r="R27" s="125" t="str">
        <f t="shared" si="7"/>
        <v>masculino</v>
      </c>
    </row>
    <row r="28" spans="5:18" ht="17.25" thickBot="1">
      <c r="E28" s="31">
        <v>4</v>
      </c>
      <c r="F28" s="31">
        <v>2</v>
      </c>
      <c r="G28" s="116" t="s">
        <v>918</v>
      </c>
      <c r="H28" s="117">
        <f>VLOOKUP('Ejercicio sueldos'!F28,'Datos Sueldos'!$F$10:$H$14,2,FALSE)</f>
        <v>450</v>
      </c>
      <c r="I28" s="31" t="s">
        <v>911</v>
      </c>
      <c r="J28" s="118">
        <f t="shared" si="0"/>
        <v>40000</v>
      </c>
      <c r="K28" s="119">
        <f t="shared" si="1"/>
        <v>50</v>
      </c>
      <c r="L28" s="120">
        <f t="shared" si="2"/>
        <v>40450</v>
      </c>
      <c r="M28" s="126">
        <f t="shared" si="3"/>
        <v>4045</v>
      </c>
      <c r="N28" s="127">
        <f t="shared" si="4"/>
        <v>1618</v>
      </c>
      <c r="O28" s="127">
        <f t="shared" si="5"/>
        <v>5663</v>
      </c>
      <c r="P28" s="123">
        <f t="shared" si="6"/>
        <v>34837</v>
      </c>
      <c r="Q28" s="124" t="str">
        <f>LOOKUP('Ejercicio sueldos'!F28,'Datos Sueldos'!$F$10:$H$14)</f>
        <v>Medio Oficial</v>
      </c>
      <c r="R28" s="125" t="str">
        <f t="shared" si="7"/>
        <v>femenino</v>
      </c>
    </row>
    <row r="29" spans="5:18" ht="17.25" thickBot="1">
      <c r="E29" s="31">
        <v>5</v>
      </c>
      <c r="F29" s="31">
        <v>3</v>
      </c>
      <c r="G29" s="116" t="s">
        <v>917</v>
      </c>
      <c r="H29" s="117">
        <f>VLOOKUP('Ejercicio sueldos'!F29,'Datos Sueldos'!$F$10:$H$14,2,FALSE)</f>
        <v>420</v>
      </c>
      <c r="I29" s="31" t="s">
        <v>911</v>
      </c>
      <c r="J29" s="118">
        <f t="shared" si="0"/>
        <v>50000</v>
      </c>
      <c r="K29" s="119">
        <f t="shared" si="1"/>
        <v>50</v>
      </c>
      <c r="L29" s="120">
        <f t="shared" si="2"/>
        <v>50420</v>
      </c>
      <c r="M29" s="126">
        <f t="shared" si="3"/>
        <v>5042</v>
      </c>
      <c r="N29" s="127">
        <f t="shared" si="4"/>
        <v>2016.8</v>
      </c>
      <c r="O29" s="127">
        <f t="shared" si="5"/>
        <v>7058.8</v>
      </c>
      <c r="P29" s="123">
        <f t="shared" si="6"/>
        <v>43411.199999999997</v>
      </c>
      <c r="Q29" s="124" t="str">
        <f>LOOKUP('Ejercicio sueldos'!F29,'Datos Sueldos'!$F$10:$H$14)</f>
        <v>Oficial</v>
      </c>
      <c r="R29" s="125" t="str">
        <f t="shared" si="7"/>
        <v>femenino</v>
      </c>
    </row>
    <row r="30" spans="5:18" ht="17.25" thickBot="1">
      <c r="E30" s="31">
        <v>6</v>
      </c>
      <c r="F30" s="31">
        <v>4</v>
      </c>
      <c r="G30" s="116" t="s">
        <v>916</v>
      </c>
      <c r="H30" s="117">
        <f>VLOOKUP('Ejercicio sueldos'!F30,'Datos Sueldos'!$F$10:$H$14,2,FALSE)</f>
        <v>430</v>
      </c>
      <c r="I30" s="31" t="s">
        <v>911</v>
      </c>
      <c r="J30" s="118">
        <f t="shared" si="0"/>
        <v>60000</v>
      </c>
      <c r="K30" s="119">
        <f t="shared" si="1"/>
        <v>50</v>
      </c>
      <c r="L30" s="120">
        <f t="shared" si="2"/>
        <v>60430</v>
      </c>
      <c r="M30" s="126">
        <f t="shared" si="3"/>
        <v>6043</v>
      </c>
      <c r="N30" s="127">
        <f t="shared" si="4"/>
        <v>2417.2000000000003</v>
      </c>
      <c r="O30" s="127">
        <f t="shared" si="5"/>
        <v>8460.2000000000007</v>
      </c>
      <c r="P30" s="123">
        <f t="shared" si="6"/>
        <v>52019.8</v>
      </c>
      <c r="Q30" s="124" t="str">
        <f>LOOKUP('Ejercicio sueldos'!F30,'Datos Sueldos'!$F$10:$H$14)</f>
        <v>Oficial Princ.</v>
      </c>
      <c r="R30" s="125" t="str">
        <f t="shared" si="7"/>
        <v>femenino</v>
      </c>
    </row>
    <row r="31" spans="5:18" ht="17.25" thickBot="1">
      <c r="E31" s="31">
        <v>6</v>
      </c>
      <c r="F31" s="31">
        <v>5</v>
      </c>
      <c r="G31" s="116" t="s">
        <v>915</v>
      </c>
      <c r="H31" s="117">
        <f>VLOOKUP('Ejercicio sueldos'!F31,'Datos Sueldos'!$F$10:$H$14,2,FALSE)</f>
        <v>510</v>
      </c>
      <c r="I31" s="31" t="s">
        <v>909</v>
      </c>
      <c r="J31" s="118">
        <f t="shared" si="0"/>
        <v>60000</v>
      </c>
      <c r="K31" s="119">
        <f t="shared" si="1"/>
        <v>150</v>
      </c>
      <c r="L31" s="120">
        <f t="shared" si="2"/>
        <v>60510</v>
      </c>
      <c r="M31" s="126">
        <f t="shared" si="3"/>
        <v>6051</v>
      </c>
      <c r="N31" s="127">
        <f t="shared" si="4"/>
        <v>2420.4</v>
      </c>
      <c r="O31" s="127">
        <f t="shared" si="5"/>
        <v>8471.4</v>
      </c>
      <c r="P31" s="123">
        <f t="shared" si="6"/>
        <v>52188.6</v>
      </c>
      <c r="Q31" s="124" t="str">
        <f>LOOKUP('Ejercicio sueldos'!F31,'Datos Sueldos'!$F$10:$H$14)</f>
        <v>Capataz</v>
      </c>
      <c r="R31" s="125" t="str">
        <f t="shared" si="7"/>
        <v>masculino</v>
      </c>
    </row>
    <row r="32" spans="5:18" ht="17.25" thickBot="1">
      <c r="E32" s="31">
        <v>8</v>
      </c>
      <c r="F32" s="31">
        <v>1</v>
      </c>
      <c r="G32" s="116" t="s">
        <v>914</v>
      </c>
      <c r="H32" s="117">
        <f>VLOOKUP('Ejercicio sueldos'!F32,'Datos Sueldos'!$F$10:$H$14,2,FALSE)</f>
        <v>600</v>
      </c>
      <c r="I32" s="31" t="s">
        <v>909</v>
      </c>
      <c r="J32" s="118">
        <f t="shared" si="0"/>
        <v>80000</v>
      </c>
      <c r="K32" s="119">
        <f t="shared" si="1"/>
        <v>50</v>
      </c>
      <c r="L32" s="120">
        <f t="shared" si="2"/>
        <v>80600</v>
      </c>
      <c r="M32" s="126">
        <f t="shared" si="3"/>
        <v>8060</v>
      </c>
      <c r="N32" s="127">
        <f t="shared" si="4"/>
        <v>3224</v>
      </c>
      <c r="O32" s="127">
        <f t="shared" si="5"/>
        <v>11284</v>
      </c>
      <c r="P32" s="123">
        <f t="shared" si="6"/>
        <v>69366</v>
      </c>
      <c r="Q32" s="124" t="str">
        <f>LOOKUP('Ejercicio sueldos'!F32,'Datos Sueldos'!$F$10:$H$14)</f>
        <v>Peon</v>
      </c>
      <c r="R32" s="125" t="str">
        <f t="shared" si="7"/>
        <v>masculino</v>
      </c>
    </row>
    <row r="33" spans="5:18" ht="17.25" thickBot="1">
      <c r="E33" s="31">
        <v>9</v>
      </c>
      <c r="F33" s="31">
        <v>4</v>
      </c>
      <c r="G33" s="116" t="s">
        <v>913</v>
      </c>
      <c r="H33" s="117">
        <f>VLOOKUP('Ejercicio sueldos'!F33,'Datos Sueldos'!$F$10:$H$14,2,FALSE)</f>
        <v>430</v>
      </c>
      <c r="I33" s="31" t="s">
        <v>909</v>
      </c>
      <c r="J33" s="118">
        <f t="shared" si="0"/>
        <v>90000</v>
      </c>
      <c r="K33" s="119">
        <f t="shared" si="1"/>
        <v>50</v>
      </c>
      <c r="L33" s="120">
        <f t="shared" si="2"/>
        <v>90430</v>
      </c>
      <c r="M33" s="126">
        <f t="shared" si="3"/>
        <v>9043</v>
      </c>
      <c r="N33" s="127">
        <f t="shared" si="4"/>
        <v>3617.2000000000003</v>
      </c>
      <c r="O33" s="127">
        <f t="shared" si="5"/>
        <v>12660.2</v>
      </c>
      <c r="P33" s="123">
        <f t="shared" si="6"/>
        <v>77819.8</v>
      </c>
      <c r="Q33" s="124" t="str">
        <f>LOOKUP('Ejercicio sueldos'!F33,'Datos Sueldos'!$F$10:$H$14)</f>
        <v>Oficial Princ.</v>
      </c>
      <c r="R33" s="125" t="str">
        <f t="shared" si="7"/>
        <v>masculino</v>
      </c>
    </row>
    <row r="34" spans="5:18" ht="17.25" thickBot="1">
      <c r="E34" s="31">
        <v>17</v>
      </c>
      <c r="F34" s="31">
        <v>2</v>
      </c>
      <c r="G34" s="116" t="s">
        <v>912</v>
      </c>
      <c r="H34" s="117">
        <f>VLOOKUP('Ejercicio sueldos'!F34,'Datos Sueldos'!$F$10:$H$14,2,FALSE)</f>
        <v>450</v>
      </c>
      <c r="I34" s="31" t="s">
        <v>911</v>
      </c>
      <c r="J34" s="118">
        <f t="shared" si="0"/>
        <v>170000</v>
      </c>
      <c r="K34" s="119">
        <f t="shared" si="1"/>
        <v>50</v>
      </c>
      <c r="L34" s="120">
        <f t="shared" si="2"/>
        <v>170450</v>
      </c>
      <c r="M34" s="126">
        <f t="shared" si="3"/>
        <v>17045</v>
      </c>
      <c r="N34" s="127">
        <f t="shared" si="4"/>
        <v>6818</v>
      </c>
      <c r="O34" s="127">
        <f t="shared" si="5"/>
        <v>23863</v>
      </c>
      <c r="P34" s="123">
        <f t="shared" si="6"/>
        <v>146637</v>
      </c>
      <c r="Q34" s="124" t="str">
        <f>LOOKUP('Ejercicio sueldos'!F34,'Datos Sueldos'!$F$10:$H$14)</f>
        <v>Medio Oficial</v>
      </c>
      <c r="R34" s="125" t="str">
        <f t="shared" si="7"/>
        <v>femenino</v>
      </c>
    </row>
    <row r="35" spans="5:18" ht="17.25" thickBot="1">
      <c r="E35" s="31">
        <v>23</v>
      </c>
      <c r="F35" s="31">
        <v>1</v>
      </c>
      <c r="G35" s="116" t="s">
        <v>910</v>
      </c>
      <c r="H35" s="117">
        <f>VLOOKUP('Ejercicio sueldos'!F35,'Datos Sueldos'!$F$10:$H$14,2,FALSE)</f>
        <v>600</v>
      </c>
      <c r="I35" s="128" t="s">
        <v>909</v>
      </c>
      <c r="J35" s="118">
        <f t="shared" si="0"/>
        <v>230000</v>
      </c>
      <c r="K35" s="119">
        <f t="shared" si="1"/>
        <v>50</v>
      </c>
      <c r="L35" s="120">
        <f t="shared" si="2"/>
        <v>230600</v>
      </c>
      <c r="M35" s="129">
        <f t="shared" si="3"/>
        <v>23060</v>
      </c>
      <c r="N35" s="130">
        <f t="shared" si="4"/>
        <v>9224</v>
      </c>
      <c r="O35" s="130">
        <f t="shared" si="5"/>
        <v>32284</v>
      </c>
      <c r="P35" s="123">
        <f t="shared" si="6"/>
        <v>198366</v>
      </c>
      <c r="Q35" s="124" t="str">
        <f>LOOKUP('Ejercicio sueldos'!F35,'Datos Sueldos'!$F$10:$H$14)</f>
        <v>Peon</v>
      </c>
      <c r="R35" s="125" t="str">
        <f t="shared" si="7"/>
        <v>masculino</v>
      </c>
    </row>
    <row r="36" spans="5:18">
      <c r="F36" s="131"/>
      <c r="G36" s="131"/>
      <c r="H36" s="131"/>
      <c r="I36" s="132" t="s">
        <v>908</v>
      </c>
      <c r="J36" s="133">
        <f>SUM(J26:J35)</f>
        <v>830000</v>
      </c>
      <c r="K36" s="134"/>
      <c r="L36" s="135">
        <f>SUM(L26:L35)</f>
        <v>835000</v>
      </c>
      <c r="M36" s="136">
        <f>SUM(M26:M35)</f>
        <v>83500</v>
      </c>
      <c r="N36" s="136">
        <f>SUM(N26:N35)</f>
        <v>33400</v>
      </c>
      <c r="O36" s="136">
        <f>SUM(O26:O35)</f>
        <v>116900</v>
      </c>
      <c r="P36" s="136">
        <f>SUM(P26:P35)</f>
        <v>718800</v>
      </c>
    </row>
    <row r="37" spans="5:18">
      <c r="F37" s="131"/>
      <c r="G37" s="131"/>
      <c r="H37" s="131"/>
      <c r="I37" s="132" t="s">
        <v>907</v>
      </c>
      <c r="J37" s="133">
        <f>MAX(J26:J35)</f>
        <v>230000</v>
      </c>
      <c r="K37" s="134"/>
      <c r="L37" s="137">
        <f>MAX(L26:L35)</f>
        <v>230600</v>
      </c>
      <c r="M37" s="138">
        <f>MAX(M26:M35)</f>
        <v>23060</v>
      </c>
      <c r="N37" s="138">
        <f>MAX(N26:N35)</f>
        <v>9224</v>
      </c>
      <c r="O37" s="138">
        <f>MAX(O26:O35)</f>
        <v>32284</v>
      </c>
      <c r="P37" s="138">
        <f>MAX(P26:P35)</f>
        <v>198366</v>
      </c>
    </row>
    <row r="38" spans="5:18">
      <c r="F38" s="131"/>
      <c r="G38" s="131"/>
      <c r="H38" s="131"/>
      <c r="I38" s="132" t="s">
        <v>906</v>
      </c>
      <c r="J38" s="133">
        <f>MIN(J26:J35)</f>
        <v>20000</v>
      </c>
      <c r="K38" s="134"/>
      <c r="L38" s="137">
        <f>MIN(L26:L35)</f>
        <v>20600</v>
      </c>
      <c r="M38" s="138">
        <f>MIN(M26:M35)</f>
        <v>2060</v>
      </c>
      <c r="N38" s="138">
        <f>MIN(N26:N35)</f>
        <v>824</v>
      </c>
      <c r="O38" s="138">
        <f>MIN(O26:O35)</f>
        <v>2884</v>
      </c>
      <c r="P38" s="138">
        <f>MIN(P26:P35)</f>
        <v>17766</v>
      </c>
    </row>
    <row r="39" spans="5:18">
      <c r="F39" s="131"/>
      <c r="G39" s="131"/>
      <c r="H39" s="131"/>
      <c r="I39" s="132" t="s">
        <v>13</v>
      </c>
      <c r="J39" s="133">
        <f>AVERAGE(J26:J35)</f>
        <v>83000</v>
      </c>
      <c r="K39" s="134"/>
      <c r="L39" s="137">
        <f>AVERAGE(L26:L35)</f>
        <v>83500</v>
      </c>
      <c r="M39" s="138">
        <f>AVERAGE(M26:M35)</f>
        <v>8350</v>
      </c>
      <c r="N39" s="138">
        <f>AVERAGE(N26:N35)</f>
        <v>3340</v>
      </c>
      <c r="O39" s="138">
        <f>AVERAGE(O26:O35)</f>
        <v>11690</v>
      </c>
      <c r="P39" s="138">
        <f>AVERAGE(P26:P35)</f>
        <v>71880</v>
      </c>
    </row>
  </sheetData>
  <sheetProtection sheet="1" objects="1" scenarios="1" selectLockedCells="1"/>
  <mergeCells count="4">
    <mergeCell ref="E21:R22"/>
    <mergeCell ref="E20:R20"/>
    <mergeCell ref="O12:P12"/>
    <mergeCell ref="O13:P13"/>
  </mergeCells>
  <pageMargins left="0.7" right="0.7" top="0.75" bottom="0.75" header="0.3" footer="0.3"/>
  <pageSetup orientation="landscape" horizontalDpi="4294967293" verticalDpi="429496729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B5:H14"/>
  <sheetViews>
    <sheetView workbookViewId="0">
      <selection activeCell="E14" sqref="E14"/>
    </sheetView>
  </sheetViews>
  <sheetFormatPr baseColWidth="10" defaultRowHeight="16.5"/>
  <cols>
    <col min="1" max="3" width="11" style="14"/>
    <col min="4" max="4" width="11.25" style="14" bestFit="1" customWidth="1"/>
    <col min="5" max="7" width="11" style="14"/>
    <col min="8" max="8" width="14.375" style="14" customWidth="1"/>
    <col min="9" max="16384" width="11" style="14"/>
  </cols>
  <sheetData>
    <row r="5" spans="2:8">
      <c r="F5" s="669" t="s">
        <v>18</v>
      </c>
      <c r="G5" s="669"/>
    </row>
    <row r="6" spans="2:8">
      <c r="F6" s="670" t="s">
        <v>17</v>
      </c>
      <c r="G6" s="670"/>
    </row>
    <row r="8" spans="2:8" ht="17.25" thickBot="1"/>
    <row r="9" spans="2:8" ht="17.25" thickBot="1">
      <c r="F9" s="933" t="s">
        <v>942</v>
      </c>
      <c r="G9" s="934"/>
      <c r="H9" s="935"/>
    </row>
    <row r="10" spans="2:8">
      <c r="B10" s="79" t="s">
        <v>941</v>
      </c>
      <c r="C10" s="38">
        <v>10</v>
      </c>
      <c r="F10" s="99">
        <v>1</v>
      </c>
      <c r="G10" s="100">
        <v>600</v>
      </c>
      <c r="H10" s="101" t="s">
        <v>940</v>
      </c>
    </row>
    <row r="11" spans="2:8">
      <c r="B11" s="79" t="s">
        <v>939</v>
      </c>
      <c r="C11" s="38">
        <v>15</v>
      </c>
      <c r="F11" s="102">
        <v>2</v>
      </c>
      <c r="G11" s="103">
        <v>450</v>
      </c>
      <c r="H11" s="104" t="s">
        <v>938</v>
      </c>
    </row>
    <row r="12" spans="2:8">
      <c r="F12" s="102">
        <v>3</v>
      </c>
      <c r="G12" s="103">
        <v>420</v>
      </c>
      <c r="H12" s="104" t="s">
        <v>937</v>
      </c>
    </row>
    <row r="13" spans="2:8">
      <c r="F13" s="102">
        <v>4</v>
      </c>
      <c r="G13" s="103">
        <v>430</v>
      </c>
      <c r="H13" s="104" t="s">
        <v>936</v>
      </c>
    </row>
    <row r="14" spans="2:8" ht="17.25" thickBot="1">
      <c r="F14" s="105">
        <v>5</v>
      </c>
      <c r="G14" s="106">
        <v>510</v>
      </c>
      <c r="H14" s="107" t="s">
        <v>935</v>
      </c>
    </row>
  </sheetData>
  <sheetProtection algorithmName="SHA-512" hashValue="39+j9KokDrK5zhCkiYu9FZE/gfHIgQOm1LI4+gB3WAobdL0XN7g0AJX0dUMeQ9iorDqAU6Q/Fy5cDpxGgi5eQQ==" saltValue="E5XcvcEVXNSvdPljYwbohQ==" spinCount="100000" sheet="1" objects="1" scenarios="1" selectLockedCells="1"/>
  <mergeCells count="3">
    <mergeCell ref="F9:H9"/>
    <mergeCell ref="F5:G5"/>
    <mergeCell ref="F6:G6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B1:M25"/>
  <sheetViews>
    <sheetView workbookViewId="0">
      <selection activeCell="H25" sqref="H25"/>
    </sheetView>
  </sheetViews>
  <sheetFormatPr baseColWidth="10" defaultRowHeight="16.5"/>
  <cols>
    <col min="1" max="1" width="11" style="14"/>
    <col min="2" max="2" width="13.75" style="14" bestFit="1" customWidth="1"/>
    <col min="3" max="4" width="11" style="14"/>
    <col min="5" max="5" width="12.625" style="14" bestFit="1" customWidth="1"/>
    <col min="6" max="6" width="11.375" style="14" bestFit="1" customWidth="1"/>
    <col min="7" max="7" width="11" style="14" bestFit="1" customWidth="1"/>
    <col min="8" max="11" width="11" style="14"/>
    <col min="12" max="12" width="12.875" style="14" bestFit="1" customWidth="1"/>
    <col min="13" max="16384" width="11" style="14"/>
  </cols>
  <sheetData>
    <row r="1" spans="2:13" ht="17.25" thickBot="1"/>
    <row r="2" spans="2:13" ht="17.25" thickBot="1">
      <c r="B2" s="936" t="s">
        <v>957</v>
      </c>
      <c r="C2" s="937"/>
      <c r="D2" s="937"/>
      <c r="E2" s="937"/>
      <c r="F2" s="937"/>
      <c r="G2" s="937"/>
      <c r="H2" s="937"/>
      <c r="I2" s="937"/>
      <c r="J2" s="937"/>
      <c r="K2" s="937"/>
      <c r="L2" s="937"/>
      <c r="M2" s="938"/>
    </row>
    <row r="3" spans="2:13">
      <c r="B3" s="723"/>
      <c r="C3" s="723"/>
      <c r="D3" s="723"/>
      <c r="E3" s="723"/>
      <c r="F3" s="723"/>
      <c r="G3" s="723"/>
      <c r="H3" s="723"/>
      <c r="I3" s="723"/>
      <c r="J3" s="723"/>
      <c r="K3" s="723"/>
      <c r="L3" s="723"/>
      <c r="M3" s="723"/>
    </row>
    <row r="4" spans="2:13">
      <c r="B4" s="85" t="s">
        <v>226</v>
      </c>
      <c r="C4" s="85" t="s">
        <v>180</v>
      </c>
      <c r="D4" s="85" t="s">
        <v>956</v>
      </c>
      <c r="E4" s="85" t="s">
        <v>955</v>
      </c>
      <c r="F4" s="85" t="s">
        <v>954</v>
      </c>
      <c r="G4" s="85" t="s">
        <v>953</v>
      </c>
      <c r="H4" s="85" t="s">
        <v>952</v>
      </c>
      <c r="I4" s="85" t="s">
        <v>951</v>
      </c>
      <c r="J4" s="85" t="s">
        <v>950</v>
      </c>
      <c r="K4" s="85" t="s">
        <v>949</v>
      </c>
      <c r="L4" s="85" t="s">
        <v>948</v>
      </c>
      <c r="M4" s="85" t="s">
        <v>54</v>
      </c>
    </row>
    <row r="5" spans="2:13">
      <c r="B5" s="79">
        <v>1</v>
      </c>
      <c r="C5" s="86" t="s">
        <v>182</v>
      </c>
      <c r="D5" s="79">
        <f t="shared" ref="D5:D16" si="0">IF(C5="A",40,IF(C5="B",80,120))</f>
        <v>40</v>
      </c>
      <c r="E5" s="79">
        <v>26</v>
      </c>
      <c r="F5" s="87">
        <f t="shared" ref="F5:F16" si="1">E5+(0.5*D5)</f>
        <v>46</v>
      </c>
      <c r="G5" s="87">
        <f t="shared" ref="G5:G16" si="2">350/960*D5</f>
        <v>14.583333333333332</v>
      </c>
      <c r="H5" s="87">
        <f t="shared" ref="H5:H16" si="3">230/12</f>
        <v>19.166666666666668</v>
      </c>
      <c r="I5" s="87">
        <f t="shared" ref="I5:I16" si="4">120/960*D5</f>
        <v>5</v>
      </c>
      <c r="J5" s="87">
        <v>75</v>
      </c>
      <c r="K5" s="87">
        <f t="shared" ref="K5:K16" si="5">SUM(F5:J5)</f>
        <v>159.75</v>
      </c>
      <c r="L5" s="87">
        <f t="shared" ref="L5:L16" si="6">G5+J5</f>
        <v>89.583333333333329</v>
      </c>
      <c r="M5" s="87">
        <f t="shared" ref="M5:M16" si="7">K5+L5</f>
        <v>249.33333333333331</v>
      </c>
    </row>
    <row r="6" spans="2:13">
      <c r="B6" s="79">
        <v>2</v>
      </c>
      <c r="C6" s="86" t="s">
        <v>192</v>
      </c>
      <c r="D6" s="79">
        <f t="shared" si="0"/>
        <v>80</v>
      </c>
      <c r="E6" s="79">
        <v>30</v>
      </c>
      <c r="F6" s="87">
        <f t="shared" si="1"/>
        <v>70</v>
      </c>
      <c r="G6" s="87">
        <f t="shared" si="2"/>
        <v>29.166666666666664</v>
      </c>
      <c r="H6" s="87">
        <f t="shared" si="3"/>
        <v>19.166666666666668</v>
      </c>
      <c r="I6" s="87">
        <f t="shared" si="4"/>
        <v>10</v>
      </c>
      <c r="J6" s="87">
        <v>75</v>
      </c>
      <c r="K6" s="87">
        <f t="shared" si="5"/>
        <v>203.33333333333331</v>
      </c>
      <c r="L6" s="87">
        <f t="shared" si="6"/>
        <v>104.16666666666666</v>
      </c>
      <c r="M6" s="87">
        <f t="shared" si="7"/>
        <v>307.5</v>
      </c>
    </row>
    <row r="7" spans="2:13">
      <c r="B7" s="79">
        <v>3</v>
      </c>
      <c r="C7" s="86" t="s">
        <v>856</v>
      </c>
      <c r="D7" s="79">
        <f t="shared" si="0"/>
        <v>120</v>
      </c>
      <c r="E7" s="79">
        <v>56</v>
      </c>
      <c r="F7" s="87">
        <f t="shared" si="1"/>
        <v>116</v>
      </c>
      <c r="G7" s="87">
        <f t="shared" si="2"/>
        <v>43.75</v>
      </c>
      <c r="H7" s="87">
        <f t="shared" si="3"/>
        <v>19.166666666666668</v>
      </c>
      <c r="I7" s="87">
        <f t="shared" si="4"/>
        <v>15</v>
      </c>
      <c r="J7" s="87">
        <v>75</v>
      </c>
      <c r="K7" s="87">
        <f t="shared" si="5"/>
        <v>268.91666666666663</v>
      </c>
      <c r="L7" s="87">
        <f t="shared" si="6"/>
        <v>118.75</v>
      </c>
      <c r="M7" s="87">
        <f t="shared" si="7"/>
        <v>387.66666666666663</v>
      </c>
    </row>
    <row r="8" spans="2:13">
      <c r="B8" s="79">
        <v>4</v>
      </c>
      <c r="C8" s="86" t="s">
        <v>182</v>
      </c>
      <c r="D8" s="79">
        <f t="shared" si="0"/>
        <v>40</v>
      </c>
      <c r="E8" s="79">
        <v>100</v>
      </c>
      <c r="F8" s="87">
        <f t="shared" si="1"/>
        <v>120</v>
      </c>
      <c r="G8" s="87">
        <f t="shared" si="2"/>
        <v>14.583333333333332</v>
      </c>
      <c r="H8" s="87">
        <f t="shared" si="3"/>
        <v>19.166666666666668</v>
      </c>
      <c r="I8" s="87">
        <f t="shared" si="4"/>
        <v>5</v>
      </c>
      <c r="J8" s="87">
        <v>75</v>
      </c>
      <c r="K8" s="87">
        <f t="shared" si="5"/>
        <v>233.75</v>
      </c>
      <c r="L8" s="87">
        <f t="shared" si="6"/>
        <v>89.583333333333329</v>
      </c>
      <c r="M8" s="87">
        <f t="shared" si="7"/>
        <v>323.33333333333331</v>
      </c>
    </row>
    <row r="9" spans="2:13">
      <c r="B9" s="79">
        <v>5</v>
      </c>
      <c r="C9" s="86" t="s">
        <v>192</v>
      </c>
      <c r="D9" s="79">
        <f t="shared" si="0"/>
        <v>80</v>
      </c>
      <c r="E9" s="79">
        <v>26</v>
      </c>
      <c r="F9" s="87">
        <f t="shared" si="1"/>
        <v>66</v>
      </c>
      <c r="G9" s="87">
        <f t="shared" si="2"/>
        <v>29.166666666666664</v>
      </c>
      <c r="H9" s="87">
        <f t="shared" si="3"/>
        <v>19.166666666666668</v>
      </c>
      <c r="I9" s="87">
        <f t="shared" si="4"/>
        <v>10</v>
      </c>
      <c r="J9" s="87">
        <v>75</v>
      </c>
      <c r="K9" s="87">
        <f t="shared" si="5"/>
        <v>199.33333333333331</v>
      </c>
      <c r="L9" s="87">
        <f t="shared" si="6"/>
        <v>104.16666666666666</v>
      </c>
      <c r="M9" s="87">
        <f t="shared" si="7"/>
        <v>303.5</v>
      </c>
    </row>
    <row r="10" spans="2:13">
      <c r="B10" s="79">
        <v>6</v>
      </c>
      <c r="C10" s="86" t="s">
        <v>856</v>
      </c>
      <c r="D10" s="79">
        <f t="shared" si="0"/>
        <v>120</v>
      </c>
      <c r="E10" s="79">
        <v>50</v>
      </c>
      <c r="F10" s="87">
        <f t="shared" si="1"/>
        <v>110</v>
      </c>
      <c r="G10" s="87">
        <f t="shared" si="2"/>
        <v>43.75</v>
      </c>
      <c r="H10" s="87">
        <f t="shared" si="3"/>
        <v>19.166666666666668</v>
      </c>
      <c r="I10" s="87">
        <f t="shared" si="4"/>
        <v>15</v>
      </c>
      <c r="J10" s="87">
        <v>75</v>
      </c>
      <c r="K10" s="87">
        <f t="shared" si="5"/>
        <v>262.91666666666663</v>
      </c>
      <c r="L10" s="87">
        <f t="shared" si="6"/>
        <v>118.75</v>
      </c>
      <c r="M10" s="87">
        <f t="shared" si="7"/>
        <v>381.66666666666663</v>
      </c>
    </row>
    <row r="11" spans="2:13">
      <c r="B11" s="79">
        <v>7</v>
      </c>
      <c r="C11" s="86" t="s">
        <v>182</v>
      </c>
      <c r="D11" s="79">
        <f t="shared" si="0"/>
        <v>40</v>
      </c>
      <c r="E11" s="79">
        <v>33</v>
      </c>
      <c r="F11" s="87">
        <f t="shared" si="1"/>
        <v>53</v>
      </c>
      <c r="G11" s="87">
        <f t="shared" si="2"/>
        <v>14.583333333333332</v>
      </c>
      <c r="H11" s="87">
        <f t="shared" si="3"/>
        <v>19.166666666666668</v>
      </c>
      <c r="I11" s="87">
        <f t="shared" si="4"/>
        <v>5</v>
      </c>
      <c r="J11" s="87">
        <v>75</v>
      </c>
      <c r="K11" s="87">
        <f t="shared" si="5"/>
        <v>166.75</v>
      </c>
      <c r="L11" s="87">
        <f t="shared" si="6"/>
        <v>89.583333333333329</v>
      </c>
      <c r="M11" s="87">
        <f t="shared" si="7"/>
        <v>256.33333333333331</v>
      </c>
    </row>
    <row r="12" spans="2:13">
      <c r="B12" s="79">
        <v>8</v>
      </c>
      <c r="C12" s="86" t="s">
        <v>192</v>
      </c>
      <c r="D12" s="79">
        <f t="shared" si="0"/>
        <v>80</v>
      </c>
      <c r="E12" s="79">
        <v>98</v>
      </c>
      <c r="F12" s="87">
        <f t="shared" si="1"/>
        <v>138</v>
      </c>
      <c r="G12" s="87">
        <f t="shared" si="2"/>
        <v>29.166666666666664</v>
      </c>
      <c r="H12" s="87">
        <f t="shared" si="3"/>
        <v>19.166666666666668</v>
      </c>
      <c r="I12" s="87">
        <f t="shared" si="4"/>
        <v>10</v>
      </c>
      <c r="J12" s="87">
        <v>75</v>
      </c>
      <c r="K12" s="87">
        <f t="shared" si="5"/>
        <v>271.33333333333331</v>
      </c>
      <c r="L12" s="87">
        <f t="shared" si="6"/>
        <v>104.16666666666666</v>
      </c>
      <c r="M12" s="87">
        <f t="shared" si="7"/>
        <v>375.5</v>
      </c>
    </row>
    <row r="13" spans="2:13">
      <c r="B13" s="79">
        <v>9</v>
      </c>
      <c r="C13" s="86" t="s">
        <v>856</v>
      </c>
      <c r="D13" s="79">
        <f t="shared" si="0"/>
        <v>120</v>
      </c>
      <c r="E13" s="79">
        <v>101</v>
      </c>
      <c r="F13" s="87">
        <f t="shared" si="1"/>
        <v>161</v>
      </c>
      <c r="G13" s="87">
        <f t="shared" si="2"/>
        <v>43.75</v>
      </c>
      <c r="H13" s="87">
        <f t="shared" si="3"/>
        <v>19.166666666666668</v>
      </c>
      <c r="I13" s="87">
        <f t="shared" si="4"/>
        <v>15</v>
      </c>
      <c r="J13" s="87">
        <v>75</v>
      </c>
      <c r="K13" s="87">
        <f t="shared" si="5"/>
        <v>313.91666666666663</v>
      </c>
      <c r="L13" s="87">
        <f t="shared" si="6"/>
        <v>118.75</v>
      </c>
      <c r="M13" s="87">
        <f t="shared" si="7"/>
        <v>432.66666666666663</v>
      </c>
    </row>
    <row r="14" spans="2:13">
      <c r="B14" s="79">
        <v>10</v>
      </c>
      <c r="C14" s="86" t="s">
        <v>182</v>
      </c>
      <c r="D14" s="79">
        <f t="shared" si="0"/>
        <v>40</v>
      </c>
      <c r="E14" s="79">
        <v>56</v>
      </c>
      <c r="F14" s="87">
        <f t="shared" si="1"/>
        <v>76</v>
      </c>
      <c r="G14" s="87">
        <f t="shared" si="2"/>
        <v>14.583333333333332</v>
      </c>
      <c r="H14" s="87">
        <f t="shared" si="3"/>
        <v>19.166666666666668</v>
      </c>
      <c r="I14" s="87">
        <f t="shared" si="4"/>
        <v>5</v>
      </c>
      <c r="J14" s="87">
        <v>75</v>
      </c>
      <c r="K14" s="87">
        <f t="shared" si="5"/>
        <v>189.75</v>
      </c>
      <c r="L14" s="87">
        <f t="shared" si="6"/>
        <v>89.583333333333329</v>
      </c>
      <c r="M14" s="87">
        <f t="shared" si="7"/>
        <v>279.33333333333331</v>
      </c>
    </row>
    <row r="15" spans="2:13">
      <c r="B15" s="79">
        <v>11</v>
      </c>
      <c r="C15" s="86" t="s">
        <v>192</v>
      </c>
      <c r="D15" s="79">
        <f t="shared" si="0"/>
        <v>80</v>
      </c>
      <c r="E15" s="79">
        <v>30</v>
      </c>
      <c r="F15" s="87">
        <f t="shared" si="1"/>
        <v>70</v>
      </c>
      <c r="G15" s="87">
        <f t="shared" si="2"/>
        <v>29.166666666666664</v>
      </c>
      <c r="H15" s="87">
        <f t="shared" si="3"/>
        <v>19.166666666666668</v>
      </c>
      <c r="I15" s="87">
        <f t="shared" si="4"/>
        <v>10</v>
      </c>
      <c r="J15" s="87">
        <v>75</v>
      </c>
      <c r="K15" s="87">
        <f t="shared" si="5"/>
        <v>203.33333333333331</v>
      </c>
      <c r="L15" s="87">
        <f t="shared" si="6"/>
        <v>104.16666666666666</v>
      </c>
      <c r="M15" s="87">
        <f t="shared" si="7"/>
        <v>307.5</v>
      </c>
    </row>
    <row r="16" spans="2:13">
      <c r="B16" s="79">
        <v>12</v>
      </c>
      <c r="C16" s="86" t="s">
        <v>856</v>
      </c>
      <c r="D16" s="79">
        <f t="shared" si="0"/>
        <v>120</v>
      </c>
      <c r="E16" s="80">
        <v>40</v>
      </c>
      <c r="F16" s="88">
        <f t="shared" si="1"/>
        <v>100</v>
      </c>
      <c r="G16" s="88">
        <f t="shared" si="2"/>
        <v>43.75</v>
      </c>
      <c r="H16" s="88">
        <f t="shared" si="3"/>
        <v>19.166666666666668</v>
      </c>
      <c r="I16" s="88">
        <f t="shared" si="4"/>
        <v>15</v>
      </c>
      <c r="J16" s="88">
        <v>75</v>
      </c>
      <c r="K16" s="88">
        <f t="shared" si="5"/>
        <v>252.91666666666666</v>
      </c>
      <c r="L16" s="88">
        <f t="shared" si="6"/>
        <v>118.75</v>
      </c>
      <c r="M16" s="88">
        <f t="shared" si="7"/>
        <v>371.66666666666663</v>
      </c>
    </row>
    <row r="17" spans="4:13">
      <c r="E17" s="89" t="s">
        <v>947</v>
      </c>
      <c r="F17" s="90">
        <f t="shared" ref="F17:M17" si="8">SUM(F5:F16)</f>
        <v>1126</v>
      </c>
      <c r="G17" s="90">
        <f t="shared" si="8"/>
        <v>350</v>
      </c>
      <c r="H17" s="90">
        <f t="shared" si="8"/>
        <v>229.99999999999997</v>
      </c>
      <c r="I17" s="90">
        <f t="shared" si="8"/>
        <v>120</v>
      </c>
      <c r="J17" s="90">
        <f t="shared" si="8"/>
        <v>900</v>
      </c>
      <c r="K17" s="90">
        <f t="shared" si="8"/>
        <v>2726</v>
      </c>
      <c r="L17" s="90">
        <f t="shared" si="8"/>
        <v>1250</v>
      </c>
      <c r="M17" s="90">
        <f t="shared" si="8"/>
        <v>3976</v>
      </c>
    </row>
    <row r="18" spans="4:13">
      <c r="E18" s="91" t="s">
        <v>946</v>
      </c>
      <c r="F18" s="92">
        <f t="shared" ref="F18:M18" si="9">MAX(F5:F16)</f>
        <v>161</v>
      </c>
      <c r="G18" s="92">
        <f t="shared" si="9"/>
        <v>43.75</v>
      </c>
      <c r="H18" s="92">
        <f t="shared" si="9"/>
        <v>19.166666666666668</v>
      </c>
      <c r="I18" s="92">
        <f t="shared" si="9"/>
        <v>15</v>
      </c>
      <c r="J18" s="92">
        <f t="shared" si="9"/>
        <v>75</v>
      </c>
      <c r="K18" s="92">
        <f t="shared" si="9"/>
        <v>313.91666666666663</v>
      </c>
      <c r="L18" s="92">
        <f t="shared" si="9"/>
        <v>118.75</v>
      </c>
      <c r="M18" s="92">
        <f t="shared" si="9"/>
        <v>432.66666666666663</v>
      </c>
    </row>
    <row r="19" spans="4:13">
      <c r="E19" s="89" t="s">
        <v>945</v>
      </c>
      <c r="F19" s="90">
        <f t="shared" ref="F19:M19" si="10">MIN(F5:F16)</f>
        <v>46</v>
      </c>
      <c r="G19" s="90">
        <f t="shared" si="10"/>
        <v>14.583333333333332</v>
      </c>
      <c r="H19" s="90">
        <f t="shared" si="10"/>
        <v>19.166666666666668</v>
      </c>
      <c r="I19" s="90">
        <f t="shared" si="10"/>
        <v>5</v>
      </c>
      <c r="J19" s="90">
        <f t="shared" si="10"/>
        <v>75</v>
      </c>
      <c r="K19" s="90">
        <f t="shared" si="10"/>
        <v>159.75</v>
      </c>
      <c r="L19" s="90">
        <f t="shared" si="10"/>
        <v>89.583333333333329</v>
      </c>
      <c r="M19" s="90">
        <f t="shared" si="10"/>
        <v>249.33333333333331</v>
      </c>
    </row>
    <row r="20" spans="4:13">
      <c r="E20" s="91" t="s">
        <v>944</v>
      </c>
      <c r="F20" s="92">
        <f t="shared" ref="F20:M20" si="11">AVERAGE(F5:F16)</f>
        <v>93.833333333333329</v>
      </c>
      <c r="G20" s="92">
        <f t="shared" si="11"/>
        <v>29.166666666666668</v>
      </c>
      <c r="H20" s="92">
        <f t="shared" si="11"/>
        <v>19.166666666666664</v>
      </c>
      <c r="I20" s="92">
        <f t="shared" si="11"/>
        <v>10</v>
      </c>
      <c r="J20" s="92">
        <f t="shared" si="11"/>
        <v>75</v>
      </c>
      <c r="K20" s="92">
        <f t="shared" si="11"/>
        <v>227.16666666666666</v>
      </c>
      <c r="L20" s="92">
        <f t="shared" si="11"/>
        <v>104.16666666666667</v>
      </c>
      <c r="M20" s="92">
        <f t="shared" si="11"/>
        <v>331.33333333333331</v>
      </c>
    </row>
    <row r="21" spans="4:13" ht="17.25" thickBot="1"/>
    <row r="22" spans="4:13" ht="17.25" thickBot="1">
      <c r="D22" s="939" t="s">
        <v>943</v>
      </c>
      <c r="E22" s="940"/>
    </row>
    <row r="23" spans="4:13" ht="17.25" thickBot="1">
      <c r="D23" s="93" t="s">
        <v>182</v>
      </c>
      <c r="E23" s="94">
        <f>SUMIF($C$5:$C$16,D23,$M$5:$M$16)</f>
        <v>1108.3333333333333</v>
      </c>
      <c r="J23" s="669" t="s">
        <v>18</v>
      </c>
      <c r="K23" s="669"/>
      <c r="L23" s="95"/>
    </row>
    <row r="24" spans="4:13" ht="17.25" thickBot="1">
      <c r="D24" s="96" t="s">
        <v>192</v>
      </c>
      <c r="E24" s="97">
        <f>SUMIF($C$5:$C$16,D24,$M$5:$M$16)</f>
        <v>1294</v>
      </c>
      <c r="J24" s="670" t="s">
        <v>17</v>
      </c>
      <c r="K24" s="670"/>
    </row>
    <row r="25" spans="4:13" ht="17.25" thickBot="1">
      <c r="D25" s="98" t="s">
        <v>856</v>
      </c>
      <c r="E25" s="97">
        <f>SUMIF($C$5:$C$16,D25,$M$5:$M$16)</f>
        <v>1573.6666666666665</v>
      </c>
    </row>
  </sheetData>
  <sheetProtection algorithmName="SHA-512" hashValue="JLvoJt3vfDrqJP3LMcSAed1aMVx9JG7auc8M2Dqcg2DdWhrRNP/cEvju0cm5hTaQa62vtpTZ9jXhRwdBgONmYA==" saltValue="yYnkEOc3g9N+ckeAJu97Hw==" spinCount="100000" sheet="1" objects="1" scenarios="1" selectLockedCells="1"/>
  <mergeCells count="5">
    <mergeCell ref="B3:M3"/>
    <mergeCell ref="B2:M2"/>
    <mergeCell ref="D22:E22"/>
    <mergeCell ref="J23:K23"/>
    <mergeCell ref="J24:K24"/>
  </mergeCells>
  <pageMargins left="0.7" right="0.7" top="0.75" bottom="0.75" header="0.3" footer="0.3"/>
  <pageSetup orientation="portrait" horizontalDpi="4294967293" vertic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B1:O22"/>
  <sheetViews>
    <sheetView workbookViewId="0">
      <selection activeCell="G6" sqref="G6:G7"/>
    </sheetView>
  </sheetViews>
  <sheetFormatPr baseColWidth="10" defaultRowHeight="16.5"/>
  <cols>
    <col min="1" max="2" width="11" style="14"/>
    <col min="3" max="3" width="11.75" style="14" customWidth="1"/>
    <col min="4" max="4" width="11" style="14"/>
    <col min="5" max="5" width="10.625" style="14" customWidth="1"/>
    <col min="6" max="6" width="11" style="14"/>
    <col min="7" max="7" width="18.75" style="14" customWidth="1"/>
    <col min="8" max="12" width="11" style="14"/>
    <col min="13" max="13" width="23.5" style="14" customWidth="1"/>
    <col min="14" max="16384" width="11" style="14"/>
  </cols>
  <sheetData>
    <row r="1" spans="2:15" ht="17.25" thickBot="1"/>
    <row r="2" spans="2:15" ht="17.25" thickBot="1">
      <c r="H2" s="81" t="s">
        <v>972</v>
      </c>
      <c r="I2" s="941" t="s">
        <v>997</v>
      </c>
      <c r="J2" s="942"/>
      <c r="K2" s="942"/>
      <c r="L2" s="942"/>
      <c r="M2" s="943"/>
    </row>
    <row r="3" spans="2:15">
      <c r="H3" s="944" t="s">
        <v>971</v>
      </c>
      <c r="I3" s="945" t="s">
        <v>970</v>
      </c>
      <c r="J3" s="945" t="s">
        <v>969</v>
      </c>
      <c r="K3" s="945" t="s">
        <v>968</v>
      </c>
      <c r="L3" s="945" t="s">
        <v>967</v>
      </c>
      <c r="M3" s="945" t="s">
        <v>966</v>
      </c>
      <c r="N3" s="82"/>
      <c r="O3" s="82"/>
    </row>
    <row r="4" spans="2:15" ht="33.75" customHeight="1">
      <c r="F4" s="669" t="s">
        <v>18</v>
      </c>
      <c r="G4" s="669"/>
      <c r="H4" s="944"/>
      <c r="I4" s="944"/>
      <c r="J4" s="944"/>
      <c r="K4" s="944"/>
      <c r="L4" s="944"/>
      <c r="M4" s="944"/>
      <c r="N4" s="82"/>
      <c r="O4" s="82"/>
    </row>
    <row r="5" spans="2:15" ht="21" customHeight="1">
      <c r="F5" s="670" t="s">
        <v>17</v>
      </c>
      <c r="G5" s="670"/>
      <c r="H5" s="83" t="s">
        <v>965</v>
      </c>
      <c r="I5" s="83">
        <v>2500</v>
      </c>
      <c r="J5" s="83">
        <v>1350</v>
      </c>
      <c r="K5" s="83">
        <v>1150</v>
      </c>
      <c r="L5" s="83">
        <v>1500</v>
      </c>
      <c r="M5" s="83" t="str">
        <f t="shared" ref="M5:M12" si="0">IF(L5&gt;K5,"RESPONDER","NO RESPONDER")</f>
        <v>RESPONDER</v>
      </c>
      <c r="N5" s="82"/>
      <c r="O5" s="82"/>
    </row>
    <row r="6" spans="2:15">
      <c r="H6" s="84" t="s">
        <v>964</v>
      </c>
      <c r="I6" s="84">
        <v>3200</v>
      </c>
      <c r="J6" s="84">
        <v>2500</v>
      </c>
      <c r="K6" s="84">
        <v>700</v>
      </c>
      <c r="L6" s="84">
        <v>500</v>
      </c>
      <c r="M6" s="84" t="str">
        <f t="shared" si="0"/>
        <v>NO RESPONDER</v>
      </c>
      <c r="N6" s="82"/>
      <c r="O6" s="82"/>
    </row>
    <row r="7" spans="2:15">
      <c r="H7" s="83" t="s">
        <v>963</v>
      </c>
      <c r="I7" s="83">
        <v>150</v>
      </c>
      <c r="J7" s="83">
        <v>125</v>
      </c>
      <c r="K7" s="83">
        <v>25</v>
      </c>
      <c r="L7" s="83">
        <v>60</v>
      </c>
      <c r="M7" s="83" t="str">
        <f t="shared" si="0"/>
        <v>RESPONDER</v>
      </c>
      <c r="N7" s="82"/>
      <c r="O7" s="82"/>
    </row>
    <row r="8" spans="2:15">
      <c r="H8" s="83" t="s">
        <v>962</v>
      </c>
      <c r="I8" s="83">
        <v>225</v>
      </c>
      <c r="J8" s="83">
        <v>100</v>
      </c>
      <c r="K8" s="83">
        <v>125</v>
      </c>
      <c r="L8" s="83">
        <v>150</v>
      </c>
      <c r="M8" s="83" t="str">
        <f t="shared" si="0"/>
        <v>RESPONDER</v>
      </c>
      <c r="N8" s="82"/>
      <c r="O8" s="82"/>
    </row>
    <row r="9" spans="2:15">
      <c r="H9" s="84" t="s">
        <v>961</v>
      </c>
      <c r="I9" s="84">
        <v>1450</v>
      </c>
      <c r="J9" s="84">
        <v>1000</v>
      </c>
      <c r="K9" s="84">
        <v>450</v>
      </c>
      <c r="L9" s="84">
        <v>300</v>
      </c>
      <c r="M9" s="84" t="str">
        <f t="shared" si="0"/>
        <v>NO RESPONDER</v>
      </c>
      <c r="N9" s="82"/>
      <c r="O9" s="82"/>
    </row>
    <row r="10" spans="2:15">
      <c r="H10" s="83" t="s">
        <v>960</v>
      </c>
      <c r="I10" s="83">
        <v>647</v>
      </c>
      <c r="J10" s="83">
        <v>600</v>
      </c>
      <c r="K10" s="83">
        <v>47</v>
      </c>
      <c r="L10" s="83">
        <v>100</v>
      </c>
      <c r="M10" s="83" t="str">
        <f t="shared" si="0"/>
        <v>RESPONDER</v>
      </c>
      <c r="N10" s="82"/>
      <c r="O10" s="82"/>
    </row>
    <row r="11" spans="2:15">
      <c r="H11" s="83" t="s">
        <v>959</v>
      </c>
      <c r="I11" s="83">
        <v>1300</v>
      </c>
      <c r="J11" s="83">
        <v>500</v>
      </c>
      <c r="K11" s="83">
        <v>800</v>
      </c>
      <c r="L11" s="83">
        <v>1000</v>
      </c>
      <c r="M11" s="83" t="str">
        <f t="shared" si="0"/>
        <v>RESPONDER</v>
      </c>
      <c r="N11" s="82"/>
      <c r="O11" s="82"/>
    </row>
    <row r="12" spans="2:15">
      <c r="H12" s="83" t="s">
        <v>958</v>
      </c>
      <c r="I12" s="83">
        <v>560</v>
      </c>
      <c r="J12" s="83">
        <v>100</v>
      </c>
      <c r="K12" s="83">
        <v>460</v>
      </c>
      <c r="L12" s="83">
        <v>300</v>
      </c>
      <c r="M12" s="83" t="str">
        <f t="shared" si="0"/>
        <v>NO RESPONDER</v>
      </c>
      <c r="N12" s="82"/>
      <c r="O12" s="82"/>
    </row>
    <row r="13" spans="2:15">
      <c r="B13" s="82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</row>
    <row r="14" spans="2:15">
      <c r="B14" s="82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</row>
    <row r="15" spans="2:15">
      <c r="B15" s="82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</row>
    <row r="16" spans="2:15"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</row>
    <row r="17" spans="2:15">
      <c r="B17" s="82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</row>
    <row r="18" spans="2:15">
      <c r="B18" s="82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</row>
    <row r="19" spans="2:15">
      <c r="B19" s="82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</row>
    <row r="20" spans="2:15"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</row>
    <row r="21" spans="2:15"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</row>
    <row r="22" spans="2:15"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</row>
  </sheetData>
  <sheetProtection algorithmName="SHA-512" hashValue="ZWINF/8l2vb3CYcfpThw7cPdXQQ3mLplv6GgQIg4z+/6o0DdjaJ5HncraDjRnKJBJSqE9PZU6xLbOrLH3uO4YQ==" saltValue="UDAmfNhQc+dyH5DTxeWggw==" spinCount="100000" sheet="1" objects="1" scenarios="1" selectLockedCells="1"/>
  <mergeCells count="9">
    <mergeCell ref="F4:G4"/>
    <mergeCell ref="F5:G5"/>
    <mergeCell ref="I2:M2"/>
    <mergeCell ref="H3:H4"/>
    <mergeCell ref="I3:I4"/>
    <mergeCell ref="J3:J4"/>
    <mergeCell ref="K3:K4"/>
    <mergeCell ref="L3:L4"/>
    <mergeCell ref="M3:M4"/>
  </mergeCells>
  <pageMargins left="0.7" right="0.7" top="0.75" bottom="0.75" header="0.3" footer="0.3"/>
  <pageSetup orientation="portrait" horizontalDpi="4294967293" vertic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H8"/>
  <sheetViews>
    <sheetView workbookViewId="0">
      <selection activeCell="G4" sqref="G4:H5"/>
    </sheetView>
  </sheetViews>
  <sheetFormatPr baseColWidth="10" defaultRowHeight="16.5"/>
  <sheetData>
    <row r="2" spans="1:8">
      <c r="A2" s="65" t="s">
        <v>996</v>
      </c>
      <c r="B2" s="65" t="s">
        <v>995</v>
      </c>
      <c r="C2" s="65" t="s">
        <v>994</v>
      </c>
      <c r="D2" s="65" t="s">
        <v>993</v>
      </c>
      <c r="E2" s="65" t="s">
        <v>61</v>
      </c>
      <c r="F2" s="65" t="s">
        <v>992</v>
      </c>
    </row>
    <row r="3" spans="1:8">
      <c r="A3" s="1" t="s">
        <v>991</v>
      </c>
      <c r="B3" s="1" t="s">
        <v>990</v>
      </c>
      <c r="C3" s="1" t="s">
        <v>989</v>
      </c>
      <c r="D3" s="1" t="s">
        <v>973</v>
      </c>
      <c r="E3" s="1">
        <v>13</v>
      </c>
      <c r="F3" s="64"/>
    </row>
    <row r="4" spans="1:8">
      <c r="A4" s="1" t="s">
        <v>988</v>
      </c>
      <c r="B4" s="1" t="s">
        <v>987</v>
      </c>
      <c r="C4" s="1" t="s">
        <v>986</v>
      </c>
      <c r="D4" s="1" t="s">
        <v>973</v>
      </c>
      <c r="E4" s="1">
        <v>12</v>
      </c>
      <c r="F4" s="64"/>
      <c r="G4" s="946" t="s">
        <v>18</v>
      </c>
      <c r="H4" s="946"/>
    </row>
    <row r="5" spans="1:8">
      <c r="A5" s="2" t="s">
        <v>985</v>
      </c>
      <c r="B5" s="2" t="s">
        <v>984</v>
      </c>
      <c r="C5" s="2" t="s">
        <v>983</v>
      </c>
      <c r="D5" s="2" t="s">
        <v>973</v>
      </c>
      <c r="E5" s="2">
        <v>20</v>
      </c>
      <c r="F5" s="66"/>
      <c r="G5" s="947" t="s">
        <v>17</v>
      </c>
      <c r="H5" s="947"/>
    </row>
    <row r="6" spans="1:8">
      <c r="A6" s="1" t="s">
        <v>982</v>
      </c>
      <c r="B6" s="1" t="s">
        <v>981</v>
      </c>
      <c r="C6" s="1" t="s">
        <v>980</v>
      </c>
      <c r="D6" s="1" t="s">
        <v>979</v>
      </c>
      <c r="E6" s="1">
        <v>18</v>
      </c>
      <c r="F6" s="64"/>
    </row>
    <row r="7" spans="1:8">
      <c r="A7" s="2" t="s">
        <v>978</v>
      </c>
      <c r="B7" s="2" t="s">
        <v>977</v>
      </c>
      <c r="C7" s="2" t="s">
        <v>68</v>
      </c>
      <c r="D7" s="2" t="s">
        <v>973</v>
      </c>
      <c r="E7" s="2">
        <v>11</v>
      </c>
      <c r="F7" s="66"/>
    </row>
    <row r="8" spans="1:8">
      <c r="A8" s="2" t="s">
        <v>976</v>
      </c>
      <c r="B8" s="2" t="s">
        <v>975</v>
      </c>
      <c r="C8" s="2" t="s">
        <v>974</v>
      </c>
      <c r="D8" s="2" t="s">
        <v>973</v>
      </c>
      <c r="E8" s="2">
        <v>14</v>
      </c>
      <c r="F8" s="66"/>
    </row>
  </sheetData>
  <sheetProtection algorithmName="SHA-512" hashValue="7f2/SCdwrKL1k94CE/GV6GfCSgYj31CrqQ8pF7UGQGJaE5dlVssoSLduDEeFP9HJp9mb95oeelXf1128lWkEcg==" saltValue="x9Z1uN1dTfNBTwPSQ0ZuFQ==" spinCount="100000" sheet="1" objects="1" scenarios="1" selectLockedCells="1"/>
  <mergeCells count="2">
    <mergeCell ref="G4:H4"/>
    <mergeCell ref="G5:H5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 filterMode="1"/>
  <dimension ref="B1:H9"/>
  <sheetViews>
    <sheetView workbookViewId="0">
      <selection activeCell="G14" sqref="G14"/>
    </sheetView>
  </sheetViews>
  <sheetFormatPr baseColWidth="10" defaultRowHeight="16.5"/>
  <cols>
    <col min="1" max="16384" width="11" style="14"/>
  </cols>
  <sheetData>
    <row r="1" spans="2:8" ht="17.25" thickBot="1"/>
    <row r="2" spans="2:8" ht="17.25" thickBot="1">
      <c r="B2" s="74" t="s">
        <v>830</v>
      </c>
      <c r="C2" s="75" t="s">
        <v>1015</v>
      </c>
      <c r="D2" s="75" t="s">
        <v>286</v>
      </c>
      <c r="E2" s="76" t="s">
        <v>1014</v>
      </c>
      <c r="F2" s="77" t="s">
        <v>827</v>
      </c>
    </row>
    <row r="3" spans="2:8">
      <c r="B3" s="78" t="s">
        <v>1013</v>
      </c>
      <c r="C3" s="78" t="s">
        <v>1012</v>
      </c>
      <c r="D3" s="78">
        <v>17</v>
      </c>
      <c r="E3" s="78">
        <v>1200</v>
      </c>
      <c r="F3" s="79">
        <f t="shared" ref="F3:F8" si="0">D3*E3</f>
        <v>20400</v>
      </c>
      <c r="G3" s="669" t="s">
        <v>18</v>
      </c>
      <c r="H3" s="669"/>
    </row>
    <row r="4" spans="2:8">
      <c r="B4" s="79" t="s">
        <v>1011</v>
      </c>
      <c r="C4" s="79" t="s">
        <v>1010</v>
      </c>
      <c r="D4" s="79">
        <v>14</v>
      </c>
      <c r="E4" s="79">
        <v>3050</v>
      </c>
      <c r="F4" s="79">
        <f t="shared" si="0"/>
        <v>42700</v>
      </c>
      <c r="G4" s="670" t="s">
        <v>17</v>
      </c>
      <c r="H4" s="670"/>
    </row>
    <row r="5" spans="2:8">
      <c r="B5" s="79" t="s">
        <v>1009</v>
      </c>
      <c r="C5" s="79" t="s">
        <v>1008</v>
      </c>
      <c r="D5" s="79">
        <v>15</v>
      </c>
      <c r="E5" s="79">
        <v>1100</v>
      </c>
      <c r="F5" s="79">
        <f t="shared" si="0"/>
        <v>16500</v>
      </c>
    </row>
    <row r="6" spans="2:8">
      <c r="B6" s="79" t="s">
        <v>1007</v>
      </c>
      <c r="C6" s="79" t="s">
        <v>1006</v>
      </c>
      <c r="D6" s="79">
        <v>15</v>
      </c>
      <c r="E6" s="79">
        <v>3250</v>
      </c>
      <c r="F6" s="79">
        <f t="shared" si="0"/>
        <v>48750</v>
      </c>
    </row>
    <row r="7" spans="2:8">
      <c r="B7" s="79" t="s">
        <v>1005</v>
      </c>
      <c r="C7" s="79" t="s">
        <v>1004</v>
      </c>
      <c r="D7" s="79">
        <v>11</v>
      </c>
      <c r="E7" s="79">
        <v>4000</v>
      </c>
      <c r="F7" s="79">
        <f t="shared" si="0"/>
        <v>44000</v>
      </c>
    </row>
    <row r="8" spans="2:8">
      <c r="B8" s="79" t="s">
        <v>1003</v>
      </c>
      <c r="C8" s="79" t="s">
        <v>1002</v>
      </c>
      <c r="D8" s="79">
        <v>19</v>
      </c>
      <c r="E8" s="80">
        <v>4350</v>
      </c>
      <c r="F8" s="79">
        <f t="shared" si="0"/>
        <v>82650</v>
      </c>
    </row>
    <row r="9" spans="2:8" customFormat="1" ht="17.25" hidden="1" thickBot="1">
      <c r="E9" s="69" t="s">
        <v>1001</v>
      </c>
      <c r="F9" s="68">
        <f>SUM(F3:F8)</f>
        <v>255000</v>
      </c>
    </row>
  </sheetData>
  <sheetProtection algorithmName="SHA-512" hashValue="RvJj3Brj3KhQfNSDhWsACIrQTzgW1PEX7q5K2ZZfLZCGMdS2TqKkeakNiwAlbXJ0Jgkr704GFS2kAbi1LeFB2Q==" saltValue="Yp+WBhUxOVw88JrjGr/gRw==" spinCount="100000" sheet="1" scenarios="1" selectLockedCells="1"/>
  <autoFilter ref="B2:F9">
    <filterColumn colId="2">
      <customFilters>
        <customFilter operator="notEqual" val=" "/>
      </customFilters>
    </filterColumn>
  </autoFilter>
  <mergeCells count="2">
    <mergeCell ref="G3:H3"/>
    <mergeCell ref="G4:H4"/>
  </mergeCells>
  <pageMargins left="0.7" right="0.7" top="0.75" bottom="0.75" header="0.3" footer="0.3"/>
  <pageSetup orientation="portrait" horizontalDpi="4294967293" verticalDpi="429496729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B4:F20"/>
  <sheetViews>
    <sheetView workbookViewId="0">
      <selection activeCell="G12" sqref="G12"/>
    </sheetView>
  </sheetViews>
  <sheetFormatPr baseColWidth="10" defaultRowHeight="16.5"/>
  <cols>
    <col min="1" max="2" width="11" style="14"/>
    <col min="3" max="3" width="16.5" style="14" customWidth="1"/>
    <col min="4" max="4" width="17.125" style="14" customWidth="1"/>
    <col min="5" max="5" width="16.625" style="14" customWidth="1"/>
    <col min="6" max="6" width="15.375" style="14" customWidth="1"/>
    <col min="7" max="7" width="10.5" style="14" bestFit="1" customWidth="1"/>
    <col min="8" max="16384" width="11" style="14"/>
  </cols>
  <sheetData>
    <row r="4" spans="2:6">
      <c r="B4" s="70" t="s">
        <v>1021</v>
      </c>
      <c r="C4" s="70" t="s">
        <v>1028</v>
      </c>
      <c r="D4" s="70" t="s">
        <v>1027</v>
      </c>
      <c r="E4" s="70" t="s">
        <v>1026</v>
      </c>
      <c r="F4" s="70" t="s">
        <v>1025</v>
      </c>
    </row>
    <row r="5" spans="2:6">
      <c r="B5" s="71" t="s">
        <v>1019</v>
      </c>
      <c r="C5" s="71" t="s">
        <v>1023</v>
      </c>
      <c r="D5" s="71">
        <v>145000</v>
      </c>
      <c r="E5" s="71">
        <v>35000</v>
      </c>
      <c r="F5" s="71">
        <v>6700</v>
      </c>
    </row>
    <row r="6" spans="2:6">
      <c r="B6" s="71" t="s">
        <v>1019</v>
      </c>
      <c r="C6" s="71" t="s">
        <v>1018</v>
      </c>
      <c r="D6" s="71">
        <v>125000</v>
      </c>
      <c r="E6" s="71">
        <v>30000</v>
      </c>
      <c r="F6" s="71">
        <v>6100</v>
      </c>
    </row>
    <row r="7" spans="2:6">
      <c r="B7" s="948" t="s">
        <v>1022</v>
      </c>
      <c r="C7" s="949"/>
      <c r="D7" s="72">
        <f>SUM(D5:D6)</f>
        <v>270000</v>
      </c>
      <c r="E7" s="72">
        <f>SUM(E5:E6)</f>
        <v>65000</v>
      </c>
      <c r="F7" s="72">
        <f>SUM(F5:F6)</f>
        <v>12800</v>
      </c>
    </row>
    <row r="8" spans="2:6">
      <c r="B8" s="71" t="s">
        <v>1018</v>
      </c>
      <c r="C8" s="71" t="s">
        <v>1018</v>
      </c>
      <c r="D8" s="71">
        <v>250000</v>
      </c>
      <c r="E8" s="71">
        <v>25000</v>
      </c>
      <c r="F8" s="71">
        <v>3050</v>
      </c>
    </row>
    <row r="9" spans="2:6">
      <c r="B9" s="71" t="s">
        <v>1018</v>
      </c>
      <c r="C9" s="71" t="s">
        <v>1018</v>
      </c>
      <c r="D9" s="71">
        <v>180000</v>
      </c>
      <c r="E9" s="71">
        <v>35000</v>
      </c>
      <c r="F9" s="71">
        <v>3250</v>
      </c>
    </row>
    <row r="10" spans="2:6">
      <c r="B10" s="948" t="s">
        <v>1022</v>
      </c>
      <c r="C10" s="949"/>
      <c r="D10" s="72">
        <f>SUM(D8:D9)</f>
        <v>430000</v>
      </c>
      <c r="E10" s="72">
        <f>SUM(E8:E9)</f>
        <v>60000</v>
      </c>
      <c r="F10" s="72">
        <f>SUM(F8:F9)</f>
        <v>6300</v>
      </c>
    </row>
    <row r="11" spans="2:6">
      <c r="B11" s="71" t="s">
        <v>1016</v>
      </c>
      <c r="C11" s="71" t="s">
        <v>1018</v>
      </c>
      <c r="D11" s="71">
        <v>153000</v>
      </c>
      <c r="E11" s="71">
        <v>20000</v>
      </c>
      <c r="F11" s="71">
        <v>4000</v>
      </c>
    </row>
    <row r="12" spans="2:6">
      <c r="B12" s="71" t="s">
        <v>1016</v>
      </c>
      <c r="C12" s="71" t="s">
        <v>1024</v>
      </c>
      <c r="D12" s="71">
        <v>120000</v>
      </c>
      <c r="E12" s="71">
        <v>18000</v>
      </c>
      <c r="F12" s="71">
        <v>4350</v>
      </c>
    </row>
    <row r="13" spans="2:6">
      <c r="B13" s="71" t="s">
        <v>1016</v>
      </c>
      <c r="C13" s="71" t="s">
        <v>1023</v>
      </c>
      <c r="D13" s="71">
        <v>150000</v>
      </c>
      <c r="E13" s="71">
        <v>20000</v>
      </c>
      <c r="F13" s="71">
        <v>5620</v>
      </c>
    </row>
    <row r="14" spans="2:6">
      <c r="B14" s="948" t="s">
        <v>1022</v>
      </c>
      <c r="C14" s="949"/>
      <c r="D14" s="72">
        <f>SUM(D12:D13)</f>
        <v>270000</v>
      </c>
      <c r="E14" s="72">
        <f>SUM(E12:E13)</f>
        <v>38000</v>
      </c>
      <c r="F14" s="72">
        <f>SUM(F12:F13)</f>
        <v>9970</v>
      </c>
    </row>
    <row r="16" spans="2:6">
      <c r="B16" s="73" t="s">
        <v>1021</v>
      </c>
      <c r="C16" s="73" t="s">
        <v>1020</v>
      </c>
    </row>
    <row r="17" spans="2:5">
      <c r="B17" s="71" t="s">
        <v>1019</v>
      </c>
      <c r="C17" s="71">
        <f>F5+F6</f>
        <v>12800</v>
      </c>
      <c r="D17" s="669" t="s">
        <v>18</v>
      </c>
      <c r="E17" s="669"/>
    </row>
    <row r="18" spans="2:5">
      <c r="B18" s="71" t="s">
        <v>1018</v>
      </c>
      <c r="C18" s="71">
        <f>F8</f>
        <v>3050</v>
      </c>
      <c r="D18" s="670" t="s">
        <v>17</v>
      </c>
      <c r="E18" s="670"/>
    </row>
    <row r="19" spans="2:5">
      <c r="B19" s="71" t="s">
        <v>1017</v>
      </c>
      <c r="C19" s="71">
        <f>F9</f>
        <v>3250</v>
      </c>
    </row>
    <row r="20" spans="2:5">
      <c r="B20" s="71" t="s">
        <v>1016</v>
      </c>
      <c r="C20" s="71">
        <f>F11+F12+F13</f>
        <v>13970</v>
      </c>
    </row>
  </sheetData>
  <sheetProtection algorithmName="SHA-512" hashValue="kWuXMLdmm4V0AECTEuHDqbD4qPCmTIluig94DRE4NwLi7qoyBAWQS6X45+NrxMTCuCsuhBy8jmHbNstwcPTx2Q==" saltValue="vRBtuup7OZa3/d6fR7sKEw==" spinCount="100000" sheet="1" scenarios="1" selectLockedCells="1"/>
  <mergeCells count="5">
    <mergeCell ref="B7:C7"/>
    <mergeCell ref="B10:C10"/>
    <mergeCell ref="B14:C14"/>
    <mergeCell ref="D17:E17"/>
    <mergeCell ref="D18:E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31</vt:i4>
      </vt:variant>
      <vt:variant>
        <vt:lpstr>Gráficos</vt:lpstr>
      </vt:variant>
      <vt:variant>
        <vt:i4>2</vt:i4>
      </vt:variant>
      <vt:variant>
        <vt:lpstr>Rangos con nombre</vt:lpstr>
      </vt:variant>
      <vt:variant>
        <vt:i4>14</vt:i4>
      </vt:variant>
    </vt:vector>
  </HeadingPairs>
  <TitlesOfParts>
    <vt:vector size="47" baseType="lpstr">
      <vt:lpstr>INDICE</vt:lpstr>
      <vt:lpstr>SUMAS</vt:lpstr>
      <vt:lpstr>RESTAS</vt:lpstr>
      <vt:lpstr>MULTIPLICACION</vt:lpstr>
      <vt:lpstr>POTENCIAS</vt:lpstr>
      <vt:lpstr>DIVISION</vt:lpstr>
      <vt:lpstr>PROMEDIO</vt:lpstr>
      <vt:lpstr>EJERCICIO</vt:lpstr>
      <vt:lpstr>BECAS</vt:lpstr>
      <vt:lpstr>EJERCICIOS SI Y O</vt:lpstr>
      <vt:lpstr>ESQUEMA GENERAL</vt:lpstr>
      <vt:lpstr>PAQUETES</vt:lpstr>
      <vt:lpstr>BASEDATA</vt:lpstr>
      <vt:lpstr>INVENTARIO EMPRESA</vt:lpstr>
      <vt:lpstr>NOMINA</vt:lpstr>
      <vt:lpstr>SUELDOS</vt:lpstr>
      <vt:lpstr>GRAFICO SUELDOS </vt:lpstr>
      <vt:lpstr>HORAS TRABAJADAS</vt:lpstr>
      <vt:lpstr>Datos</vt:lpstr>
      <vt:lpstr>BASE DE DATOS COLABORADORES</vt:lpstr>
      <vt:lpstr>INVENTARIO PRODUCTOS</vt:lpstr>
      <vt:lpstr>CONFIG INV</vt:lpstr>
      <vt:lpstr>AUDITORIA TESORERIA </vt:lpstr>
      <vt:lpstr>FACTURAS</vt:lpstr>
      <vt:lpstr>Ejercicio sueldos</vt:lpstr>
      <vt:lpstr>Datos Sueldos</vt:lpstr>
      <vt:lpstr>DEPARTAMENTOS</vt:lpstr>
      <vt:lpstr>Funcion=O()</vt:lpstr>
      <vt:lpstr>Ejemplo</vt:lpstr>
      <vt:lpstr>sub y filtros</vt:lpstr>
      <vt:lpstr>Subtotales</vt:lpstr>
      <vt:lpstr>GráficoSueldos2</vt:lpstr>
      <vt:lpstr>GráficoDepartamentos</vt:lpstr>
      <vt:lpstr>ABRIL</vt:lpstr>
      <vt:lpstr>NOMINA!Área_de_impresión</vt:lpstr>
      <vt:lpstr>cliente</vt:lpstr>
      <vt:lpstr>Código</vt:lpstr>
      <vt:lpstr>CODIGOS</vt:lpstr>
      <vt:lpstr>DIA</vt:lpstr>
      <vt:lpstr>ENERO</vt:lpstr>
      <vt:lpstr>FEBRERO</vt:lpstr>
      <vt:lpstr>MaCOD</vt:lpstr>
      <vt:lpstr>MARZO</vt:lpstr>
      <vt:lpstr>NIP</vt:lpstr>
      <vt:lpstr>NOCHE</vt:lpstr>
      <vt:lpstr>Ref.</vt:lpstr>
      <vt:lpstr>TIEMPO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COACHing</dc:title>
  <dc:creator>JEREMY PEDRAZA</dc:creator>
  <cp:keywords>Recurso Humano</cp:keywords>
  <cp:lastModifiedBy>Usuario de Windows</cp:lastModifiedBy>
  <dcterms:created xsi:type="dcterms:W3CDTF">2018-12-03T12:34:28Z</dcterms:created>
  <dcterms:modified xsi:type="dcterms:W3CDTF">2019-09-23T22:52:06Z</dcterms:modified>
  <cp:category>Manejo de recursos</cp:category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e8d9b757-9d09-4635-b6be-73fda011ab8c</vt:lpwstr>
  </property>
  <property fmtid="{D5CDD505-2E9C-101B-9397-08002B2CF9AE}" pid="3" name="_MarkAsFinal">
    <vt:bool>true</vt:bool>
  </property>
</Properties>
</file>